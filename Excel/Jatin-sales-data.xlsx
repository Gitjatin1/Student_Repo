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tin/Desktop/Learnings/Upright/Student_Repo/Excel/"/>
    </mc:Choice>
  </mc:AlternateContent>
  <xr:revisionPtr revIDLastSave="0" documentId="13_ncr:1_{1A40BA1D-8FCE-A94C-AE69-F68883404F03}" xr6:coauthVersionLast="47" xr6:coauthVersionMax="47" xr10:uidLastSave="{00000000-0000-0000-0000-000000000000}"/>
  <bookViews>
    <workbookView xWindow="0" yWindow="660" windowWidth="29400" windowHeight="16720" activeTab="3" xr2:uid="{00000000-000D-0000-FFFF-FFFF00000000}"/>
  </bookViews>
  <sheets>
    <sheet name="Part 1" sheetId="1" r:id="rId1"/>
    <sheet name="Part 2" sheetId="2" r:id="rId2"/>
    <sheet name="Part 3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3" l="1"/>
  <c r="E32" i="3"/>
  <c r="D32" i="3"/>
  <c r="C32" i="3"/>
  <c r="B32" i="3"/>
  <c r="F31" i="3"/>
  <c r="F30" i="3"/>
  <c r="F29" i="3"/>
  <c r="F28" i="3"/>
  <c r="F27" i="3"/>
  <c r="F26" i="3"/>
  <c r="F25" i="3"/>
  <c r="F24" i="3"/>
  <c r="F23" i="3"/>
  <c r="F32" i="3" s="1"/>
  <c r="C73" i="2"/>
  <c r="C72" i="2"/>
  <c r="C71" i="2"/>
  <c r="C70" i="2"/>
  <c r="I46" i="2"/>
  <c r="I47" i="2"/>
  <c r="I48" i="2"/>
  <c r="I49" i="2"/>
  <c r="I50" i="2"/>
  <c r="I51" i="2"/>
  <c r="I52" i="2"/>
  <c r="I53" i="2"/>
  <c r="I54" i="2"/>
  <c r="I55" i="2"/>
  <c r="H46" i="2"/>
  <c r="H47" i="2"/>
  <c r="H48" i="2"/>
  <c r="H49" i="2"/>
  <c r="H50" i="2"/>
  <c r="H51" i="2"/>
  <c r="H52" i="2"/>
  <c r="H53" i="2"/>
  <c r="H54" i="2"/>
  <c r="H55" i="2"/>
  <c r="G46" i="2"/>
  <c r="G47" i="2"/>
  <c r="G48" i="2"/>
  <c r="G49" i="2"/>
  <c r="G50" i="2"/>
  <c r="G51" i="2"/>
  <c r="G52" i="2"/>
  <c r="G53" i="2"/>
  <c r="G54" i="2"/>
  <c r="G55" i="2"/>
  <c r="E55" i="2"/>
  <c r="D55" i="2"/>
  <c r="C55" i="2"/>
  <c r="B55" i="2"/>
  <c r="F54" i="2"/>
  <c r="F53" i="2"/>
  <c r="F52" i="2"/>
  <c r="F51" i="2"/>
  <c r="F50" i="2"/>
  <c r="F49" i="2"/>
  <c r="F48" i="2"/>
  <c r="F47" i="2"/>
  <c r="F46" i="2"/>
  <c r="I21" i="2"/>
  <c r="I20" i="2"/>
  <c r="I19" i="2"/>
  <c r="I18" i="2"/>
  <c r="I17" i="2"/>
  <c r="F19" i="2"/>
  <c r="F20" i="2"/>
  <c r="F21" i="2"/>
  <c r="F22" i="2"/>
  <c r="F23" i="2"/>
  <c r="F24" i="2"/>
  <c r="F25" i="2"/>
  <c r="F26" i="2"/>
  <c r="F18" i="2"/>
  <c r="D27" i="2"/>
  <c r="E27" i="2"/>
  <c r="C27" i="2"/>
  <c r="B27" i="2"/>
  <c r="F55" i="2" l="1"/>
  <c r="F27" i="2" l="1"/>
</calcChain>
</file>

<file path=xl/sharedStrings.xml><?xml version="1.0" encoding="utf-8"?>
<sst xmlns="http://schemas.openxmlformats.org/spreadsheetml/2006/main" count="112" uniqueCount="32">
  <si>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</si>
  <si>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</si>
  <si>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</si>
  <si>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</si>
  <si>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</si>
  <si>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</si>
  <si>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</si>
  <si>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</si>
  <si>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</si>
  <si>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</si>
  <si>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</si>
  <si>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</si>
  <si>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</si>
  <si>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</si>
  <si>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</si>
  <si>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</si>
  <si>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</si>
  <si>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</si>
  <si>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</si>
  <si>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</si>
  <si>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SUM()</t>
  </si>
  <si>
    <t>AVERAGE()</t>
  </si>
  <si>
    <t>COUNT()</t>
  </si>
  <si>
    <t>MAX()</t>
  </si>
  <si>
    <t>MIN()</t>
  </si>
  <si>
    <t>Total Sales</t>
  </si>
  <si>
    <t>After Tax rate jan</t>
  </si>
  <si>
    <t>After Tax rate Feb</t>
  </si>
  <si>
    <t>After Tax rate Mar</t>
  </si>
  <si>
    <t>Average Monthly Sales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</si>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</sst>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9" fontId="0" fillId="0" borderId="0" xfId="0" applyNumberFormat="1"/>
    <xf numFmtId="164" fontId="0" fillId="0" borderId="0" xfId="0" applyNumberFormat="1"/>
    <xf numFmtId="1" fontId="0" fillId="2" borderId="1" xfId="0" applyNumberFormat="1" applyFill="1" applyBorder="1"/>
    <xf numFmtId="0" fontId="2" fillId="0" borderId="0" xfId="0" applyFont="1"/>
    <xf numFmtId="0" fontId="2" fillId="0" borderId="0" xfId="0" applyFont="1" applyAlignment="1">
      <alignment wrapText="1"/>
    </xf>
    <xf numFmtId="165" fontId="2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Medium9"/>
  <colors>
    <mruColors>
      <color rgb="FFFFC695"/>
      <color rgb="FFA05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 3'!$C$22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'Part 3'!$A$23:$B$31</c15:sqref>
                  </c15:fullRef>
                  <c15:levelRef>
                    <c15:sqref>'Part 3'!$A$23:$A$31</c15:sqref>
                  </c15:levelRef>
                </c:ext>
              </c:extLst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3'!$C$23:$C$31</c:f>
              <c:numCache>
                <c:formatCode>_("$"* #,##0_);_("$"* \(#,##0\);_("$"* "-"??_);_(@_)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0-9C4A-AD34-E0292B8D99D7}"/>
            </c:ext>
          </c:extLst>
        </c:ser>
        <c:ser>
          <c:idx val="1"/>
          <c:order val="1"/>
          <c:tx>
            <c:strRef>
              <c:f>'Part 3'!$D$22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'Part 3'!$A$23:$B$31</c15:sqref>
                  </c15:fullRef>
                  <c15:levelRef>
                    <c15:sqref>'Part 3'!$A$23:$A$31</c15:sqref>
                  </c15:levelRef>
                </c:ext>
              </c:extLst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3'!$D$23:$D$31</c:f>
              <c:numCache>
                <c:formatCode>_("$"* #,##0_);_("$"* \(#,##0\);_("$"* "-"??_);_(@_)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0-9C4A-AD34-E0292B8D99D7}"/>
            </c:ext>
          </c:extLst>
        </c:ser>
        <c:ser>
          <c:idx val="2"/>
          <c:order val="2"/>
          <c:tx>
            <c:strRef>
              <c:f>'Part 3'!$E$22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'Part 3'!$A$23:$B$31</c15:sqref>
                  </c15:fullRef>
                  <c15:levelRef>
                    <c15:sqref>'Part 3'!$A$23:$A$31</c15:sqref>
                  </c15:levelRef>
                </c:ext>
              </c:extLst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3'!$E$23:$E$31</c:f>
              <c:numCache>
                <c:formatCode>_("$"* #,##0_);_("$"* \(#,##0\);_("$"* "-"??_);_(@_)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0-9C4A-AD34-E0292B8D9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184319"/>
        <c:axId val="2028179391"/>
      </c:barChart>
      <c:catAx>
        <c:axId val="202818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79391"/>
        <c:crosses val="autoZero"/>
        <c:auto val="1"/>
        <c:lblAlgn val="ctr"/>
        <c:lblOffset val="100"/>
        <c:noMultiLvlLbl val="0"/>
      </c:catAx>
      <c:valAx>
        <c:axId val="20281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8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ln w="15875" cap="sq">
                <a:noFill/>
              </a:ln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'Part 3'!$C$22</c:f>
              <c:strCache>
                <c:ptCount val="1"/>
                <c:pt idx="0">
                  <c:v>Jan Sales</c:v>
                </c:pt>
              </c:strCache>
            </c:strRef>
          </c:tx>
          <c:explosion val="4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61-6946-88F5-B56C5B9A2D4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61-6946-88F5-B56C5B9A2D4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61-6946-88F5-B56C5B9A2D4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61-6946-88F5-B56C5B9A2D4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61-6946-88F5-B56C5B9A2D4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61-6946-88F5-B56C5B9A2D4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61-6946-88F5-B56C5B9A2D4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61-6946-88F5-B56C5B9A2D4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61-6946-88F5-B56C5B9A2D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15875" cap="sq">
                      <a:noFill/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'Part 3'!$A$23:$B$31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'Part 3'!$C$23:$C$31</c:f>
              <c:numCache>
                <c:formatCode>_("$"* #,##0_);_("$"* \(#,##0\);_("$"* "-"??_);_(@_)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3-C242-B77F-F357687A42FE}"/>
            </c:ext>
          </c:extLst>
        </c:ser>
        <c:ser>
          <c:idx val="1"/>
          <c:order val="1"/>
          <c:tx>
            <c:strRef>
              <c:f>'Part 3'!$D$22</c:f>
              <c:strCache>
                <c:ptCount val="1"/>
                <c:pt idx="0">
                  <c:v>Feb 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61-6946-88F5-B56C5B9A2D4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361-6946-88F5-B56C5B9A2D4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361-6946-88F5-B56C5B9A2D4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361-6946-88F5-B56C5B9A2D4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361-6946-88F5-B56C5B9A2D4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361-6946-88F5-B56C5B9A2D4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361-6946-88F5-B56C5B9A2D4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361-6946-88F5-B56C5B9A2D4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361-6946-88F5-B56C5B9A2D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15875" cap="sq">
                      <a:noFill/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'Part 3'!$A$23:$B$31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'Part 3'!$D$23:$D$31</c:f>
              <c:numCache>
                <c:formatCode>_("$"* #,##0_);_("$"* \(#,##0\);_("$"* "-"??_);_(@_)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3-C242-B77F-F357687A42FE}"/>
            </c:ext>
          </c:extLst>
        </c:ser>
        <c:ser>
          <c:idx val="2"/>
          <c:order val="2"/>
          <c:tx>
            <c:strRef>
              <c:f>'Part 3'!$E$22</c:f>
              <c:strCache>
                <c:ptCount val="1"/>
                <c:pt idx="0">
                  <c:v>Mar 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361-6946-88F5-B56C5B9A2D4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361-6946-88F5-B56C5B9A2D4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361-6946-88F5-B56C5B9A2D4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361-6946-88F5-B56C5B9A2D4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361-6946-88F5-B56C5B9A2D4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361-6946-88F5-B56C5B9A2D4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361-6946-88F5-B56C5B9A2D4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361-6946-88F5-B56C5B9A2D4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361-6946-88F5-B56C5B9A2D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15875" cap="sq">
                      <a:noFill/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'Part 3'!$A$23:$B$31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'Part 3'!$E$23:$E$31</c:f>
              <c:numCache>
                <c:formatCode>_("$"* #,##0_);_("$"* \(#,##0\);_("$"* "-"??_);_(@_)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93-C242-B77F-F357687A4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15875" cap="sq">
                <a:noFill/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ln w="15875" cap="sq"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Monthly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Sales 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 3'!$C$22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'Part 3'!$A$23:$B$31</c15:sqref>
                  </c15:fullRef>
                  <c15:levelRef>
                    <c15:sqref>'Part 3'!$A$23:$A$31</c15:sqref>
                  </c15:levelRef>
                </c:ext>
              </c:extLst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3'!$C$23:$C$31</c:f>
              <c:numCache>
                <c:formatCode>_("$"* #,##0_);_("$"* \(#,##0\);_("$"* "-"??_);_(@_)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3-6044-8CD6-54ED084C38C8}"/>
            </c:ext>
          </c:extLst>
        </c:ser>
        <c:ser>
          <c:idx val="1"/>
          <c:order val="1"/>
          <c:tx>
            <c:strRef>
              <c:f>'Part 3'!$D$22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'Part 3'!$A$23:$B$31</c15:sqref>
                  </c15:fullRef>
                  <c15:levelRef>
                    <c15:sqref>'Part 3'!$A$23:$A$31</c15:sqref>
                  </c15:levelRef>
                </c:ext>
              </c:extLst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3'!$D$23:$D$31</c:f>
              <c:numCache>
                <c:formatCode>_("$"* #,##0_);_("$"* \(#,##0\);_("$"* "-"??_);_(@_)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93-6044-8CD6-54ED084C38C8}"/>
            </c:ext>
          </c:extLst>
        </c:ser>
        <c:ser>
          <c:idx val="2"/>
          <c:order val="2"/>
          <c:tx>
            <c:strRef>
              <c:f>'Part 3'!$E$22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'Part 3'!$A$23:$B$31</c15:sqref>
                  </c15:fullRef>
                  <c15:levelRef>
                    <c15:sqref>'Part 3'!$A$23:$A$31</c15:sqref>
                  </c15:levelRef>
                </c:ext>
              </c:extLst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3'!$E$23:$E$31</c:f>
              <c:numCache>
                <c:formatCode>_("$"* #,##0_);_("$"* \(#,##0\);_("$"* "-"??_);_(@_)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93-6044-8CD6-54ED084C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184319"/>
        <c:axId val="2028179391"/>
      </c:barChart>
      <c:catAx>
        <c:axId val="202818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79391"/>
        <c:crosses val="autoZero"/>
        <c:auto val="1"/>
        <c:lblAlgn val="ctr"/>
        <c:lblOffset val="200"/>
        <c:noMultiLvlLbl val="0"/>
      </c:catAx>
      <c:valAx>
        <c:axId val="2028179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84319"/>
        <c:crosses val="autoZero"/>
        <c:crossBetween val="between"/>
      </c:valAx>
      <c:spPr>
        <a:solidFill>
          <a:srgbClr val="FFC695"/>
        </a:solidFill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69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'Part 3'!$C$22</c:f>
              <c:strCache>
                <c:ptCount val="1"/>
                <c:pt idx="0">
                  <c:v>Jan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3-9944-951C-F03CA323CB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3-9944-951C-F03CA323CB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3-9944-951C-F03CA323CB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3-9944-951C-F03CA323CB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3-9944-951C-F03CA323CB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43-9944-951C-F03CA323CB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43-9944-951C-F03CA323CB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43-9944-951C-F03CA323CB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43-9944-951C-F03CA323CB0B}"/>
              </c:ext>
            </c:extLst>
          </c:dPt>
          <c:cat>
            <c:multiLvlStrRef>
              <c:f>'Part 3'!$A$23:$B$31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'Part 3'!$C$23:$C$31</c:f>
              <c:numCache>
                <c:formatCode>_("$"* #,##0_);_("$"* \(#,##0\);_("$"* "-"??_);_(@_)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E43-9944-951C-F03CA323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'Part 3'!$D$22</c:f>
              <c:strCache>
                <c:ptCount val="1"/>
                <c:pt idx="0">
                  <c:v>Feb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1-0E4A-B77B-D1940EF916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1-0E4A-B77B-D1940EF916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11-0E4A-B77B-D1940EF916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11-0E4A-B77B-D1940EF916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11-0E4A-B77B-D1940EF916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611-0E4A-B77B-D1940EF916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611-0E4A-B77B-D1940EF916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611-0E4A-B77B-D1940EF916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611-0E4A-B77B-D1940EF91649}"/>
              </c:ext>
            </c:extLst>
          </c:dPt>
          <c:cat>
            <c:strRef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3'!$D$23:$D$31</c:f>
              <c:numCache>
                <c:formatCode>_("$"* #,##0_);_("$"* \(#,##0\);_("$"* "-"??_);_(@_)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611-0E4A-B77B-D1940EF91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'Part 3'!$E$22</c:f>
              <c:strCache>
                <c:ptCount val="1"/>
                <c:pt idx="0">
                  <c:v>Mar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3A-EA4E-9ABD-4CD874536F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3A-EA4E-9ABD-4CD874536F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3A-EA4E-9ABD-4CD874536F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3A-EA4E-9ABD-4CD874536F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3A-EA4E-9ABD-4CD874536F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3A-EA4E-9ABD-4CD874536F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3A-EA4E-9ABD-4CD874536F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73A-EA4E-9ABD-4CD874536F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73A-EA4E-9ABD-4CD874536F28}"/>
              </c:ext>
            </c:extLst>
          </c:dPt>
          <c:cat>
            <c:strRef>
              <c:f>'Part 3'!$A$23:$A$31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'Part 3'!$E$23:$E$31</c:f>
              <c:numCache>
                <c:formatCode>_("$"* #,##0_);_("$"* \(#,##0\);_("$"* "-"??_);_(@_)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73A-EA4E-9ABD-4CD87453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9</xdr:col>
      <xdr:colOff>635000</xdr:colOff>
      <xdr:row>19</xdr:row>
      <xdr:rowOff>63500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D21EE2B-0607-ED29-32C3-90654F205AAC}"/>
            </a:ext>
          </a:extLst>
        </xdr:cNvPr>
        <xdr:cNvSpPr/>
      </xdr:nvSpPr>
      <xdr:spPr>
        <a:xfrm>
          <a:off x="0" y="12700"/>
          <a:ext cx="7378700" cy="36703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0</xdr:col>
      <xdr:colOff>546100</xdr:colOff>
      <xdr:row>1</xdr:row>
      <xdr:rowOff>50800</xdr:rowOff>
    </xdr:from>
    <xdr:to>
      <xdr:col>6</xdr:col>
      <xdr:colOff>342900</xdr:colOff>
      <xdr:row>4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8DE313-04B4-6DA3-341F-97A972B8C37A}"/>
            </a:ext>
          </a:extLst>
        </xdr:cNvPr>
        <xdr:cNvSpPr txBox="1"/>
      </xdr:nvSpPr>
      <xdr:spPr>
        <a:xfrm>
          <a:off x="546100" y="241300"/>
          <a:ext cx="4292600" cy="6477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Part 1:</a:t>
          </a:r>
          <a:r>
            <a:rPr lang="en-US" sz="4000" b="1" baseline="0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 Excel </a:t>
          </a:r>
          <a:r>
            <a:rPr lang="en-US" sz="4000" b="1" baseline="0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57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Basics</a:t>
          </a:r>
          <a:r>
            <a:rPr lang="en-US" sz="4000" b="1" baseline="0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 </a:t>
          </a:r>
        </a:p>
      </xdr:txBody>
    </xdr:sp>
    <xdr:clientData/>
  </xdr:twoCellAnchor>
  <xdr:twoCellAnchor>
    <xdr:from>
      <xdr:col>0</xdr:col>
      <xdr:colOff>546100</xdr:colOff>
      <xdr:row>5</xdr:row>
      <xdr:rowOff>152400</xdr:rowOff>
    </xdr:from>
    <xdr:to>
      <xdr:col>8</xdr:col>
      <xdr:colOff>520700</xdr:colOff>
      <xdr:row>19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FFE58A-3093-12BF-66FD-801AAA6A8025}"/>
            </a:ext>
          </a:extLst>
        </xdr:cNvPr>
        <xdr:cNvSpPr txBox="1"/>
      </xdr:nvSpPr>
      <xdr:spPr>
        <a:xfrm>
          <a:off x="546100" y="1104900"/>
          <a:ext cx="5969000" cy="25527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Excel Interface</a:t>
          </a:r>
        </a:p>
        <a:p>
          <a:r>
            <a:rPr lang="en-US" sz="15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Ribbon</a:t>
          </a:r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Command center with multiple tabs (Home, Insert, Formulas)</a:t>
          </a:r>
        </a:p>
        <a:p>
          <a:pPr lvl="0"/>
          <a:r>
            <a:rPr lang="en-US" sz="15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Worksheet</a:t>
          </a:r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grid where we enter data</a:t>
          </a:r>
        </a:p>
        <a:p>
          <a:pPr lvl="0"/>
          <a:r>
            <a:rPr lang="en-US" sz="15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Formula Bar</a:t>
          </a:r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Shows content of the active cell</a:t>
          </a:r>
        </a:p>
        <a:p>
          <a:pPr lvl="0"/>
          <a:r>
            <a:rPr lang="en-US" sz="15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Quick Access Toolbar</a:t>
          </a:r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For frequently used commands</a:t>
          </a:r>
        </a:p>
        <a:p>
          <a:r>
            <a:rPr lang="en-US" sz="15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Navigation Tips:</a:t>
          </a:r>
          <a:endParaRPr lang="en-US" sz="15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-&gt;</a:t>
          </a:r>
          <a:r>
            <a:rPr lang="en-US" sz="15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Arrow keys: Move between cells</a:t>
          </a:r>
        </a:p>
        <a:p>
          <a:pPr lvl="0"/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-&gt; Tab: Move right</a:t>
          </a:r>
        </a:p>
        <a:p>
          <a:pPr lvl="0"/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-&gt; Enter: Move down</a:t>
          </a:r>
        </a:p>
        <a:p>
          <a:pPr lvl="0"/>
          <a:r>
            <a:rPr lang="en-US" sz="15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-&gt; CTRL+Arrow keys: Jump to the edge of data regions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38100</xdr:rowOff>
    </xdr:from>
    <xdr:to>
      <xdr:col>13</xdr:col>
      <xdr:colOff>0</xdr:colOff>
      <xdr:row>14</xdr:row>
      <xdr:rowOff>12700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C9C7CE8-3B87-0746-98F4-E20747A7E63B}"/>
            </a:ext>
          </a:extLst>
        </xdr:cNvPr>
        <xdr:cNvSpPr/>
      </xdr:nvSpPr>
      <xdr:spPr>
        <a:xfrm>
          <a:off x="25400" y="38100"/>
          <a:ext cx="10706100" cy="26416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0</xdr:col>
      <xdr:colOff>457200</xdr:colOff>
      <xdr:row>1</xdr:row>
      <xdr:rowOff>0</xdr:rowOff>
    </xdr:from>
    <xdr:to>
      <xdr:col>12</xdr:col>
      <xdr:colOff>622300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ABF728-DA44-3745-8639-195660D38968}"/>
            </a:ext>
          </a:extLst>
        </xdr:cNvPr>
        <xdr:cNvSpPr txBox="1"/>
      </xdr:nvSpPr>
      <xdr:spPr>
        <a:xfrm>
          <a:off x="457200" y="190500"/>
          <a:ext cx="10071100" cy="6477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Part 2</a:t>
          </a:r>
          <a:r>
            <a:rPr lang="en-US" sz="4000" b="1" baseline="0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 : Working with Formulas and Functions </a:t>
          </a:r>
        </a:p>
      </xdr:txBody>
    </xdr:sp>
    <xdr:clientData/>
  </xdr:twoCellAnchor>
  <xdr:twoCellAnchor>
    <xdr:from>
      <xdr:col>0</xdr:col>
      <xdr:colOff>457200</xdr:colOff>
      <xdr:row>4</xdr:row>
      <xdr:rowOff>165100</xdr:rowOff>
    </xdr:from>
    <xdr:to>
      <xdr:col>4</xdr:col>
      <xdr:colOff>0</xdr:colOff>
      <xdr:row>11</xdr:row>
      <xdr:rowOff>25400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051121-01C6-5840-B971-3C2A58D0ACFB}"/>
            </a:ext>
          </a:extLst>
        </xdr:cNvPr>
        <xdr:cNvSpPr txBox="1"/>
      </xdr:nvSpPr>
      <xdr:spPr>
        <a:xfrm>
          <a:off x="457200" y="927100"/>
          <a:ext cx="2844800" cy="1193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Formula Basics</a:t>
          </a:r>
        </a:p>
        <a:p>
          <a:r>
            <a:rPr lang="en-US" sz="1400" b="1">
              <a:solidFill>
                <a:schemeClr val="dk1"/>
              </a:solidFill>
              <a:latin typeface="+mn-lt"/>
              <a:ea typeface="+mn-ea"/>
              <a:cs typeface="+mn-cs"/>
            </a:rPr>
            <a:t>All formulas in Excel: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Begin with an equals sign (=)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 include cell references (A1, B2)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 use operators (+, -, *, /)</a:t>
          </a:r>
        </a:p>
        <a:p>
          <a:pPr lvl="0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165100</xdr:colOff>
      <xdr:row>4</xdr:row>
      <xdr:rowOff>165100</xdr:rowOff>
    </xdr:from>
    <xdr:to>
      <xdr:col>9</xdr:col>
      <xdr:colOff>63500</xdr:colOff>
      <xdr:row>13</xdr:row>
      <xdr:rowOff>139700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87A9B1-9719-8144-AA44-C1BE1303F081}"/>
            </a:ext>
          </a:extLst>
        </xdr:cNvPr>
        <xdr:cNvSpPr txBox="1"/>
      </xdr:nvSpPr>
      <xdr:spPr>
        <a:xfrm>
          <a:off x="3467100" y="927100"/>
          <a:ext cx="4025900" cy="1689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Common Functions</a:t>
          </a:r>
        </a:p>
        <a:p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>
              <a:solidFill>
                <a:schemeClr val="dk1"/>
              </a:solidFill>
              <a:latin typeface="+mn-lt"/>
              <a:ea typeface="+mn-ea"/>
              <a:cs typeface="+mn-cs"/>
            </a:rPr>
            <a:t>Function	Purpose		Exmaple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SUM()	Add values		=SUM(A1:A10)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AVERAGE()	Calculates mean	=AVERAGE(B1:B10)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COUNT()	Count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numbers	  	=COUNT(C1:C10)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MAX()	Find highest value	=MAX(D1:D10)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MIN()	Find Lowest value	=MIN(E1:E10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38100</xdr:colOff>
      <xdr:row>28</xdr:row>
      <xdr:rowOff>25400</xdr:rowOff>
    </xdr:from>
    <xdr:to>
      <xdr:col>13</xdr:col>
      <xdr:colOff>12700</xdr:colOff>
      <xdr:row>42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41542C0B-E97E-704D-A923-E9831F97763B}"/>
            </a:ext>
          </a:extLst>
        </xdr:cNvPr>
        <xdr:cNvSpPr/>
      </xdr:nvSpPr>
      <xdr:spPr>
        <a:xfrm>
          <a:off x="38100" y="5372100"/>
          <a:ext cx="10706100" cy="26416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0</xdr:col>
      <xdr:colOff>304800</xdr:colOff>
      <xdr:row>29</xdr:row>
      <xdr:rowOff>25400</xdr:rowOff>
    </xdr:from>
    <xdr:to>
      <xdr:col>8</xdr:col>
      <xdr:colOff>508000</xdr:colOff>
      <xdr:row>40</xdr:row>
      <xdr:rowOff>101600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1C39CD-A2FB-2B45-B155-0DF567053F40}"/>
            </a:ext>
          </a:extLst>
        </xdr:cNvPr>
        <xdr:cNvSpPr txBox="1"/>
      </xdr:nvSpPr>
      <xdr:spPr>
        <a:xfrm>
          <a:off x="304800" y="5562600"/>
          <a:ext cx="6807200" cy="21717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Exercise 2: Creating Total Sales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 in the first Total cell (row 2)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formula: =SUM(C2:E2)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the fill handle (Move your cursor to the corner of the cell until it changes to a "+" and drag your cursor to the bottom of column F) to copy down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Cell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References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Relative references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(A1): Change when copied (most common)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Absolute references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($A$1): Don't change when copied (use for constants)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Mixed references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($A1 or A$1): Only one part stays fixed</a:t>
          </a:r>
        </a:p>
      </xdr:txBody>
    </xdr:sp>
    <xdr:clientData/>
  </xdr:twoCellAnchor>
  <xdr:twoCellAnchor>
    <xdr:from>
      <xdr:col>0</xdr:col>
      <xdr:colOff>38100</xdr:colOff>
      <xdr:row>57</xdr:row>
      <xdr:rowOff>38100</xdr:rowOff>
    </xdr:from>
    <xdr:to>
      <xdr:col>13</xdr:col>
      <xdr:colOff>12700</xdr:colOff>
      <xdr:row>66</xdr:row>
      <xdr:rowOff>114300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A9C8198B-76A5-4546-B988-AD629D682093}"/>
            </a:ext>
          </a:extLst>
        </xdr:cNvPr>
        <xdr:cNvSpPr/>
      </xdr:nvSpPr>
      <xdr:spPr>
        <a:xfrm>
          <a:off x="38100" y="10922000"/>
          <a:ext cx="10706100" cy="17907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0</xdr:col>
      <xdr:colOff>241300</xdr:colOff>
      <xdr:row>58</xdr:row>
      <xdr:rowOff>25400</xdr:rowOff>
    </xdr:from>
    <xdr:to>
      <xdr:col>6</xdr:col>
      <xdr:colOff>254000</xdr:colOff>
      <xdr:row>65</xdr:row>
      <xdr:rowOff>165100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EAA3C9-2C16-3F4D-B363-20322B1879AE}"/>
            </a:ext>
          </a:extLst>
        </xdr:cNvPr>
        <xdr:cNvSpPr txBox="1"/>
      </xdr:nvSpPr>
      <xdr:spPr>
        <a:xfrm>
          <a:off x="241300" y="11099800"/>
          <a:ext cx="4965700" cy="14732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Exercise 3: Creating Summary Statistics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a summary section with: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Sales: =SUM(F2:F11)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Monthly Sales: =AVERAGE(C2:E11)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Best Month: =MAX(C2:E11)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Worst Month: =MIN(C2:E11)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38100</xdr:rowOff>
    </xdr:from>
    <xdr:to>
      <xdr:col>17</xdr:col>
      <xdr:colOff>266700</xdr:colOff>
      <xdr:row>19</xdr:row>
      <xdr:rowOff>88900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FCD1817-527C-D547-BC2A-D5ED836E90F2}"/>
            </a:ext>
          </a:extLst>
        </xdr:cNvPr>
        <xdr:cNvSpPr/>
      </xdr:nvSpPr>
      <xdr:spPr>
        <a:xfrm>
          <a:off x="25400" y="38100"/>
          <a:ext cx="16217900" cy="36703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0</xdr:col>
      <xdr:colOff>419100</xdr:colOff>
      <xdr:row>0</xdr:row>
      <xdr:rowOff>152400</xdr:rowOff>
    </xdr:from>
    <xdr:to>
      <xdr:col>12</xdr:col>
      <xdr:colOff>25400</xdr:colOff>
      <xdr:row>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2250E6-4329-6A41-97C1-2915D78EEF57}"/>
            </a:ext>
          </a:extLst>
        </xdr:cNvPr>
        <xdr:cNvSpPr txBox="1"/>
      </xdr:nvSpPr>
      <xdr:spPr>
        <a:xfrm>
          <a:off x="419100" y="152400"/>
          <a:ext cx="9512300" cy="6477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Part 3</a:t>
          </a:r>
          <a:r>
            <a:rPr lang="en-US" sz="4000" b="1" baseline="0">
              <a:ln>
                <a:gradFill flip="none" rotWithShape="1">
                  <a:gsLst>
                    <a:gs pos="0">
                      <a:schemeClr val="accent1">
                        <a:lumMod val="67000"/>
                      </a:schemeClr>
                    </a:gs>
                    <a:gs pos="39000">
                      <a:schemeClr val="accent1">
                        <a:lumMod val="97000"/>
                        <a:lumOff val="3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97000"/>
                      <a:lumOff val="3000"/>
                    </a:schemeClr>
                  </a:gs>
                  <a:gs pos="39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a:rPr>
            <a:t> : Data Visualization and Formatting </a:t>
          </a:r>
        </a:p>
      </xdr:txBody>
    </xdr:sp>
    <xdr:clientData/>
  </xdr:twoCellAnchor>
  <xdr:twoCellAnchor>
    <xdr:from>
      <xdr:col>0</xdr:col>
      <xdr:colOff>419100</xdr:colOff>
      <xdr:row>4</xdr:row>
      <xdr:rowOff>88900</xdr:rowOff>
    </xdr:from>
    <xdr:to>
      <xdr:col>5</xdr:col>
      <xdr:colOff>393700</xdr:colOff>
      <xdr:row>18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E1F8C6-D135-0D4B-8E62-239D9650F438}"/>
            </a:ext>
          </a:extLst>
        </xdr:cNvPr>
        <xdr:cNvSpPr txBox="1"/>
      </xdr:nvSpPr>
      <xdr:spPr>
        <a:xfrm>
          <a:off x="419100" y="850900"/>
          <a:ext cx="4102100" cy="27432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Basic Formatting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400" b="1"/>
            <a:t>Number</a:t>
          </a:r>
          <a:r>
            <a:rPr lang="en-US" sz="1400" b="1" baseline="0"/>
            <a:t> Formats : </a:t>
          </a:r>
          <a:r>
            <a:rPr lang="en-US" sz="1400" b="0" baseline="0"/>
            <a:t>Currency, Percentage,  Dates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400" b="1" baseline="0"/>
            <a:t>Cells styles :</a:t>
          </a:r>
          <a:r>
            <a:rPr lang="en-US" sz="1400" b="0" baseline="0"/>
            <a:t> Bold, Italic, Fill colors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Alignment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Left, center, right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formatting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Format as Table option</a:t>
          </a:r>
        </a:p>
        <a:p>
          <a:pPr marL="0" indent="0">
            <a:buFontTx/>
            <a:buNone/>
          </a:pPr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Conditional Formatting</a:t>
          </a:r>
        </a:p>
        <a:p>
          <a:pPr marL="0" indent="0"/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Automatically format cells based on their values: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Highlight values above/below thresholds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Color scales to show trends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Data bars for visual comparison</a:t>
          </a:r>
        </a:p>
        <a:p>
          <a:pPr marL="0" indent="0">
            <a:buFontTx/>
            <a:buNone/>
          </a:pPr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508000</xdr:colOff>
      <xdr:row>4</xdr:row>
      <xdr:rowOff>76200</xdr:rowOff>
    </xdr:from>
    <xdr:to>
      <xdr:col>10</xdr:col>
      <xdr:colOff>482600</xdr:colOff>
      <xdr:row>18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5736BD-075B-294A-8DA0-6EB0F31CB2D6}"/>
            </a:ext>
          </a:extLst>
        </xdr:cNvPr>
        <xdr:cNvSpPr txBox="1"/>
      </xdr:nvSpPr>
      <xdr:spPr>
        <a:xfrm>
          <a:off x="4635500" y="838200"/>
          <a:ext cx="4102100" cy="27432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Exercise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4: Applying Formatting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your sales data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currency formatting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 as a table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conditional formatting to highlight top performers</a:t>
          </a:r>
        </a:p>
        <a:p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Creating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Charts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your data including headers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to Insert tab &gt; Charts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Choose an appropriate chart type:</a:t>
          </a:r>
        </a:p>
        <a:p>
          <a:pPr marL="628650" lvl="1" indent="-171450">
            <a:buFont typeface="Wingdings" pitchFamily="2" charset="2"/>
            <a:buChar char="ü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Column/Bar: Comparing values</a:t>
          </a:r>
        </a:p>
        <a:p>
          <a:pPr marL="628650" lvl="1" indent="-171450">
            <a:buFont typeface="Wingdings" pitchFamily="2" charset="2"/>
            <a:buChar char="ü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Line: Showing trends over time\</a:t>
          </a:r>
        </a:p>
        <a:p>
          <a:pPr marL="628650" lvl="1" indent="-171450">
            <a:buFont typeface="Wingdings" pitchFamily="2" charset="2"/>
            <a:buChar char="ü"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Pie: Showing parts of a whole</a:t>
          </a:r>
        </a:p>
        <a:p>
          <a:pPr marL="0" indent="0">
            <a:buFontTx/>
            <a:buNone/>
          </a:pPr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12700</xdr:colOff>
      <xdr:row>21</xdr:row>
      <xdr:rowOff>6350</xdr:rowOff>
    </xdr:from>
    <xdr:to>
      <xdr:col>14</xdr:col>
      <xdr:colOff>927100</xdr:colOff>
      <xdr:row>42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2A1CFB-9399-C6FB-6A2B-9CC817BB0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88900</xdr:colOff>
      <xdr:row>20</xdr:row>
      <xdr:rowOff>184150</xdr:rowOff>
    </xdr:from>
    <xdr:to>
      <xdr:col>21</xdr:col>
      <xdr:colOff>889000</xdr:colOff>
      <xdr:row>43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4B3772-3560-BD22-989E-3E9E0E9AC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571500</xdr:colOff>
      <xdr:row>4</xdr:row>
      <xdr:rowOff>101600</xdr:rowOff>
    </xdr:from>
    <xdr:to>
      <xdr:col>16</xdr:col>
      <xdr:colOff>241300</xdr:colOff>
      <xdr:row>12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4796DF-0146-6240-9A0B-CC3C0FCE070A}"/>
            </a:ext>
          </a:extLst>
        </xdr:cNvPr>
        <xdr:cNvSpPr txBox="1"/>
      </xdr:nvSpPr>
      <xdr:spPr>
        <a:xfrm>
          <a:off x="9969500" y="863600"/>
          <a:ext cx="5308600" cy="157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Exercise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Building your Dashboard</a:t>
          </a:r>
          <a:endParaRPr lang="en-US" sz="24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Combine all elements:</a:t>
          </a:r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data table with totals</a:t>
          </a:r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 statistics</a:t>
          </a:r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sales chart</a:t>
          </a:r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category breakdown</a:t>
          </a:r>
        </a:p>
        <a:p>
          <a:pPr marL="0" indent="0">
            <a:buFontTx/>
            <a:buNone/>
          </a:pPr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1A0523-CA10-B4E7-2508-73C57F7C000D}"/>
            </a:ext>
          </a:extLst>
        </xdr:cNvPr>
        <xdr:cNvSpPr/>
      </xdr:nvSpPr>
      <xdr:spPr>
        <a:xfrm>
          <a:off x="0" y="0"/>
          <a:ext cx="3302000" cy="7620000"/>
        </a:xfrm>
        <a:prstGeom prst="rect">
          <a:avLst/>
        </a:prstGeom>
      </xdr:spPr>
      <xdr:style>
        <a:lnRef idx="1">
          <a:schemeClr val="dk1"/>
        </a:lnRef>
        <a:fillRef idx="1003">
          <a:schemeClr val="lt2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tp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22</xdr:col>
      <xdr:colOff>0</xdr:colOff>
      <xdr:row>40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DD8AA8-6E1B-54A5-6F3A-DC97790B9D9B}"/>
            </a:ext>
          </a:extLst>
        </xdr:cNvPr>
        <xdr:cNvSpPr/>
      </xdr:nvSpPr>
      <xdr:spPr>
        <a:xfrm>
          <a:off x="3302000" y="0"/>
          <a:ext cx="14859000" cy="7620000"/>
        </a:xfrm>
        <a:prstGeom prst="rect">
          <a:avLst/>
        </a:prstGeom>
        <a:solidFill>
          <a:srgbClr val="FFC695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38100</xdr:colOff>
      <xdr:row>0</xdr:row>
      <xdr:rowOff>0</xdr:rowOff>
    </xdr:from>
    <xdr:to>
      <xdr:col>22</xdr:col>
      <xdr:colOff>25400</xdr:colOff>
      <xdr:row>24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D500F2-A884-5247-BA18-C53C96667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</xdr:colOff>
      <xdr:row>24</xdr:row>
      <xdr:rowOff>50800</xdr:rowOff>
    </xdr:from>
    <xdr:to>
      <xdr:col>9</xdr:col>
      <xdr:colOff>622300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27756C-C4B5-5042-8F04-8DA208E8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635000</xdr:colOff>
      <xdr:row>24</xdr:row>
      <xdr:rowOff>50800</xdr:rowOff>
    </xdr:from>
    <xdr:to>
      <xdr:col>15</xdr:col>
      <xdr:colOff>304800</xdr:colOff>
      <xdr:row>40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C7AF03-9487-8B48-864B-95548609E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304800</xdr:colOff>
      <xdr:row>24</xdr:row>
      <xdr:rowOff>50800</xdr:rowOff>
    </xdr:from>
    <xdr:to>
      <xdr:col>22</xdr:col>
      <xdr:colOff>25400</xdr:colOff>
      <xdr:row>40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D6ACE0-EBD1-B94D-A36E-9E6E90BE3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139700</xdr:colOff>
      <xdr:row>0</xdr:row>
      <xdr:rowOff>177800</xdr:rowOff>
    </xdr:from>
    <xdr:to>
      <xdr:col>3</xdr:col>
      <xdr:colOff>647700</xdr:colOff>
      <xdr:row>3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5BA16C2-DFBD-BB0D-8B55-7AB881C55EDA}"/>
            </a:ext>
          </a:extLst>
        </xdr:cNvPr>
        <xdr:cNvSpPr txBox="1"/>
      </xdr:nvSpPr>
      <xdr:spPr>
        <a:xfrm>
          <a:off x="139700" y="177800"/>
          <a:ext cx="2984500" cy="49530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solidFill>
                <a:schemeClr val="tx1"/>
              </a:solidFill>
            </a:rPr>
            <a:t>Summary Statistics </a:t>
          </a:r>
        </a:p>
      </xdr:txBody>
    </xdr:sp>
    <xdr:clientData/>
  </xdr:twoCellAnchor>
  <xdr:twoCellAnchor>
    <xdr:from>
      <xdr:col>0</xdr:col>
      <xdr:colOff>228600</xdr:colOff>
      <xdr:row>5</xdr:row>
      <xdr:rowOff>0</xdr:rowOff>
    </xdr:from>
    <xdr:to>
      <xdr:col>3</xdr:col>
      <xdr:colOff>571500</xdr:colOff>
      <xdr:row>7</xdr:row>
      <xdr:rowOff>127000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8E80578-27AF-F10B-2744-1E1D7AE604B1}"/>
            </a:ext>
          </a:extLst>
        </xdr:cNvPr>
        <xdr:cNvSpPr txBox="1"/>
      </xdr:nvSpPr>
      <xdr:spPr>
        <a:xfrm>
          <a:off x="228600" y="952500"/>
          <a:ext cx="2819400" cy="50800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tx1"/>
              </a:solidFill>
            </a:rPr>
            <a:t>Total</a:t>
          </a:r>
          <a:r>
            <a:rPr lang="en-US" sz="2400" baseline="0">
              <a:solidFill>
                <a:schemeClr val="tx1"/>
              </a:solidFill>
            </a:rPr>
            <a:t> Revenue </a:t>
          </a:r>
          <a:endParaRPr lang="en-US" sz="2400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190500</xdr:colOff>
      <xdr:row>8</xdr:row>
      <xdr:rowOff>152400</xdr:rowOff>
    </xdr:from>
    <xdr:ext cx="2819400" cy="520700"/>
    <xdr:sp macro="" textlink="'Part 3'!F32">
      <xdr:nvSpPr>
        <xdr:cNvPr id="11" name="TextBox 10">
          <a:extLst>
            <a:ext uri="{FF2B5EF4-FFF2-40B4-BE49-F238E27FC236}">
              <a16:creationId xmlns:a16="http://schemas.microsoft.com/office/drawing/2014/main" id="{AEAAFF6F-4FF2-6740-93CB-4576363E10D9}"/>
            </a:ext>
          </a:extLst>
        </xdr:cNvPr>
        <xdr:cNvSpPr txBox="1"/>
      </xdr:nvSpPr>
      <xdr:spPr>
        <a:xfrm>
          <a:off x="190500" y="1676400"/>
          <a:ext cx="2819400" cy="52070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fld id="{35BA122F-DA44-6D4D-BF06-3E6CDEE5A15D}" type="TxLink">
            <a:rPr lang="en-US" sz="2400" b="0" i="0" u="none" strike="noStrike">
              <a:solidFill>
                <a:schemeClr val="tx1"/>
              </a:solidFill>
              <a:latin typeface="Aptos Narrow"/>
            </a:rPr>
            <a:t> $11,810 </a:t>
          </a:fld>
          <a:endParaRPr lang="en-US" sz="400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190500</xdr:colOff>
      <xdr:row>12</xdr:row>
      <xdr:rowOff>88900</xdr:rowOff>
    </xdr:from>
    <xdr:to>
      <xdr:col>3</xdr:col>
      <xdr:colOff>533400</xdr:colOff>
      <xdr:row>15</xdr:row>
      <xdr:rowOff>25400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931A53-D1D2-1949-B877-057942FBCFD0}"/>
            </a:ext>
          </a:extLst>
        </xdr:cNvPr>
        <xdr:cNvSpPr txBox="1"/>
      </xdr:nvSpPr>
      <xdr:spPr>
        <a:xfrm>
          <a:off x="190500" y="2374900"/>
          <a:ext cx="2819400" cy="50800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tx1"/>
              </a:solidFill>
            </a:rPr>
            <a:t>Average Order values</a:t>
          </a:r>
        </a:p>
      </xdr:txBody>
    </xdr:sp>
    <xdr:clientData/>
  </xdr:twoCellAnchor>
  <xdr:twoCellAnchor>
    <xdr:from>
      <xdr:col>0</xdr:col>
      <xdr:colOff>177800</xdr:colOff>
      <xdr:row>15</xdr:row>
      <xdr:rowOff>177800</xdr:rowOff>
    </xdr:from>
    <xdr:to>
      <xdr:col>3</xdr:col>
      <xdr:colOff>520700</xdr:colOff>
      <xdr:row>18</xdr:row>
      <xdr:rowOff>114300</xdr:rowOff>
    </xdr:to>
    <xdr:sp macro="" textlink="'Part 3'!A35">
      <xdr:nvSpPr>
        <xdr:cNvPr id="13" name="TextBox 12">
          <a:extLst>
            <a:ext uri="{FF2B5EF4-FFF2-40B4-BE49-F238E27FC236}">
              <a16:creationId xmlns:a16="http://schemas.microsoft.com/office/drawing/2014/main" id="{68B0B904-2FB9-0C48-8AF2-5150C555116F}"/>
            </a:ext>
          </a:extLst>
        </xdr:cNvPr>
        <xdr:cNvSpPr txBox="1"/>
      </xdr:nvSpPr>
      <xdr:spPr>
        <a:xfrm>
          <a:off x="177800" y="3035300"/>
          <a:ext cx="2819400" cy="50800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33C1832-0882-4B4D-83C2-5C5279555047}" type="TxLink">
            <a:rPr lang="en-US" sz="2400" b="0" i="0" u="none" strike="noStrike">
              <a:solidFill>
                <a:schemeClr val="tx1"/>
              </a:solidFill>
              <a:latin typeface="Aptos Narrow"/>
            </a:rPr>
            <a:t> $437 </a:t>
          </a:fld>
          <a:endParaRPr lang="en-US" sz="24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628CE-D452-D544-A40B-578288BC8E2A}" name="Table1" displayName="Table1" ref="B21:G31" totalsRowShown="0">
  <autoFilter ref="B21:G31" xr:uid="{ECB628CE-D452-D544-A40B-578288BC8E2A}"/>
  <tableColumns count="6">
    <tableColumn id="1" xr3:uid="{EB52E2E9-1328-A845-81E4-9664978406D1}" name="Product"/>
    <tableColumn id="2" xr3:uid="{40F4EB5F-D349-8840-8657-D5049271CBCE}" name="Category"/>
    <tableColumn id="3" xr3:uid="{1AA20F9D-7E4E-2246-A0ED-7C030C4DC1FF}" name="Jan Sales"/>
    <tableColumn id="4" xr3:uid="{70815560-6B4A-EC40-A306-6573BF02BFFE}" name="Feb Sales"/>
    <tableColumn id="5" xr3:uid="{39892675-813C-3942-97BC-A005B5A7C9B7}" name="Mar Sales"/>
    <tableColumn id="6" xr3:uid="{F599078F-1EDF-994E-A2E9-2D9D77DE1A90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1192E0-C79E-2F4C-914B-FC59A8561DEA}" name="Table13" displayName="Table13" ref="A17:F27" totalsRowShown="0">
  <autoFilter ref="A17:F27" xr:uid="{121192E0-C79E-2F4C-914B-FC59A8561DEA}"/>
  <tableColumns count="6">
    <tableColumn id="1" xr3:uid="{A41EBB4F-7830-2646-AD03-C6369A9ABF4E}" name="Product"/>
    <tableColumn id="2" xr3:uid="{8B4E13CD-3617-AB41-961E-389B86C146DE}" name="Category"/>
    <tableColumn id="3" xr3:uid="{43D1F14D-26BE-1945-8DE5-BC71E047BAAF}" name="Jan Sales"/>
    <tableColumn id="4" xr3:uid="{1F3DDBF4-2932-CD44-B6F8-38D91A89DB58}" name="Feb Sales"/>
    <tableColumn id="5" xr3:uid="{B17DC838-527A-CF40-93FD-09EBFCCE7F4D}" name="Mar Sales"/>
    <tableColumn id="6" xr3:uid="{7B76641B-F4C2-974E-ABF3-E19E84473694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2FD01-2D5A-444E-AD75-04BC74026D01}" name="Table134" displayName="Table134" ref="A45:I55" totalsRowShown="0">
  <autoFilter ref="A45:I55" xr:uid="{E802FD01-2D5A-444E-AD75-04BC74026D01}"/>
  <tableColumns count="9">
    <tableColumn id="1" xr3:uid="{B9EBE85F-3B50-4E42-B707-5D6E40CDF739}" name="Product"/>
    <tableColumn id="2" xr3:uid="{E5EE71F8-040F-2A4A-AFB1-7CF8E5E912CB}" name="Category"/>
    <tableColumn id="3" xr3:uid="{F0A3EDC1-FBF2-464F-95CF-731071580360}" name="Jan Sales"/>
    <tableColumn id="4" xr3:uid="{6E4B2437-6653-E445-8743-781484F1B8C1}" name="Feb Sales"/>
    <tableColumn id="5" xr3:uid="{CD0DA1A1-E610-194B-A0C1-F594A2441050}" name="Mar Sales"/>
    <tableColumn id="6" xr3:uid="{5FB72C9B-86B7-0849-9FE0-A89D97834609}" name="Total"/>
    <tableColumn id="7" xr3:uid="{133DFC6A-2CA0-8243-A52C-29CACD5437CF}" name="After Tax rate jan" dataDxfId="3">
      <calculatedColumnFormula>Table134[[#This Row],[Jan Sales]]-(Table134[[#This Row],[Jan Sales]]*$G$44)</calculatedColumnFormula>
    </tableColumn>
    <tableColumn id="8" xr3:uid="{BE0AD466-854D-304F-8356-7EA6BE04478F}" name="After Tax rate Feb" dataDxfId="2">
      <calculatedColumnFormula>Table134[[#This Row],[Feb Sales]]-(Table134[[#This Row],[Feb Sales]]*$H$44)</calculatedColumnFormula>
    </tableColumn>
    <tableColumn id="9" xr3:uid="{5FC7EDC4-BDF4-1547-AB13-4B8E5CE08C16}" name="After Tax rate Mar" dataDxfId="1">
      <calculatedColumnFormula>Table134[[#This Row],[Mar Sales]]-(Table134[[#This Row],[Mar Sales]]*$I$44)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E8BD76-46A8-7B46-94E9-F20A205FFDA6}" name="Table135" displayName="Table135" ref="A22:F32" totalsRowShown="0" headerRowDxfId="11" dataDxfId="10">
  <autoFilter ref="A22:F32" xr:uid="{94E8BD76-46A8-7B46-94E9-F20A205FFDA6}"/>
  <tableColumns count="6">
    <tableColumn id="1" xr3:uid="{23B32031-AA9B-9341-AEBA-65984CF04999}" name="Product" dataDxfId="9"/>
    <tableColumn id="2" xr3:uid="{5FB6B9E5-AFC4-874C-9BBC-0E9EC50083CB}" name="Category" dataDxfId="8"/>
    <tableColumn id="3" xr3:uid="{BD3C4313-A6DE-CD40-A54C-941703343A9F}" name="Jan Sales" dataDxfId="7" dataCellStyle="Currency"/>
    <tableColumn id="4" xr3:uid="{78B159EF-B558-E34D-BAEA-3C8C83A7946E}" name="Feb Sales" dataDxfId="6" dataCellStyle="Currency"/>
    <tableColumn id="5" xr3:uid="{19C2FB38-849A-1A4C-AB74-1CCDFD33D841}" name="Mar Sales" dataDxfId="5" dataCellStyle="Currency"/>
    <tableColumn id="6" xr3:uid="{DAFF8724-DE54-FD49-BD9A-6A8ADF9C5957}" name="Total" dataDxfId="4" dataCellStyle="Currenc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1:G31"/>
  <sheetViews>
    <sheetView showGridLines="0" workbookViewId="0">
      <selection activeCell="G36" sqref="G36"/>
    </sheetView>
  </sheetViews>
  <sheetFormatPr baseColWidth="10" defaultColWidth="9.83203125" defaultRowHeight="15" x14ac:dyDescent="0.2"/>
  <sheetData>
    <row r="21" spans="2:7" ht="16" x14ac:dyDescent="0.2">
      <c r="B21" t="s">
        <v>0</v>
      </c>
      <c r="C21" t="s">
        <v>1</v>
      </c>
      <c r="D21" s="1" t="s">
        <v>2</v>
      </c>
      <c r="E21" t="s">
        <v>3</v>
      </c>
      <c r="F21" t="s">
        <v>4</v>
      </c>
      <c r="G21" t="s">
        <v>5</v>
      </c>
    </row>
    <row r="22" spans="2:7" x14ac:dyDescent="0.2">
      <c r="B22" t="s">
        <v>6</v>
      </c>
      <c r="C22" t="s">
        <v>7</v>
      </c>
      <c r="D22">
        <v>1200</v>
      </c>
      <c r="E22">
        <v>1400</v>
      </c>
      <c r="F22">
        <v>1350</v>
      </c>
    </row>
    <row r="23" spans="2:7" x14ac:dyDescent="0.2">
      <c r="B23" t="s">
        <v>8</v>
      </c>
      <c r="C23" t="s">
        <v>7</v>
      </c>
      <c r="D23">
        <v>800</v>
      </c>
      <c r="E23">
        <v>950</v>
      </c>
      <c r="F23">
        <v>1100</v>
      </c>
    </row>
    <row r="24" spans="2:7" x14ac:dyDescent="0.2">
      <c r="B24" t="s">
        <v>9</v>
      </c>
      <c r="C24" t="s">
        <v>7</v>
      </c>
      <c r="D24">
        <v>150</v>
      </c>
      <c r="E24">
        <v>200</v>
      </c>
      <c r="F24">
        <v>250</v>
      </c>
    </row>
    <row r="25" spans="2:7" x14ac:dyDescent="0.2">
      <c r="B25" t="s">
        <v>10</v>
      </c>
      <c r="C25" t="s">
        <v>11</v>
      </c>
      <c r="D25">
        <v>350</v>
      </c>
      <c r="E25">
        <v>300</v>
      </c>
      <c r="F25">
        <v>400</v>
      </c>
    </row>
    <row r="26" spans="2:7" x14ac:dyDescent="0.2">
      <c r="B26" t="s">
        <v>12</v>
      </c>
      <c r="C26" t="s">
        <v>13</v>
      </c>
      <c r="D26">
        <v>120</v>
      </c>
      <c r="E26">
        <v>140</v>
      </c>
      <c r="F26">
        <v>160</v>
      </c>
    </row>
    <row r="27" spans="2:7" x14ac:dyDescent="0.2">
      <c r="B27" t="s">
        <v>14</v>
      </c>
      <c r="C27" t="s">
        <v>13</v>
      </c>
      <c r="D27">
        <v>80</v>
      </c>
      <c r="E27">
        <v>100</v>
      </c>
      <c r="F27">
        <v>110</v>
      </c>
    </row>
    <row r="28" spans="2:7" x14ac:dyDescent="0.2">
      <c r="B28" t="s">
        <v>15</v>
      </c>
      <c r="C28" t="s">
        <v>16</v>
      </c>
      <c r="D28">
        <v>200</v>
      </c>
      <c r="E28">
        <v>250</v>
      </c>
      <c r="F28">
        <v>300</v>
      </c>
    </row>
    <row r="29" spans="2:7" x14ac:dyDescent="0.2">
      <c r="B29" t="s">
        <v>17</v>
      </c>
      <c r="C29" t="s">
        <v>16</v>
      </c>
      <c r="D29">
        <v>300</v>
      </c>
      <c r="E29">
        <v>350</v>
      </c>
      <c r="F29">
        <v>400</v>
      </c>
    </row>
    <row r="30" spans="2:7" x14ac:dyDescent="0.2">
      <c r="B30" t="s">
        <v>18</v>
      </c>
      <c r="C30" t="s">
        <v>19</v>
      </c>
      <c r="D30">
        <v>250</v>
      </c>
      <c r="E30">
        <v>280</v>
      </c>
      <c r="F30">
        <v>320</v>
      </c>
    </row>
    <row r="31" spans="2:7" x14ac:dyDescent="0.2">
      <c r="B31" t="s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D2C0-1EC2-CC4C-8BD0-B894C8502234}">
  <dimension ref="A17:I73"/>
  <sheetViews>
    <sheetView showGridLines="0" topLeftCell="A2" workbookViewId="0">
      <selection activeCell="A17" sqref="A17:F27"/>
    </sheetView>
  </sheetViews>
  <sheetFormatPr baseColWidth="10" defaultRowHeight="15" x14ac:dyDescent="0.2"/>
  <sheetData>
    <row r="17" spans="1:9" ht="16" x14ac:dyDescent="0.2">
      <c r="A17" t="s">
        <v>0</v>
      </c>
      <c r="B17" t="s">
        <v>1</v>
      </c>
      <c r="C17" s="1" t="s">
        <v>2</v>
      </c>
      <c r="D17" t="s">
        <v>3</v>
      </c>
      <c r="E17" t="s">
        <v>4</v>
      </c>
      <c r="F17" t="s">
        <v>5</v>
      </c>
      <c r="H17" s="3" t="s">
        <v>20</v>
      </c>
      <c r="I17" s="3">
        <f>SUM(F18:F26)</f>
        <v>11810</v>
      </c>
    </row>
    <row r="18" spans="1:9" x14ac:dyDescent="0.2">
      <c r="A18" t="s">
        <v>6</v>
      </c>
      <c r="B18" t="s">
        <v>7</v>
      </c>
      <c r="C18">
        <v>1200</v>
      </c>
      <c r="D18">
        <v>1400</v>
      </c>
      <c r="E18">
        <v>1350</v>
      </c>
      <c r="F18">
        <f>SUM(Table13[[#This Row],[Jan Sales]:[Mar Sales]])</f>
        <v>3950</v>
      </c>
      <c r="H18" s="5" t="s">
        <v>21</v>
      </c>
      <c r="I18" s="5">
        <f>AVERAGE(F18:F26)</f>
        <v>1312.2222222222222</v>
      </c>
    </row>
    <row r="19" spans="1:9" x14ac:dyDescent="0.2">
      <c r="A19" t="s">
        <v>8</v>
      </c>
      <c r="B19" t="s">
        <v>7</v>
      </c>
      <c r="C19">
        <v>800</v>
      </c>
      <c r="D19">
        <v>950</v>
      </c>
      <c r="E19">
        <v>1100</v>
      </c>
      <c r="F19">
        <f>SUM(Table13[[#This Row],[Jan Sales]:[Mar Sales]])</f>
        <v>2850</v>
      </c>
      <c r="H19" s="3" t="s">
        <v>22</v>
      </c>
      <c r="I19" s="3">
        <f>COUNT(F18:F26)</f>
        <v>9</v>
      </c>
    </row>
    <row r="20" spans="1:9" x14ac:dyDescent="0.2">
      <c r="A20" t="s">
        <v>9</v>
      </c>
      <c r="B20" t="s">
        <v>7</v>
      </c>
      <c r="C20">
        <v>150</v>
      </c>
      <c r="D20">
        <v>200</v>
      </c>
      <c r="E20">
        <v>250</v>
      </c>
      <c r="F20">
        <f>SUM(Table13[[#This Row],[Jan Sales]:[Mar Sales]])</f>
        <v>600</v>
      </c>
      <c r="H20" s="5" t="s">
        <v>23</v>
      </c>
      <c r="I20" s="5">
        <f>MAX(F18:F26)</f>
        <v>3950</v>
      </c>
    </row>
    <row r="21" spans="1:9" x14ac:dyDescent="0.2">
      <c r="A21" t="s">
        <v>10</v>
      </c>
      <c r="B21" t="s">
        <v>11</v>
      </c>
      <c r="C21">
        <v>350</v>
      </c>
      <c r="D21">
        <v>300</v>
      </c>
      <c r="E21">
        <v>400</v>
      </c>
      <c r="F21">
        <f>SUM(Table13[[#This Row],[Jan Sales]:[Mar Sales]])</f>
        <v>1050</v>
      </c>
      <c r="H21" s="3" t="s">
        <v>24</v>
      </c>
      <c r="I21" s="3">
        <f>MIN(F18:F26)</f>
        <v>290</v>
      </c>
    </row>
    <row r="22" spans="1:9" x14ac:dyDescent="0.2">
      <c r="A22" t="s">
        <v>12</v>
      </c>
      <c r="B22" t="s">
        <v>13</v>
      </c>
      <c r="C22">
        <v>120</v>
      </c>
      <c r="D22">
        <v>140</v>
      </c>
      <c r="E22">
        <v>160</v>
      </c>
      <c r="F22">
        <f>SUM(Table13[[#This Row],[Jan Sales]:[Mar Sales]])</f>
        <v>420</v>
      </c>
    </row>
    <row r="23" spans="1:9" x14ac:dyDescent="0.2">
      <c r="A23" t="s">
        <v>14</v>
      </c>
      <c r="B23" t="s">
        <v>13</v>
      </c>
      <c r="C23">
        <v>80</v>
      </c>
      <c r="D23">
        <v>100</v>
      </c>
      <c r="E23">
        <v>110</v>
      </c>
      <c r="F23">
        <f>SUM(Table13[[#This Row],[Jan Sales]:[Mar Sales]])</f>
        <v>290</v>
      </c>
    </row>
    <row r="24" spans="1:9" x14ac:dyDescent="0.2">
      <c r="A24" t="s">
        <v>15</v>
      </c>
      <c r="B24" t="s">
        <v>16</v>
      </c>
      <c r="C24">
        <v>200</v>
      </c>
      <c r="D24">
        <v>250</v>
      </c>
      <c r="E24">
        <v>300</v>
      </c>
      <c r="F24">
        <f>SUM(Table13[[#This Row],[Jan Sales]:[Mar Sales]])</f>
        <v>750</v>
      </c>
    </row>
    <row r="25" spans="1:9" x14ac:dyDescent="0.2">
      <c r="A25" t="s">
        <v>17</v>
      </c>
      <c r="B25" t="s">
        <v>16</v>
      </c>
      <c r="C25">
        <v>300</v>
      </c>
      <c r="D25">
        <v>350</v>
      </c>
      <c r="E25">
        <v>400</v>
      </c>
      <c r="F25">
        <f>SUM(Table13[[#This Row],[Jan Sales]:[Mar Sales]])</f>
        <v>1050</v>
      </c>
    </row>
    <row r="26" spans="1:9" x14ac:dyDescent="0.2">
      <c r="A26" t="s">
        <v>18</v>
      </c>
      <c r="B26" t="s">
        <v>19</v>
      </c>
      <c r="C26">
        <v>250</v>
      </c>
      <c r="D26">
        <v>280</v>
      </c>
      <c r="E26">
        <v>320</v>
      </c>
      <c r="F26">
        <f>SUM(Table13[[#This Row],[Jan Sales]:[Mar Sales]])</f>
        <v>850</v>
      </c>
    </row>
    <row r="27" spans="1:9" x14ac:dyDescent="0.2">
      <c r="A27" t="s">
        <v>5</v>
      </c>
      <c r="B27">
        <f>COUNTA(B18:B26)</f>
        <v>9</v>
      </c>
      <c r="C27">
        <f>SUM(C18:C26)</f>
        <v>3450</v>
      </c>
      <c r="D27">
        <f t="shared" ref="D27:F27" si="0">SUM(D18:D26)</f>
        <v>3970</v>
      </c>
      <c r="E27">
        <f t="shared" si="0"/>
        <v>4390</v>
      </c>
      <c r="F27">
        <f t="shared" si="0"/>
        <v>11810</v>
      </c>
    </row>
    <row r="44" spans="1:9" x14ac:dyDescent="0.2">
      <c r="G44" s="7">
        <v>7.4999999999999997E-2</v>
      </c>
      <c r="H44" s="7">
        <v>7.8E-2</v>
      </c>
      <c r="I44" s="6">
        <v>0.08</v>
      </c>
    </row>
    <row r="45" spans="1:9" ht="16" x14ac:dyDescent="0.2">
      <c r="A45" t="s">
        <v>0</v>
      </c>
      <c r="B45" t="s">
        <v>1</v>
      </c>
      <c r="C45" s="1" t="s">
        <v>2</v>
      </c>
      <c r="D45" t="s">
        <v>3</v>
      </c>
      <c r="E45" t="s">
        <v>4</v>
      </c>
      <c r="F45" t="s">
        <v>5</v>
      </c>
      <c r="G45" t="s">
        <v>26</v>
      </c>
      <c r="H45" t="s">
        <v>27</v>
      </c>
      <c r="I45" t="s">
        <v>28</v>
      </c>
    </row>
    <row r="46" spans="1:9" x14ac:dyDescent="0.2">
      <c r="A46" t="s">
        <v>6</v>
      </c>
      <c r="B46" t="s">
        <v>7</v>
      </c>
      <c r="C46">
        <v>1200</v>
      </c>
      <c r="D46">
        <v>1400</v>
      </c>
      <c r="E46">
        <v>1350</v>
      </c>
      <c r="F46">
        <f>SUM(Table134[[#This Row],[Jan Sales]:[Mar Sales]])</f>
        <v>3950</v>
      </c>
      <c r="G46">
        <f>Table134[[#This Row],[Jan Sales]]-(Table134[[#This Row],[Jan Sales]]*$G$44)</f>
        <v>1110</v>
      </c>
      <c r="H46">
        <f>Table134[[#This Row],[Feb Sales]]-(Table134[[#This Row],[Feb Sales]]*$H$44)</f>
        <v>1290.8</v>
      </c>
      <c r="I46">
        <f>Table134[[#This Row],[Mar Sales]]-(Table134[[#This Row],[Mar Sales]]*$I$44)</f>
        <v>1242</v>
      </c>
    </row>
    <row r="47" spans="1:9" x14ac:dyDescent="0.2">
      <c r="A47" t="s">
        <v>8</v>
      </c>
      <c r="B47" t="s">
        <v>7</v>
      </c>
      <c r="C47">
        <v>800</v>
      </c>
      <c r="D47">
        <v>950</v>
      </c>
      <c r="E47">
        <v>1100</v>
      </c>
      <c r="F47">
        <f>SUM(Table134[[#This Row],[Jan Sales]:[Mar Sales]])</f>
        <v>2850</v>
      </c>
      <c r="G47">
        <f>Table134[[#This Row],[Jan Sales]]-(Table134[[#This Row],[Jan Sales]]*$G$44)</f>
        <v>740</v>
      </c>
      <c r="H47">
        <f>Table134[[#This Row],[Feb Sales]]-(Table134[[#This Row],[Feb Sales]]*$H$44)</f>
        <v>875.9</v>
      </c>
      <c r="I47">
        <f>Table134[[#This Row],[Mar Sales]]-(Table134[[#This Row],[Mar Sales]]*$I$44)</f>
        <v>1012</v>
      </c>
    </row>
    <row r="48" spans="1:9" x14ac:dyDescent="0.2">
      <c r="A48" t="s">
        <v>9</v>
      </c>
      <c r="B48" t="s">
        <v>7</v>
      </c>
      <c r="C48">
        <v>150</v>
      </c>
      <c r="D48">
        <v>200</v>
      </c>
      <c r="E48">
        <v>250</v>
      </c>
      <c r="F48">
        <f>SUM(Table134[[#This Row],[Jan Sales]:[Mar Sales]])</f>
        <v>600</v>
      </c>
      <c r="G48">
        <f>Table134[[#This Row],[Jan Sales]]-(Table134[[#This Row],[Jan Sales]]*$G$44)</f>
        <v>138.75</v>
      </c>
      <c r="H48">
        <f>Table134[[#This Row],[Feb Sales]]-(Table134[[#This Row],[Feb Sales]]*$H$44)</f>
        <v>184.4</v>
      </c>
      <c r="I48">
        <f>Table134[[#This Row],[Mar Sales]]-(Table134[[#This Row],[Mar Sales]]*$I$44)</f>
        <v>230</v>
      </c>
    </row>
    <row r="49" spans="1:9" x14ac:dyDescent="0.2">
      <c r="A49" t="s">
        <v>10</v>
      </c>
      <c r="B49" t="s">
        <v>11</v>
      </c>
      <c r="C49">
        <v>350</v>
      </c>
      <c r="D49">
        <v>300</v>
      </c>
      <c r="E49">
        <v>400</v>
      </c>
      <c r="F49">
        <f>SUM(Table134[[#This Row],[Jan Sales]:[Mar Sales]])</f>
        <v>1050</v>
      </c>
      <c r="G49">
        <f>Table134[[#This Row],[Jan Sales]]-(Table134[[#This Row],[Jan Sales]]*$G$44)</f>
        <v>323.75</v>
      </c>
      <c r="H49">
        <f>Table134[[#This Row],[Feb Sales]]-(Table134[[#This Row],[Feb Sales]]*$H$44)</f>
        <v>276.60000000000002</v>
      </c>
      <c r="I49">
        <f>Table134[[#This Row],[Mar Sales]]-(Table134[[#This Row],[Mar Sales]]*$I$44)</f>
        <v>368</v>
      </c>
    </row>
    <row r="50" spans="1:9" x14ac:dyDescent="0.2">
      <c r="A50" t="s">
        <v>12</v>
      </c>
      <c r="B50" t="s">
        <v>13</v>
      </c>
      <c r="C50">
        <v>120</v>
      </c>
      <c r="D50">
        <v>140</v>
      </c>
      <c r="E50">
        <v>160</v>
      </c>
      <c r="F50">
        <f>SUM(Table134[[#This Row],[Jan Sales]:[Mar Sales]])</f>
        <v>420</v>
      </c>
      <c r="G50">
        <f>Table134[[#This Row],[Jan Sales]]-(Table134[[#This Row],[Jan Sales]]*$G$44)</f>
        <v>111</v>
      </c>
      <c r="H50">
        <f>Table134[[#This Row],[Feb Sales]]-(Table134[[#This Row],[Feb Sales]]*$H$44)</f>
        <v>129.08000000000001</v>
      </c>
      <c r="I50">
        <f>Table134[[#This Row],[Mar Sales]]-(Table134[[#This Row],[Mar Sales]]*$I$44)</f>
        <v>147.19999999999999</v>
      </c>
    </row>
    <row r="51" spans="1:9" x14ac:dyDescent="0.2">
      <c r="A51" t="s">
        <v>14</v>
      </c>
      <c r="B51" t="s">
        <v>13</v>
      </c>
      <c r="C51">
        <v>80</v>
      </c>
      <c r="D51">
        <v>100</v>
      </c>
      <c r="E51">
        <v>110</v>
      </c>
      <c r="F51">
        <f>SUM(Table134[[#This Row],[Jan Sales]:[Mar Sales]])</f>
        <v>290</v>
      </c>
      <c r="G51">
        <f>Table134[[#This Row],[Jan Sales]]-(Table134[[#This Row],[Jan Sales]]*$G$44)</f>
        <v>74</v>
      </c>
      <c r="H51">
        <f>Table134[[#This Row],[Feb Sales]]-(Table134[[#This Row],[Feb Sales]]*$H$44)</f>
        <v>92.2</v>
      </c>
      <c r="I51">
        <f>Table134[[#This Row],[Mar Sales]]-(Table134[[#This Row],[Mar Sales]]*$I$44)</f>
        <v>101.2</v>
      </c>
    </row>
    <row r="52" spans="1:9" x14ac:dyDescent="0.2">
      <c r="A52" t="s">
        <v>15</v>
      </c>
      <c r="B52" t="s">
        <v>16</v>
      </c>
      <c r="C52">
        <v>200</v>
      </c>
      <c r="D52">
        <v>250</v>
      </c>
      <c r="E52">
        <v>300</v>
      </c>
      <c r="F52">
        <f>SUM(Table134[[#This Row],[Jan Sales]:[Mar Sales]])</f>
        <v>750</v>
      </c>
      <c r="G52">
        <f>Table134[[#This Row],[Jan Sales]]-(Table134[[#This Row],[Jan Sales]]*$G$44)</f>
        <v>185</v>
      </c>
      <c r="H52">
        <f>Table134[[#This Row],[Feb Sales]]-(Table134[[#This Row],[Feb Sales]]*$H$44)</f>
        <v>230.5</v>
      </c>
      <c r="I52">
        <f>Table134[[#This Row],[Mar Sales]]-(Table134[[#This Row],[Mar Sales]]*$I$44)</f>
        <v>276</v>
      </c>
    </row>
    <row r="53" spans="1:9" x14ac:dyDescent="0.2">
      <c r="A53" t="s">
        <v>17</v>
      </c>
      <c r="B53" t="s">
        <v>16</v>
      </c>
      <c r="C53">
        <v>300</v>
      </c>
      <c r="D53">
        <v>350</v>
      </c>
      <c r="E53">
        <v>400</v>
      </c>
      <c r="F53">
        <f>SUM(Table134[[#This Row],[Jan Sales]:[Mar Sales]])</f>
        <v>1050</v>
      </c>
      <c r="G53">
        <f>Table134[[#This Row],[Jan Sales]]-(Table134[[#This Row],[Jan Sales]]*$G$44)</f>
        <v>277.5</v>
      </c>
      <c r="H53">
        <f>Table134[[#This Row],[Feb Sales]]-(Table134[[#This Row],[Feb Sales]]*$H$44)</f>
        <v>322.7</v>
      </c>
      <c r="I53">
        <f>Table134[[#This Row],[Mar Sales]]-(Table134[[#This Row],[Mar Sales]]*$I$44)</f>
        <v>368</v>
      </c>
    </row>
    <row r="54" spans="1:9" x14ac:dyDescent="0.2">
      <c r="A54" t="s">
        <v>18</v>
      </c>
      <c r="B54" t="s">
        <v>19</v>
      </c>
      <c r="C54">
        <v>250</v>
      </c>
      <c r="D54">
        <v>280</v>
      </c>
      <c r="E54">
        <v>320</v>
      </c>
      <c r="F54">
        <f>SUM(Table134[[#This Row],[Jan Sales]:[Mar Sales]])</f>
        <v>850</v>
      </c>
      <c r="G54">
        <f>Table134[[#This Row],[Jan Sales]]-(Table134[[#This Row],[Jan Sales]]*$G$44)</f>
        <v>231.25</v>
      </c>
      <c r="H54">
        <f>Table134[[#This Row],[Feb Sales]]-(Table134[[#This Row],[Feb Sales]]*$H$44)</f>
        <v>258.16000000000003</v>
      </c>
      <c r="I54">
        <f>Table134[[#This Row],[Mar Sales]]-(Table134[[#This Row],[Mar Sales]]*$I$44)</f>
        <v>294.39999999999998</v>
      </c>
    </row>
    <row r="55" spans="1:9" x14ac:dyDescent="0.2">
      <c r="A55" t="s">
        <v>5</v>
      </c>
      <c r="B55">
        <f>COUNTA(B46:B54)</f>
        <v>9</v>
      </c>
      <c r="C55">
        <f>SUM(C46:C54)</f>
        <v>3450</v>
      </c>
      <c r="D55">
        <f t="shared" ref="D55" si="1">SUM(D46:D54)</f>
        <v>3970</v>
      </c>
      <c r="E55">
        <f t="shared" ref="E55" si="2">SUM(E46:E54)</f>
        <v>4390</v>
      </c>
      <c r="F55">
        <f t="shared" ref="F55" si="3">SUM(F46:F54)</f>
        <v>11810</v>
      </c>
      <c r="G55">
        <f>Table134[[#This Row],[Jan Sales]]-(Table134[[#This Row],[Jan Sales]]*$G$44)</f>
        <v>3191.25</v>
      </c>
      <c r="H55">
        <f>Table134[[#This Row],[Feb Sales]]-(Table134[[#This Row],[Feb Sales]]*$H$44)</f>
        <v>3660.34</v>
      </c>
      <c r="I55">
        <f>Table134[[#This Row],[Mar Sales]]-(Table134[[#This Row],[Mar Sales]]*$I$44)</f>
        <v>4038.8</v>
      </c>
    </row>
    <row r="70" spans="1:3" x14ac:dyDescent="0.2">
      <c r="A70" s="4" t="s">
        <v>25</v>
      </c>
      <c r="B70" s="4"/>
      <c r="C70" s="4">
        <f>SUM(F18:F26)</f>
        <v>11810</v>
      </c>
    </row>
    <row r="71" spans="1:3" x14ac:dyDescent="0.2">
      <c r="A71" s="2" t="s">
        <v>29</v>
      </c>
      <c r="B71" s="2"/>
      <c r="C71" s="8">
        <f>AVERAGE(C18:E26)</f>
        <v>437.40740740740739</v>
      </c>
    </row>
    <row r="72" spans="1:3" x14ac:dyDescent="0.2">
      <c r="A72" s="4" t="s">
        <v>30</v>
      </c>
      <c r="B72" s="4"/>
      <c r="C72" s="4">
        <f>MAX(C18:E26)</f>
        <v>1400</v>
      </c>
    </row>
    <row r="73" spans="1:3" x14ac:dyDescent="0.2">
      <c r="A73" s="2" t="s">
        <v>31</v>
      </c>
      <c r="B73" s="2"/>
      <c r="C73" s="2">
        <f>MIN(C18:E26)</f>
        <v>80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0172-09B7-F04B-AF65-0B3FAA3B5031}">
  <dimension ref="A22:F37"/>
  <sheetViews>
    <sheetView topLeftCell="A11" workbookViewId="0">
      <selection activeCell="A35" sqref="A35"/>
    </sheetView>
  </sheetViews>
  <sheetFormatPr baseColWidth="10" defaultColWidth="12.33203125" defaultRowHeight="15" x14ac:dyDescent="0.2"/>
  <sheetData>
    <row r="22" spans="1:6" ht="20" x14ac:dyDescent="0.25">
      <c r="A22" s="9" t="s">
        <v>0</v>
      </c>
      <c r="B22" s="9" t="s">
        <v>1</v>
      </c>
      <c r="C22" s="10" t="s">
        <v>2</v>
      </c>
      <c r="D22" s="9" t="s">
        <v>3</v>
      </c>
      <c r="E22" s="9" t="s">
        <v>4</v>
      </c>
      <c r="F22" s="9" t="s">
        <v>5</v>
      </c>
    </row>
    <row r="23" spans="1:6" ht="19" x14ac:dyDescent="0.25">
      <c r="A23" s="9" t="s">
        <v>6</v>
      </c>
      <c r="B23" s="9" t="s">
        <v>7</v>
      </c>
      <c r="C23" s="11">
        <v>1200</v>
      </c>
      <c r="D23" s="11">
        <v>1400</v>
      </c>
      <c r="E23" s="11">
        <v>1350</v>
      </c>
      <c r="F23" s="11">
        <f>SUM(Table135[[#This Row],[Jan Sales]:[Mar Sales]])</f>
        <v>3950</v>
      </c>
    </row>
    <row r="24" spans="1:6" ht="19" x14ac:dyDescent="0.25">
      <c r="A24" s="9" t="s">
        <v>8</v>
      </c>
      <c r="B24" s="9" t="s">
        <v>7</v>
      </c>
      <c r="C24" s="11">
        <v>800</v>
      </c>
      <c r="D24" s="11">
        <v>950</v>
      </c>
      <c r="E24" s="11">
        <v>1100</v>
      </c>
      <c r="F24" s="11">
        <f>SUM(Table135[[#This Row],[Jan Sales]:[Mar Sales]])</f>
        <v>2850</v>
      </c>
    </row>
    <row r="25" spans="1:6" ht="19" x14ac:dyDescent="0.25">
      <c r="A25" s="9" t="s">
        <v>9</v>
      </c>
      <c r="B25" s="9" t="s">
        <v>7</v>
      </c>
      <c r="C25" s="11">
        <v>150</v>
      </c>
      <c r="D25" s="11">
        <v>200</v>
      </c>
      <c r="E25" s="11">
        <v>250</v>
      </c>
      <c r="F25" s="11">
        <f>SUM(Table135[[#This Row],[Jan Sales]:[Mar Sales]])</f>
        <v>600</v>
      </c>
    </row>
    <row r="26" spans="1:6" ht="19" x14ac:dyDescent="0.25">
      <c r="A26" s="9" t="s">
        <v>10</v>
      </c>
      <c r="B26" s="9" t="s">
        <v>11</v>
      </c>
      <c r="C26" s="11">
        <v>350</v>
      </c>
      <c r="D26" s="11">
        <v>300</v>
      </c>
      <c r="E26" s="11">
        <v>400</v>
      </c>
      <c r="F26" s="11">
        <f>SUM(Table135[[#This Row],[Jan Sales]:[Mar Sales]])</f>
        <v>1050</v>
      </c>
    </row>
    <row r="27" spans="1:6" ht="19" x14ac:dyDescent="0.25">
      <c r="A27" s="9" t="s">
        <v>12</v>
      </c>
      <c r="B27" s="9" t="s">
        <v>13</v>
      </c>
      <c r="C27" s="11">
        <v>120</v>
      </c>
      <c r="D27" s="11">
        <v>140</v>
      </c>
      <c r="E27" s="11">
        <v>160</v>
      </c>
      <c r="F27" s="11">
        <f>SUM(Table135[[#This Row],[Jan Sales]:[Mar Sales]])</f>
        <v>420</v>
      </c>
    </row>
    <row r="28" spans="1:6" ht="19" x14ac:dyDescent="0.25">
      <c r="A28" s="9" t="s">
        <v>14</v>
      </c>
      <c r="B28" s="9" t="s">
        <v>13</v>
      </c>
      <c r="C28" s="11">
        <v>80</v>
      </c>
      <c r="D28" s="11">
        <v>100</v>
      </c>
      <c r="E28" s="11">
        <v>110</v>
      </c>
      <c r="F28" s="11">
        <f>SUM(Table135[[#This Row],[Jan Sales]:[Mar Sales]])</f>
        <v>290</v>
      </c>
    </row>
    <row r="29" spans="1:6" ht="19" x14ac:dyDescent="0.25">
      <c r="A29" s="9" t="s">
        <v>15</v>
      </c>
      <c r="B29" s="9" t="s">
        <v>16</v>
      </c>
      <c r="C29" s="11">
        <v>200</v>
      </c>
      <c r="D29" s="11">
        <v>250</v>
      </c>
      <c r="E29" s="11">
        <v>300</v>
      </c>
      <c r="F29" s="11">
        <f>SUM(Table135[[#This Row],[Jan Sales]:[Mar Sales]])</f>
        <v>750</v>
      </c>
    </row>
    <row r="30" spans="1:6" ht="19" x14ac:dyDescent="0.25">
      <c r="A30" s="9" t="s">
        <v>17</v>
      </c>
      <c r="B30" s="9" t="s">
        <v>16</v>
      </c>
      <c r="C30" s="11">
        <v>300</v>
      </c>
      <c r="D30" s="11">
        <v>350</v>
      </c>
      <c r="E30" s="11">
        <v>400</v>
      </c>
      <c r="F30" s="11">
        <f>SUM(Table135[[#This Row],[Jan Sales]:[Mar Sales]])</f>
        <v>1050</v>
      </c>
    </row>
    <row r="31" spans="1:6" ht="19" x14ac:dyDescent="0.25">
      <c r="A31" s="9" t="s">
        <v>18</v>
      </c>
      <c r="B31" s="9" t="s">
        <v>19</v>
      </c>
      <c r="C31" s="11">
        <v>250</v>
      </c>
      <c r="D31" s="11">
        <v>280</v>
      </c>
      <c r="E31" s="11">
        <v>320</v>
      </c>
      <c r="F31" s="11">
        <f>SUM(Table135[[#This Row],[Jan Sales]:[Mar Sales]])</f>
        <v>850</v>
      </c>
    </row>
    <row r="32" spans="1:6" ht="19" x14ac:dyDescent="0.25">
      <c r="A32" s="9" t="s">
        <v>5</v>
      </c>
      <c r="B32" s="9">
        <f>COUNTA(B23:B31)</f>
        <v>9</v>
      </c>
      <c r="C32" s="11">
        <f>SUM(C23:C31)</f>
        <v>3450</v>
      </c>
      <c r="D32" s="11">
        <f t="shared" ref="D32:F32" si="0">SUM(D23:D31)</f>
        <v>3970</v>
      </c>
      <c r="E32" s="11">
        <f t="shared" si="0"/>
        <v>4390</v>
      </c>
      <c r="F32" s="11">
        <f t="shared" si="0"/>
        <v>11810</v>
      </c>
    </row>
    <row r="35" spans="1:2" x14ac:dyDescent="0.2">
      <c r="A35" s="12">
        <f>AVERAGE(C23:E31)</f>
        <v>437.40740740740739</v>
      </c>
    </row>
    <row r="36" spans="1:2" x14ac:dyDescent="0.2">
      <c r="B36" s="12"/>
    </row>
    <row r="37" spans="1:2" x14ac:dyDescent="0.2">
      <c r="B37" s="12"/>
    </row>
  </sheetData>
  <conditionalFormatting sqref="C23:E31">
    <cfRule type="top10" dxfId="0" priority="1" rank="10"/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EF2B-6B9D-B049-AC23-AE88B1B5CC46}">
  <dimension ref="A1"/>
  <sheetViews>
    <sheetView showGridLines="0" tabSelected="1" workbookViewId="0">
      <selection activeCell="U20" sqref="U2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Jatin Mistry</cp:lastModifiedBy>
  <cp:revision/>
  <dcterms:created xsi:type="dcterms:W3CDTF">2025-04-10T17:53:45Z</dcterms:created>
  <dcterms:modified xsi:type="dcterms:W3CDTF">2026-10-26T20:15:26Z</dcterms:modified>
  <cp:category/>
  <cp:contentStatus/>
</cp:coreProperties>
</file>