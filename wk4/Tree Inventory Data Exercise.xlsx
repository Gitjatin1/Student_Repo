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hidePivotFieldList="1"/>
  <mc:AlternateContent xmlns:mc="http://schemas.openxmlformats.org/markup-compatibility/2006">
    <mc:Choice Requires="x15">
      <x15ac:absPath xmlns:x15ac="http://schemas.microsoft.com/office/spreadsheetml/2010/11/ac" url="/Users/jatin/Desktop/Learnings/Upright/Student_Repo/wk4/"/>
    </mc:Choice>
  </mc:AlternateContent>
  <xr:revisionPtr revIDLastSave="0" documentId="13_ncr:1_{3798BB01-D5CA-5E42-AD8E-B5E4293654F1}" xr6:coauthVersionLast="47" xr6:coauthVersionMax="47" xr10:uidLastSave="{00000000-0000-0000-0000-000000000000}"/>
  <bookViews>
    <workbookView xWindow="-36500" yWindow="-4060" windowWidth="27780" windowHeight="17260" activeTab="2" xr2:uid="{422E36C7-441B-4CF8-9E4B-F37F4293F8CF}"/>
  </bookViews>
  <sheets>
    <sheet name="original" sheetId="7" r:id="rId1"/>
    <sheet name="find_replace" sheetId="11" r:id="rId2"/>
    <sheet name="Modified" sheetId="1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2" l="1"/>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K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I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D56" i="12"/>
  <c r="E56" i="12"/>
  <c r="F56" i="12"/>
  <c r="H56" i="12"/>
  <c r="B56" i="12"/>
  <c r="G56" i="12" l="1"/>
  <c r="C56" i="12"/>
</calcChain>
</file>

<file path=xl/sharedStrings.xml><?xml version="1.0" encoding="utf-8"?>
<sst xmlns="http://schemas.openxmlformats.org/spreadsheetml/2006/main" count="525" uniqueCount="151">
  <si>
    <t>OBJECTID</t>
  </si>
  <si>
    <t>TPStructure</t>
  </si>
  <si>
    <t>TPCondition</t>
  </si>
  <si>
    <t>StumpDiameterIN</t>
  </si>
  <si>
    <t>PlantingSpaceGlobalID</t>
  </si>
  <si>
    <t>Geometry</t>
  </si>
  <si>
    <t>GenusSpecies</t>
  </si>
  <si>
    <t>CreatedDate</t>
  </si>
  <si>
    <t>Retired</t>
  </si>
  <si>
    <t>Unidentified</t>
  </si>
  <si>
    <t>B9DDFFE7-7387-4923-91EA-6E9212AA324F</t>
  </si>
  <si>
    <t>POINT(-73.72963593901264 40.69403944537182)</t>
  </si>
  <si>
    <t>Full</t>
  </si>
  <si>
    <t>Fair</t>
  </si>
  <si>
    <t>E3399A55-31E8-46AE-BE6C-9D75783F9866</t>
  </si>
  <si>
    <t>POINT(-74.18076305699323 40.5225456344831)</t>
  </si>
  <si>
    <t>Fraxinus - Ash</t>
  </si>
  <si>
    <t>Good</t>
  </si>
  <si>
    <t>CCD7CEB4-D7FC-427F-982C-55355AB0989D</t>
  </si>
  <si>
    <t>POINT(-73.93851920790104 40.60738960999758)</t>
  </si>
  <si>
    <t>Acer - maple</t>
  </si>
  <si>
    <t>E49027D2-6D87-444D-8579-D66DEDE8BB6C</t>
  </si>
  <si>
    <t>POINT(-73.96103852892533 40.63496987804116)</t>
  </si>
  <si>
    <t>Crataegus - Hawthorn</t>
  </si>
  <si>
    <t>C4552286-FC00-4AF5-A9BA-C02F262FD87D</t>
  </si>
  <si>
    <t>POINT(-74.24532356468706 40.514879766920366)</t>
  </si>
  <si>
    <t>615A97D3-8AB4-43A3-86C6-31D867B8C79A</t>
  </si>
  <si>
    <t>POINT(-73.94150305346454 40.71927480717111)</t>
  </si>
  <si>
    <t>Quercus palustris - pin oak</t>
  </si>
  <si>
    <t>Dead</t>
  </si>
  <si>
    <t>03EC491A-709D-4630-915D-1AE068EB1EE5</t>
  </si>
  <si>
    <t>POINT(-73.82814457504234 40.6521529519179)</t>
  </si>
  <si>
    <t>F720BA7C-A433-462E-A0F1-0424DE07752C</t>
  </si>
  <si>
    <t>POINT(-73.90734474859 40.84659428512653)</t>
  </si>
  <si>
    <t>E268AA61-2932-4258-A684-6DFCDDCF6DF9</t>
  </si>
  <si>
    <t>POINT(-74.21805270746037 40.53601797873133)</t>
  </si>
  <si>
    <t xml:space="preserve">
</t>
  </si>
  <si>
    <t>21EA82C1-8D04-4AF6-A371-5FF931F87631</t>
  </si>
  <si>
    <t>POINT(-73.79351908712194 40.682346893994605)</t>
  </si>
  <si>
    <t>3F879220-C66C-4ABC-8B45-202BCC21564D</t>
  </si>
  <si>
    <t>POINT(-73.92851704459338 40.819869809784464)</t>
  </si>
  <si>
    <t>9E8BD35C-0B9E-4F36-98F3-9E0239F03896</t>
  </si>
  <si>
    <t>POINT(-73.91464019966666 40.84779853522256)</t>
  </si>
  <si>
    <t>Morus - mulberry</t>
  </si>
  <si>
    <t>D15BD3E0-C458-4862-892E-D65EAA6AA7B6</t>
  </si>
  <si>
    <t>POINT(-73.86867985395925 40.68979647343952)</t>
  </si>
  <si>
    <t>7319A707-758F-4AB6-8A4B-6D806DF9B4F7</t>
  </si>
  <si>
    <t>POINT(-73.8719493137495 40.682691870760266)</t>
  </si>
  <si>
    <t>87E67DC4-9A80-424E-B960-036A04FD7262</t>
  </si>
  <si>
    <t>POINT(-73.88021328916254 40.68579304693683)</t>
  </si>
  <si>
    <t>3F080192-FDAF-4541-BBEF-07193DF98FF1</t>
  </si>
  <si>
    <t>POINT(-73.90398491054624 40.66002890623264)</t>
  </si>
  <si>
    <t>Stump</t>
  </si>
  <si>
    <t>9C999AE6-B680-4D27-8249-A04495FE257A</t>
  </si>
  <si>
    <t>POINT(-73.74292739413505 40.600756470381796)</t>
  </si>
  <si>
    <t>F6379E14-40F7-4CA0-86A5-0D8C1100AAE5</t>
  </si>
  <si>
    <t>POINT(-73.90777320776633 40.8261219212678)</t>
  </si>
  <si>
    <t>65938EB7-0F43-468E-822F-25E91F050D37</t>
  </si>
  <si>
    <t>POINT(-74.09150522200017 40.599891449594324)</t>
  </si>
  <si>
    <t>Malus - apple</t>
  </si>
  <si>
    <t>8BEE0470-F21D-4905-AA19-CFBEEA911CB8</t>
  </si>
  <si>
    <t>POINT(-74.17353340142542 40.53992128112399)</t>
  </si>
  <si>
    <t>Poor</t>
  </si>
  <si>
    <t>CA954CB4-7D58-4795-A9E0-9636E05474A7</t>
  </si>
  <si>
    <t>POINT(-73.83007477615352 40.89213956654621)</t>
  </si>
  <si>
    <t>0576059C-0C02-4E7F-BDE5-ABFE19F47DAB</t>
  </si>
  <si>
    <t>POINT(-73.84539477062496 40.90693388286452)</t>
  </si>
  <si>
    <t>4B1F530F-A0CB-46D3-B665-792FF1DEEE33</t>
  </si>
  <si>
    <t>POINT(-74.14128343791465 40.56861620634577)</t>
  </si>
  <si>
    <t>2958B89B-F69E-4D58-9C28-68B514D236B4</t>
  </si>
  <si>
    <t>POINT(-74.21296539923182 40.539351516493106)</t>
  </si>
  <si>
    <t>Pinus - pine</t>
  </si>
  <si>
    <t>DED085A5-D8FF-4843-B365-C7722CF215D4</t>
  </si>
  <si>
    <t>POINT(-73.91080405235334 40.779808824260414)</t>
  </si>
  <si>
    <t>9EE02D95-1136-4B7D-A2B3-5D83C2143B4D</t>
  </si>
  <si>
    <t>POINT(-73.83989006606295 40.82570852100053)</t>
  </si>
  <si>
    <t>289D32E4-73AC-4D88-8058-A0F72CDEC727</t>
  </si>
  <si>
    <t>POINT(-73.93780247963355 40.7257699599003)</t>
  </si>
  <si>
    <t>D2828588-3594-4617-A2C9-F84814A8DF85</t>
  </si>
  <si>
    <t>POINT(-73.89173868721015 40.74923841167447)</t>
  </si>
  <si>
    <t>4762B87E-DED6-4CD1-851E-CD0D95D7FDBF</t>
  </si>
  <si>
    <t>POINT(-73.74843056925558 40.67281935627563)</t>
  </si>
  <si>
    <t>4757EDE1-F26D-4C3A-AAB0-E14874C28F89</t>
  </si>
  <si>
    <t>POINT(-73.73531698982218 40.68676519272813)</t>
  </si>
  <si>
    <t>47D6B7AD-6380-47C1-930F-EB7095B8746F</t>
  </si>
  <si>
    <t>POINT(-73.7379805887052 40.68233684813238)</t>
  </si>
  <si>
    <t>DA72ADE8-FCA9-46E5-BF4F-2A6366772D91</t>
  </si>
  <si>
    <t>POINT(-73.73873009334801 40.69382170694844)</t>
  </si>
  <si>
    <t>FE9F82D6-6573-43EF-B11E-6B723C907262</t>
  </si>
  <si>
    <t>POINT(-73.73795769802545 40.67868507587157)</t>
  </si>
  <si>
    <t>3BD308E1-C6EB-4467-835F-8D3251603120</t>
  </si>
  <si>
    <t>POINT(-73.72601939381498 40.67108657079312)</t>
  </si>
  <si>
    <t>Fraxinus pennsylvanica - Green ash</t>
  </si>
  <si>
    <t>F06DBB01-70CC-40D1-BC9E-3EC121DEC88B</t>
  </si>
  <si>
    <t>POINT(-73.70333754682378 40.753532706906235)</t>
  </si>
  <si>
    <t>45809015-28B5-464D-A0B1-EA9BD663AF3E</t>
  </si>
  <si>
    <t>POINT(-73.70510323255766 40.73149524816458)</t>
  </si>
  <si>
    <t>Tilia cordata - littleleaf linden</t>
  </si>
  <si>
    <t>B59E4513-ED88-49C5-849C-7B4E1DC448E8</t>
  </si>
  <si>
    <t>POINT(-73.69954423305309 40.73803613234317)</t>
  </si>
  <si>
    <t>AEEF5E91-FF80-4343-8664-54BA80708BFC</t>
  </si>
  <si>
    <t>POINT(-73.7061679005954 40.74730513120754)</t>
  </si>
  <si>
    <t>24B9F929-7A94-4D25-95DC-BBAF7B79A2FC</t>
  </si>
  <si>
    <t>POINT(-73.81802983342679 40.66610469428889)</t>
  </si>
  <si>
    <t>7A0C83D4-4600-47BC-80AE-ACD91751F668</t>
  </si>
  <si>
    <t>POINT(-73.70568552246978 40.73045739852567)</t>
  </si>
  <si>
    <t>Acer saccharinum - silver maple</t>
  </si>
  <si>
    <t>D46FF02E-EC56-4457-8846-12576AE95FD6</t>
  </si>
  <si>
    <t>POINT(-73.6995986315712 40.738106687857496)</t>
  </si>
  <si>
    <t>4CDAE268-26A3-4A8C-8C29-2AE886180CD6</t>
  </si>
  <si>
    <t>POINT(-73.73766290227954 40.77486784408345)</t>
  </si>
  <si>
    <t>Pyrus calleryana - Callery pear</t>
  </si>
  <si>
    <t>276770D5-66E2-44FE-814A-1EB9DDEEF855</t>
  </si>
  <si>
    <t>POINT(-73.72821578799147 40.769691394945255)</t>
  </si>
  <si>
    <t>03D2FDBF-662D-4378-A8E0-C319DC9DD956</t>
  </si>
  <si>
    <t>POINT(-73.72621021095729 40.76807966663524)</t>
  </si>
  <si>
    <t>Liquidambar styraciflua - sweetgum</t>
  </si>
  <si>
    <t>6BE3B5B2-739E-4D26-8764-61B9ED6C7ADC</t>
  </si>
  <si>
    <t>POINT(-73.81785989272605 40.667949125090814)</t>
  </si>
  <si>
    <t>BB7E21A9-28EB-48E9-9934-F63A116DC6A3</t>
  </si>
  <si>
    <t>POINT(-73.81938801620366 40.78577951625042)</t>
  </si>
  <si>
    <t>C4D04BEE-45FC-40E8-90C7-C13013C9CFB8</t>
  </si>
  <si>
    <t>POINT(-73.93482208335762 40.624223069139056)</t>
  </si>
  <si>
    <t>F2BB9446-9F6C-47CA-B11A-306E2AF68CF3</t>
  </si>
  <si>
    <t>POINT(-73.87931122491221 40.64427882803598)</t>
  </si>
  <si>
    <t>2ABB06AA-7D2B-4DBF-ACC5-6645989B7D74</t>
  </si>
  <si>
    <t>POINT(-73.88647821122986 40.72297423501096)</t>
  </si>
  <si>
    <t>Raw_Logistics_Codes</t>
  </si>
  <si>
    <t>Batch_S-105_North</t>
  </si>
  <si>
    <t>Batch_S-205_South</t>
  </si>
  <si>
    <t>Batch_S-*05_East</t>
  </si>
  <si>
    <t>Batch_S-9905_West</t>
  </si>
  <si>
    <t>Batch_S-305_Central</t>
  </si>
  <si>
    <t>Total</t>
  </si>
  <si>
    <t xml:space="preserve">Fraxinus </t>
  </si>
  <si>
    <t xml:space="preserve">Acer </t>
  </si>
  <si>
    <t xml:space="preserve">Crataegus </t>
  </si>
  <si>
    <t xml:space="preserve">Quercus palustris </t>
  </si>
  <si>
    <t xml:space="preserve">Morus </t>
  </si>
  <si>
    <t xml:space="preserve">Malus </t>
  </si>
  <si>
    <t xml:space="preserve">Pinus </t>
  </si>
  <si>
    <t xml:space="preserve">Fraxinus pennsylvanica </t>
  </si>
  <si>
    <t xml:space="preserve">Tilia cordata </t>
  </si>
  <si>
    <t xml:space="preserve">Acer saccharinum </t>
  </si>
  <si>
    <t xml:space="preserve">Pyrus calleryana </t>
  </si>
  <si>
    <t xml:space="preserve">Liquidambar styraciflua </t>
  </si>
  <si>
    <t>Day,since, Sales</t>
  </si>
  <si>
    <t>Warrenty_exp</t>
  </si>
  <si>
    <t>Month_gone</t>
  </si>
  <si>
    <t>Week_day</t>
  </si>
  <si>
    <t>work_day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</si>
</sst>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m/d/yyyy;@"/>
  </numFmts>
  <fonts count="4" x14ac:knownFonts="1">
    <font>
      <sz val="11"/>
      <color theme="1"/>
      <name val="Century Gothic"/>
      <family val="2"/>
      <scheme val="minor"/>
    </font>
    <font>
      <b/>
      <sz val="15"/>
      <color theme="3"/>
      <name val="Century Gothic"/>
      <family val="2"/>
      <scheme val="minor"/>
    </font>
    <font>
      <b/>
      <sz val="14"/>
      <color theme="1"/>
      <name val="Century Gothic"/>
      <family val="2"/>
      <scheme val="minor"/>
    </font>
    <font>
      <sz val="14"/>
      <color theme="1"/>
      <name val="Century Gothic"/>
      <family val="2"/>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4">
    <xf numFmtId="0" fontId="0" fillId="0" borderId="0" xfId="0"/>
    <xf numFmtId="0" fontId="2" fillId="0" borderId="0" xfId="0" applyFont="1"/>
    <xf numFmtId="0" fontId="3" fillId="0" borderId="0" xfId="0" applyFont="1"/>
    <xf numFmtId="167" fontId="0" fillId="0" borderId="0" xfId="0" applyNumberFormat="1"/>
  </cellXfs>
  <cellStyles count="2">
    <cellStyle name="Heading 1 2" xfId="1" xr:uid="{78F2CDC0-5A06-4236-BE4B-C8FFA046B446}"/>
    <cellStyle name="Normal" xfId="0" builtinId="0"/>
  </cellStyles>
  <dxfs count="19">
    <dxf>
      <numFmt numFmtId="167" formatCode="m/d/yyyy;@"/>
    </dxf>
    <dxf>
      <numFmt numFmtId="167" formatCode="m/d/yyyy;@"/>
    </dxf>
    <dxf>
      <numFmt numFmtId="0" formatCode="General"/>
    </dxf>
    <dxf>
      <numFmt numFmtId="0" formatCode="General"/>
    </dxf>
    <dxf>
      <numFmt numFmtId="167" formatCode="m/d/yyyy;@"/>
    </dxf>
    <dxf>
      <numFmt numFmtId="167" formatCode="m/d/yyyy;@"/>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7" formatCode="m/d/yyyy;@"/>
    </dxf>
    <dxf>
      <numFmt numFmtId="167" formatCode="m/d/yyyy;@"/>
    </dxf>
    <dxf>
      <font>
        <b/>
        <i val="0"/>
        <color theme="1"/>
      </font>
      <border>
        <top style="thick">
          <color auto="1"/>
        </top>
        <bottom style="thick">
          <color auto="1"/>
        </bottom>
      </border>
    </dxf>
    <dxf>
      <font>
        <b/>
        <i val="0"/>
        <color theme="1"/>
      </font>
      <fill>
        <patternFill>
          <bgColor theme="0" tint="-4.9989318521683403E-2"/>
        </patternFill>
      </fill>
      <border diagonalUp="0" diagonalDown="0">
        <left/>
        <right/>
        <top/>
        <bottom/>
        <vertical/>
        <horizontal/>
      </border>
    </dxf>
    <dxf>
      <font>
        <color theme="1"/>
      </font>
      <border>
        <left style="thin">
          <color theme="0" tint="-0.14996795556505021"/>
        </left>
        <right style="thin">
          <color theme="0" tint="-0.14996795556505021"/>
        </right>
        <top style="thin">
          <color theme="0" tint="-0.14993743705557422"/>
        </top>
        <bottom style="thick">
          <color theme="1" tint="0.24994659260841701"/>
        </bottom>
        <vertical style="thin">
          <color theme="0" tint="-0.14996795556505021"/>
        </vertical>
        <horizontal style="thin">
          <color theme="0" tint="-0.14993743705557422"/>
        </horizontal>
      </border>
    </dxf>
  </dxfs>
  <tableStyles count="1" defaultTableStyle="TableStyleMedium2" defaultPivotStyle="PivotStyleLight16">
    <tableStyle name="TableStyleLight6 2" pivot="0" count="3" xr9:uid="{7A2670F4-CCC3-8044-96E0-9D071E21DDAD}">
      <tableStyleElement type="wholeTable" dxfId="18"/>
      <tableStyleElement type="headerRow" dxfId="17"/>
      <tableStyleElement type="totalRow"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9</xdr:col>
      <xdr:colOff>647700</xdr:colOff>
      <xdr:row>1</xdr:row>
      <xdr:rowOff>3809</xdr:rowOff>
    </xdr:from>
    <xdr:to>
      <xdr:col>22</xdr:col>
      <xdr:colOff>0</xdr:colOff>
      <xdr:row>75</xdr:row>
      <xdr:rowOff>0</xdr:rowOff>
    </xdr:to>
    <xdr:sp macro="" textlink="">
      <xdr:nvSpPr>
        <xdr:cNvPr id="2" name="TextBox 1">
          <a:extLst>
            <a:ext uri="{FF2B5EF4-FFF2-40B4-BE49-F238E27FC236}">
              <a16:creationId xmlns:a16="http://schemas.microsoft.com/office/drawing/2014/main" id="{40369440-ED46-ACFD-8AE3-51FDDF541206}"/>
            </a:ext>
          </a:extLst>
        </xdr:cNvPr>
        <xdr:cNvSpPr txBox="1"/>
      </xdr:nvSpPr>
      <xdr:spPr>
        <a:xfrm>
          <a:off x="12515850" y="175259"/>
          <a:ext cx="8020050" cy="128073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EXERCISE</a:t>
          </a:r>
        </a:p>
        <a:p>
          <a:r>
            <a:rPr lang="en-US" sz="1400"/>
            <a:t>1.-</a:t>
          </a:r>
          <a:r>
            <a:rPr lang="en-US" sz="1400" baseline="0"/>
            <a:t> Convert the sheet to a Table</a:t>
          </a:r>
        </a:p>
        <a:p>
          <a:r>
            <a:rPr lang="en-US" sz="1400" baseline="0"/>
            <a:t>2.- Clear Formats</a:t>
          </a:r>
        </a:p>
        <a:p>
          <a:r>
            <a:rPr lang="en-US" sz="1400" baseline="0"/>
            <a:t>3.- Check "Total Row"</a:t>
          </a:r>
        </a:p>
        <a:p>
          <a:r>
            <a:rPr lang="en-US" sz="1400" baseline="0"/>
            <a:t>4.- Use TRIM()</a:t>
          </a:r>
        </a:p>
        <a:p>
          <a:r>
            <a:rPr lang="en-US" sz="1400" baseline="0"/>
            <a:t>5.- Use PROPER()</a:t>
          </a:r>
        </a:p>
        <a:p>
          <a:r>
            <a:rPr lang="en-US" sz="1400" baseline="0"/>
            <a:t>6.- Split Text to Columns</a:t>
          </a:r>
        </a:p>
        <a:p>
          <a:r>
            <a:rPr lang="en-US" sz="1400" baseline="0"/>
            <a:t>7.- Find and Replace</a:t>
          </a:r>
        </a:p>
        <a:p>
          <a:r>
            <a:rPr lang="en-US" sz="1400" baseline="0"/>
            <a:t>	See the next sheet</a:t>
          </a:r>
        </a:p>
        <a:p>
          <a:r>
            <a:rPr lang="en-US" sz="1400" baseline="0"/>
            <a:t>8.- Find Duplicate Values</a:t>
          </a:r>
        </a:p>
        <a:p>
          <a:r>
            <a:rPr lang="en-US" sz="1400"/>
            <a:t>Using </a:t>
          </a:r>
          <a:r>
            <a:rPr lang="en-US" sz="1400" b="1"/>
            <a:t>Conditional Formatting</a:t>
          </a:r>
          <a:r>
            <a:rPr lang="en-US" sz="1400"/>
            <a:t> to highlight duplicate values across two columns simultaneously is a fantastic way to visually audit data before running a destructive operation like </a:t>
          </a:r>
          <a:r>
            <a:rPr lang="en-US" sz="1100">
              <a:solidFill>
                <a:schemeClr val="dk1"/>
              </a:solidFill>
              <a:latin typeface="+mn-lt"/>
              <a:ea typeface="+mn-ea"/>
              <a:cs typeface="+mn-cs"/>
            </a:rPr>
            <a:t>RemoveDuplicates</a:t>
          </a:r>
          <a:r>
            <a:rPr lang="en-US" sz="1400"/>
            <a:t>.</a:t>
          </a:r>
        </a:p>
        <a:p>
          <a:endParaRPr lang="en-US" sz="1400"/>
        </a:p>
        <a:p>
          <a:r>
            <a:rPr lang="en-US" sz="1400"/>
            <a:t>However, Excel’s built-in "Highlight Duplicate Values" rule has a major architectural limitation: </a:t>
          </a:r>
          <a:r>
            <a:rPr lang="en-US" sz="1400" b="1"/>
            <a:t>it only evaluates cells individually.</a:t>
          </a:r>
          <a:r>
            <a:rPr lang="en-US" sz="1400"/>
            <a:t> If you select Column A and Column B and click the default duplicate button, Excel will highlight "John" if it appears anywhere in Column A, and "North" if it appears anywhere in Column B—completely ignoring whether they are on the same row.</a:t>
          </a:r>
        </a:p>
        <a:p>
          <a:endParaRPr lang="en-US" sz="1400"/>
        </a:p>
        <a:p>
          <a:r>
            <a:rPr lang="en-US" sz="1400"/>
            <a:t>To apply the true </a:t>
          </a:r>
          <a:r>
            <a:rPr lang="en-US" sz="1400" b="1"/>
            <a:t>"AND" logic</a:t>
          </a:r>
          <a:r>
            <a:rPr lang="en-US" sz="1400"/>
            <a:t> (where Excel highlights rows only if the combination of Column A </a:t>
          </a:r>
          <a:r>
            <a:rPr lang="en-US" sz="1400" i="1"/>
            <a:t>and</a:t>
          </a:r>
          <a:r>
            <a:rPr lang="en-US" sz="1400"/>
            <a:t> Column B repeats), you must use a custom </a:t>
          </a:r>
          <a:r>
            <a:rPr lang="en-US" sz="1400" b="1"/>
            <a:t>logical formula</a:t>
          </a:r>
          <a:r>
            <a:rPr lang="en-US" sz="1400"/>
            <a:t> inside Conditional Formatting.</a:t>
          </a:r>
        </a:p>
        <a:p>
          <a:endParaRPr lang="en-US" sz="1400"/>
        </a:p>
        <a:p>
          <a:pPr marL="285750" indent="-285750">
            <a:buFont typeface="Arial" panose="020B0604020202020204" pitchFamily="34" charset="0"/>
            <a:buChar char="•"/>
          </a:pPr>
          <a:r>
            <a:rPr lang="en-US" sz="1400"/>
            <a:t>Highlight</a:t>
          </a:r>
          <a:r>
            <a:rPr lang="en-US" sz="1400" baseline="0"/>
            <a:t> D2:B50</a:t>
          </a:r>
        </a:p>
        <a:p>
          <a:pPr marL="285750" indent="-285750">
            <a:buFont typeface="Arial" panose="020B0604020202020204" pitchFamily="34" charset="0"/>
            <a:buChar char="•"/>
          </a:pPr>
          <a:r>
            <a:rPr lang="en-US" sz="1400"/>
            <a:t>Click </a:t>
          </a:r>
          <a:r>
            <a:rPr lang="en-US" sz="1400" b="1"/>
            <a:t>Conditional Formatting &gt; New Rule...</a:t>
          </a:r>
          <a:endParaRPr lang="en-US" sz="1400" b="0"/>
        </a:p>
        <a:p>
          <a:pPr marL="285750" indent="-285750">
            <a:buFont typeface="Arial" panose="020B0604020202020204" pitchFamily="34" charset="0"/>
            <a:buChar char="•"/>
          </a:pPr>
          <a:r>
            <a:rPr lang="en-US" sz="1400"/>
            <a:t>Choose </a:t>
          </a:r>
          <a:r>
            <a:rPr lang="en-US" sz="1400" b="1"/>
            <a:t>"Use a formula to determine which cells to format"</a:t>
          </a:r>
          <a:r>
            <a:rPr lang="en-US" sz="1400"/>
            <a:t>.</a:t>
          </a:r>
        </a:p>
        <a:p>
          <a:pPr marL="285750" indent="-285750">
            <a:buFont typeface="Arial" panose="020B0604020202020204" pitchFamily="34" charset="0"/>
            <a:buChar char="•"/>
          </a:pPr>
          <a:r>
            <a:rPr lang="en-US" sz="1400"/>
            <a:t>In the formula box, type this exact coordinate layout:</a:t>
          </a:r>
        </a:p>
        <a:p>
          <a:pPr marL="0" indent="0">
            <a:buFont typeface="Arial" panose="020B0604020202020204" pitchFamily="34" charset="0"/>
            <a:buNone/>
          </a:pPr>
          <a:r>
            <a:rPr lang="en-US" sz="1400"/>
            <a:t>	=COUNTIFS($D$2:$D$50, $D2, $G$2:$G$50, $G2) &gt; 1</a:t>
          </a:r>
        </a:p>
        <a:p>
          <a:pPr marL="285750" indent="-285750">
            <a:buFont typeface="Arial" panose="020B0604020202020204" pitchFamily="34" charset="0"/>
            <a:buChar char="•"/>
          </a:pPr>
          <a:r>
            <a:rPr lang="en-US" sz="1400"/>
            <a:t>Click </a:t>
          </a:r>
          <a:r>
            <a:rPr lang="en-US" sz="1400" b="1"/>
            <a:t>Format...</a:t>
          </a:r>
          <a:r>
            <a:rPr lang="en-US" sz="1400"/>
            <a:t>, go to the </a:t>
          </a:r>
          <a:r>
            <a:rPr lang="en-US" sz="1400" b="1"/>
            <a:t>Fill</a:t>
          </a:r>
          <a:r>
            <a:rPr lang="en-US" sz="1400"/>
            <a:t> tab, and choose your highlight color.</a:t>
          </a:r>
        </a:p>
        <a:p>
          <a:pPr marL="285750" indent="-285750">
            <a:buFont typeface="Arial" panose="020B0604020202020204" pitchFamily="34" charset="0"/>
            <a:buChar char="•"/>
          </a:pPr>
          <a:r>
            <a:rPr lang="en-US" sz="1400"/>
            <a:t>Click </a:t>
          </a:r>
          <a:r>
            <a:rPr lang="en-US" sz="1400" b="1"/>
            <a:t>OK</a:t>
          </a:r>
          <a:r>
            <a:rPr lang="en-US" sz="1400"/>
            <a:t>, then click </a:t>
          </a:r>
          <a:r>
            <a:rPr lang="en-US" sz="1400" b="1"/>
            <a:t>OK</a:t>
          </a:r>
          <a:r>
            <a:rPr lang="en-US" sz="1400"/>
            <a:t> to apply.</a:t>
          </a:r>
        </a:p>
        <a:p>
          <a:endParaRPr lang="en-US" sz="1400"/>
        </a:p>
        <a:p>
          <a:r>
            <a:rPr lang="en-US" sz="1400" baseline="0"/>
            <a:t>9.- Remove Duplicate Values</a:t>
          </a:r>
        </a:p>
        <a:p>
          <a:r>
            <a:rPr lang="en-US" sz="1400" baseline="0"/>
            <a:t>10.- ISBLANK()</a:t>
          </a:r>
        </a:p>
        <a:p>
          <a:r>
            <a:rPr lang="en-US" sz="1400" baseline="0"/>
            <a:t>	=IF(ISBLANK([@StumpDiameterIN]),"Unknown",[@StumpDiameterIN])</a:t>
          </a:r>
        </a:p>
        <a:p>
          <a:r>
            <a:rPr lang="en-US" sz="1400" baseline="0"/>
            <a:t>11.- Data Validation</a:t>
          </a:r>
        </a:p>
        <a:p>
          <a:r>
            <a:rPr lang="en-US" sz="1400" baseline="0"/>
            <a:t>12. DATE Functions</a:t>
          </a:r>
        </a:p>
        <a:p>
          <a:pPr marL="285750" indent="-285750">
            <a:buFont typeface="Arial" panose="020B0604020202020204" pitchFamily="34" charset="0"/>
            <a:buChar char="•"/>
          </a:pPr>
          <a:r>
            <a:rPr lang="en-US" sz="1400" b="1"/>
            <a:t>Column Name: </a:t>
          </a:r>
          <a:r>
            <a:rPr lang="en-US" sz="1100" b="1">
              <a:solidFill>
                <a:schemeClr val="dk1"/>
              </a:solidFill>
              <a:latin typeface="+mn-lt"/>
              <a:ea typeface="+mn-ea"/>
              <a:cs typeface="+mn-cs"/>
            </a:rPr>
            <a:t>Days_Since_Sale</a:t>
          </a:r>
          <a:r>
            <a:rPr lang="en-US" sz="1400" b="1"/>
            <a:t> (Function: </a:t>
          </a:r>
          <a:r>
            <a:rPr lang="en-US" sz="1100" b="1">
              <a:solidFill>
                <a:schemeClr val="dk1"/>
              </a:solidFill>
              <a:latin typeface="+mn-lt"/>
              <a:ea typeface="+mn-ea"/>
              <a:cs typeface="+mn-cs"/>
            </a:rPr>
            <a:t>NETWORKDAYS</a:t>
          </a:r>
          <a:r>
            <a:rPr lang="en-US" sz="1400" b="1"/>
            <a:t>)</a:t>
          </a:r>
        </a:p>
        <a:p>
          <a:r>
            <a:rPr lang="en-US" sz="1400" b="1"/>
            <a:t>The Goal:</a:t>
          </a:r>
          <a:r>
            <a:rPr lang="en-US" sz="1400"/>
            <a:t> Calculate the exact number of strict </a:t>
          </a:r>
          <a:r>
            <a:rPr lang="en-US" sz="1400" i="1"/>
            <a:t>working days</a:t>
          </a:r>
          <a:r>
            <a:rPr lang="en-US" sz="1400"/>
            <a:t> (excluding Saturdays and  Sundays) that have passed between the transaction date and today.</a:t>
          </a:r>
        </a:p>
        <a:p>
          <a:r>
            <a:rPr lang="en-US" sz="1400" baseline="0"/>
            <a:t>	=NETWORKDAYS([@Date], TODAY())</a:t>
          </a:r>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Warranty_Expiry</a:t>
          </a:r>
          <a:r>
            <a:rPr lang="en-US" sz="1200" b="1"/>
            <a:t> (Function: </a:t>
          </a:r>
          <a:r>
            <a:rPr lang="en-US" sz="1200" b="1">
              <a:solidFill>
                <a:schemeClr val="dk1"/>
              </a:solidFill>
              <a:latin typeface="+mn-lt"/>
              <a:ea typeface="+mn-ea"/>
              <a:cs typeface="+mn-cs"/>
            </a:rPr>
            <a:t>EDATE</a:t>
          </a:r>
          <a:r>
            <a:rPr lang="en-US" sz="1200" b="1"/>
            <a:t>)</a:t>
          </a:r>
        </a:p>
        <a:p>
          <a:r>
            <a:rPr lang="en-US" sz="1200" b="1"/>
            <a:t>The Goal:</a:t>
          </a:r>
          <a:r>
            <a:rPr lang="en-US" sz="1200"/>
            <a:t> Look ahead exactly 6 months into the future from the sale date to establish a precise customer warranty expiration deadline.</a:t>
          </a:r>
        </a:p>
        <a:p>
          <a:r>
            <a:rPr lang="en-US" sz="1200"/>
            <a:t>	=EDATE([@Date], 6)</a:t>
          </a:r>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Months_Agone</a:t>
          </a:r>
          <a:r>
            <a:rPr lang="en-US" sz="1200" b="1"/>
            <a:t> (Function: </a:t>
          </a:r>
          <a:r>
            <a:rPr lang="en-US" sz="1100" b="1">
              <a:solidFill>
                <a:schemeClr val="dk1"/>
              </a:solidFill>
              <a:latin typeface="+mn-lt"/>
              <a:ea typeface="+mn-ea"/>
              <a:cs typeface="+mn-cs"/>
            </a:rPr>
            <a:t>DATEDIF</a:t>
          </a:r>
          <a:r>
            <a:rPr lang="en-US" sz="1200" b="1"/>
            <a:t>)</a:t>
          </a:r>
        </a:p>
        <a:p>
          <a:r>
            <a:rPr lang="en-US" sz="1200" b="1"/>
            <a:t>The Goal:</a:t>
          </a:r>
          <a:r>
            <a:rPr lang="en-US" sz="1200"/>
            <a:t> Compute the total number of complete calendar months that have elapsed from the transaction date up to today's date.</a:t>
          </a:r>
        </a:p>
        <a:p>
          <a:r>
            <a:rPr lang="en-US" sz="1200" baseline="0"/>
            <a:t>	=DATEDIF([@Date], TODAY(), "M")</a:t>
          </a:r>
        </a:p>
        <a:p>
          <a:r>
            <a:rPr lang="en-US" sz="1200" b="1" baseline="0"/>
            <a:t>Note: </a:t>
          </a:r>
          <a:r>
            <a:rPr lang="en-US" sz="1100">
              <a:solidFill>
                <a:schemeClr val="dk1"/>
              </a:solidFill>
              <a:latin typeface="+mn-lt"/>
              <a:ea typeface="+mn-ea"/>
              <a:cs typeface="+mn-cs"/>
            </a:rPr>
            <a:t>DATEDIF</a:t>
          </a:r>
          <a:r>
            <a:rPr lang="en-US" sz="1200"/>
            <a:t> is a "hidden" legacy function in Excel—it won't show up in the auto-complete dropdown menu as you type it, but it still executes perfectly!</a:t>
          </a:r>
          <a:endParaRPr lang="en-US" sz="1200" baseline="0"/>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Day_Number</a:t>
          </a:r>
          <a:r>
            <a:rPr lang="en-US" sz="1200" b="1"/>
            <a:t> (Function: </a:t>
          </a:r>
          <a:r>
            <a:rPr lang="en-US" sz="1100" b="1">
              <a:solidFill>
                <a:schemeClr val="dk1"/>
              </a:solidFill>
              <a:latin typeface="+mn-lt"/>
              <a:ea typeface="+mn-ea"/>
              <a:cs typeface="+mn-cs"/>
            </a:rPr>
            <a:t>WEEKDAY</a:t>
          </a:r>
          <a:r>
            <a:rPr lang="en-US" sz="1200" b="1"/>
            <a:t>)</a:t>
          </a:r>
        </a:p>
        <a:p>
          <a:r>
            <a:rPr lang="en-US" sz="1200" b="1"/>
            <a:t>The Goal:</a:t>
          </a:r>
          <a:r>
            <a:rPr lang="en-US" sz="1200"/>
            <a:t> Extract an integer index mapping to the specific day of the week the transaction occurred (where </a:t>
          </a:r>
          <a:r>
            <a:rPr lang="en-US" sz="1100">
              <a:solidFill>
                <a:schemeClr val="dk1"/>
              </a:solidFill>
              <a:latin typeface="+mn-lt"/>
              <a:ea typeface="+mn-ea"/>
              <a:cs typeface="+mn-cs"/>
            </a:rPr>
            <a:t>1 = Sunday</a:t>
          </a:r>
          <a:r>
            <a:rPr lang="en-US" sz="1200"/>
            <a:t>, </a:t>
          </a:r>
          <a:r>
            <a:rPr lang="en-US" sz="1100">
              <a:solidFill>
                <a:schemeClr val="dk1"/>
              </a:solidFill>
              <a:latin typeface="+mn-lt"/>
              <a:ea typeface="+mn-ea"/>
              <a:cs typeface="+mn-cs"/>
            </a:rPr>
            <a:t>2 = Monday</a:t>
          </a:r>
          <a:r>
            <a:rPr lang="en-US" sz="1200"/>
            <a:t>, up to </a:t>
          </a:r>
          <a:r>
            <a:rPr lang="en-US" sz="1100">
              <a:solidFill>
                <a:schemeClr val="dk1"/>
              </a:solidFill>
              <a:latin typeface="+mn-lt"/>
              <a:ea typeface="+mn-ea"/>
              <a:cs typeface="+mn-cs"/>
            </a:rPr>
            <a:t>7 = Saturday</a:t>
          </a:r>
          <a:r>
            <a:rPr lang="en-US" sz="1200"/>
            <a:t>).</a:t>
          </a:r>
        </a:p>
        <a:p>
          <a:r>
            <a:rPr lang="en-US" sz="1200" baseline="0"/>
            <a:t>	=WEEKDAY([@Date])</a:t>
          </a:r>
        </a:p>
        <a:p>
          <a:r>
            <a:rPr lang="en-US" sz="1200" baseline="0"/>
            <a:t>Note: </a:t>
          </a:r>
          <a:r>
            <a:rPr lang="en-US" sz="1200"/>
            <a:t>Wrap this in a </a:t>
          </a:r>
          <a:r>
            <a:rPr lang="en-US" sz="1200">
              <a:solidFill>
                <a:schemeClr val="dk1"/>
              </a:solidFill>
              <a:latin typeface="+mn-lt"/>
              <a:ea typeface="+mn-ea"/>
              <a:cs typeface="+mn-cs"/>
            </a:rPr>
            <a:t>TEXT</a:t>
          </a:r>
          <a:r>
            <a:rPr lang="en-US" sz="1200"/>
            <a:t> function if you want them to see the actual word like "Monday" instead of a number: </a:t>
          </a:r>
          <a:r>
            <a:rPr lang="en-US" sz="1200">
              <a:solidFill>
                <a:schemeClr val="dk1"/>
              </a:solidFill>
              <a:latin typeface="+mn-lt"/>
              <a:ea typeface="+mn-ea"/>
              <a:cs typeface="+mn-cs"/>
            </a:rPr>
            <a:t>=TEXT(</a:t>
          </a:r>
          <a:r>
            <a:rPr lang="en-US" sz="1200" baseline="0">
              <a:solidFill>
                <a:schemeClr val="dk1"/>
              </a:solidFill>
              <a:effectLst/>
              <a:latin typeface="+mn-lt"/>
              <a:ea typeface="+mn-ea"/>
              <a:cs typeface="+mn-cs"/>
            </a:rPr>
            <a:t>WEEKDAY([@Date]),</a:t>
          </a:r>
          <a:r>
            <a:rPr lang="en-US" sz="1200">
              <a:solidFill>
                <a:schemeClr val="dk1"/>
              </a:solidFill>
              <a:latin typeface="+mn-lt"/>
              <a:ea typeface="+mn-ea"/>
              <a:cs typeface="+mn-cs"/>
            </a:rPr>
            <a:t> "dddd")</a:t>
          </a:r>
          <a:endParaRPr lang="en-US" sz="1200" baseline="0"/>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Shipping_Deadline</a:t>
          </a:r>
          <a:r>
            <a:rPr lang="en-US" sz="1200" b="1"/>
            <a:t> (Function: </a:t>
          </a:r>
          <a:r>
            <a:rPr lang="en-US" sz="1200" b="1">
              <a:solidFill>
                <a:schemeClr val="dk1"/>
              </a:solidFill>
              <a:latin typeface="+mn-lt"/>
              <a:ea typeface="+mn-ea"/>
              <a:cs typeface="+mn-cs"/>
            </a:rPr>
            <a:t>WORKDAY</a:t>
          </a:r>
          <a:r>
            <a:rPr lang="en-US" sz="1200" b="1"/>
            <a:t>)</a:t>
          </a:r>
        </a:p>
        <a:p>
          <a:r>
            <a:rPr lang="en-US" sz="1200" b="1"/>
            <a:t>The Goal:</a:t>
          </a:r>
          <a:r>
            <a:rPr lang="en-US" sz="1200"/>
            <a:t> Supply chain scheduling. If a package takes exactly 5 business days to process and ship, this calculates the final calendar delivery deadline, automatically skipping weekends.</a:t>
          </a:r>
        </a:p>
        <a:p>
          <a:r>
            <a:rPr lang="en-US" sz="1100"/>
            <a:t>	=WORKDAY([@Date]; 5)</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624840</xdr:colOff>
      <xdr:row>0</xdr:row>
      <xdr:rowOff>91440</xdr:rowOff>
    </xdr:from>
    <xdr:to>
      <xdr:col>17</xdr:col>
      <xdr:colOff>57150</xdr:colOff>
      <xdr:row>41</xdr:row>
      <xdr:rowOff>0</xdr:rowOff>
    </xdr:to>
    <xdr:sp macro="" textlink="">
      <xdr:nvSpPr>
        <xdr:cNvPr id="2" name="TextBox 1">
          <a:extLst>
            <a:ext uri="{FF2B5EF4-FFF2-40B4-BE49-F238E27FC236}">
              <a16:creationId xmlns:a16="http://schemas.microsoft.com/office/drawing/2014/main" id="{D6E926A7-2596-7EB9-22A4-9CDFDBEE2364}"/>
            </a:ext>
          </a:extLst>
        </xdr:cNvPr>
        <xdr:cNvSpPr txBox="1"/>
      </xdr:nvSpPr>
      <xdr:spPr>
        <a:xfrm>
          <a:off x="5292090" y="91440"/>
          <a:ext cx="6099810" cy="69380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Exercise 1: The Single-Character Identifier (</a:t>
          </a:r>
          <a:r>
            <a:rPr lang="en-US" sz="1400" b="1">
              <a:solidFill>
                <a:schemeClr val="dk1"/>
              </a:solidFill>
              <a:latin typeface="+mn-lt"/>
              <a:ea typeface="+mn-ea"/>
              <a:cs typeface="+mn-cs"/>
            </a:rPr>
            <a:t>?</a:t>
          </a:r>
          <a:r>
            <a:rPr lang="en-US" sz="1400" b="1"/>
            <a:t>)</a:t>
          </a:r>
        </a:p>
        <a:p>
          <a:r>
            <a:rPr lang="en-US" sz="1400" b="1"/>
            <a:t>Goal:</a:t>
          </a:r>
          <a:r>
            <a:rPr lang="en-US" sz="1400"/>
            <a:t> You want to standardize only the codes that have a single, unpredictable century digit (S-105, S-205, S-305) into a clean </a:t>
          </a:r>
          <a:r>
            <a:rPr lang="en-US" sz="1400">
              <a:solidFill>
                <a:schemeClr val="dk1"/>
              </a:solidFill>
              <a:latin typeface="+mn-lt"/>
              <a:ea typeface="+mn-ea"/>
              <a:cs typeface="+mn-cs"/>
            </a:rPr>
            <a:t>"Standard_Batch"</a:t>
          </a:r>
          <a:r>
            <a:rPr lang="en-US" sz="1400"/>
            <a:t> label, but you want to leave the long 9905 code alone.</a:t>
          </a:r>
        </a:p>
        <a:p>
          <a:r>
            <a:rPr lang="en-US" sz="1400" b="1"/>
            <a:t>Find what:</a:t>
          </a:r>
          <a:r>
            <a:rPr lang="en-US" sz="1400"/>
            <a:t> </a:t>
          </a:r>
          <a:r>
            <a:rPr lang="en-US" sz="1400">
              <a:solidFill>
                <a:schemeClr val="dk1"/>
              </a:solidFill>
              <a:latin typeface="+mn-lt"/>
              <a:ea typeface="+mn-ea"/>
              <a:cs typeface="+mn-cs"/>
            </a:rPr>
            <a:t>Batch_S-?05*</a:t>
          </a:r>
          <a:endParaRPr lang="en-US" sz="1400"/>
        </a:p>
        <a:p>
          <a:r>
            <a:rPr lang="en-US" sz="1400" b="1"/>
            <a:t>Replace with:</a:t>
          </a:r>
          <a:r>
            <a:rPr lang="en-US" sz="1400"/>
            <a:t> </a:t>
          </a:r>
          <a:r>
            <a:rPr lang="en-US" sz="1400">
              <a:solidFill>
                <a:schemeClr val="dk1"/>
              </a:solidFill>
              <a:latin typeface="+mn-lt"/>
              <a:ea typeface="+mn-ea"/>
              <a:cs typeface="+mn-cs"/>
            </a:rPr>
            <a:t>Standard_Batch</a:t>
          </a:r>
          <a:endParaRPr lang="en-US" sz="1400"/>
        </a:p>
        <a:p>
          <a:r>
            <a:rPr lang="en-US" sz="1400" b="1"/>
            <a:t>The Result:</a:t>
          </a:r>
          <a:r>
            <a:rPr lang="en-US" sz="1400"/>
            <a:t> Rows 2, 3, and 6 will instantly change. Row 5 (</a:t>
          </a:r>
          <a:r>
            <a:rPr lang="en-US" sz="1400">
              <a:solidFill>
                <a:schemeClr val="dk1"/>
              </a:solidFill>
              <a:latin typeface="+mn-lt"/>
              <a:ea typeface="+mn-ea"/>
              <a:cs typeface="+mn-cs"/>
            </a:rPr>
            <a:t>S-9905</a:t>
          </a:r>
          <a:r>
            <a:rPr lang="en-US" sz="1400"/>
            <a:t>) is skipped because </a:t>
          </a:r>
          <a:r>
            <a:rPr lang="en-US" sz="1400">
              <a:solidFill>
                <a:schemeClr val="dk1"/>
              </a:solidFill>
              <a:latin typeface="+mn-lt"/>
              <a:ea typeface="+mn-ea"/>
              <a:cs typeface="+mn-cs"/>
            </a:rPr>
            <a:t>?</a:t>
          </a:r>
          <a:r>
            <a:rPr lang="en-US" sz="1400"/>
            <a:t> strictly demands </a:t>
          </a:r>
          <a:r>
            <a:rPr lang="en-US" sz="1400" b="1"/>
            <a:t>exactly one</a:t>
          </a:r>
          <a:r>
            <a:rPr lang="en-US" sz="1400"/>
            <a:t> character between the hyphen and the zero.</a:t>
          </a:r>
        </a:p>
        <a:p>
          <a:endParaRPr lang="en-US" sz="1400" b="1"/>
        </a:p>
        <a:p>
          <a:r>
            <a:rPr lang="en-US" sz="1400" b="1"/>
            <a:t>Exercise 2: The Universal Catch-All (</a:t>
          </a:r>
          <a:r>
            <a:rPr lang="en-US" sz="1400" b="1">
              <a:solidFill>
                <a:schemeClr val="dk1"/>
              </a:solidFill>
              <a:latin typeface="+mn-lt"/>
              <a:ea typeface="+mn-ea"/>
              <a:cs typeface="+mn-cs"/>
            </a:rPr>
            <a:t>*</a:t>
          </a:r>
          <a:r>
            <a:rPr lang="en-US" sz="1400" b="1"/>
            <a:t>)</a:t>
          </a:r>
        </a:p>
        <a:p>
          <a:r>
            <a:rPr lang="en-US" sz="1400" b="1"/>
            <a:t>Goal:</a:t>
          </a:r>
          <a:r>
            <a:rPr lang="en-US" sz="1400"/>
            <a:t> You want to strip out all the geographic region suffixes (like </a:t>
          </a:r>
          <a:r>
            <a:rPr lang="en-US" sz="1400">
              <a:solidFill>
                <a:schemeClr val="dk1"/>
              </a:solidFill>
              <a:latin typeface="+mn-lt"/>
              <a:ea typeface="+mn-ea"/>
              <a:cs typeface="+mn-cs"/>
            </a:rPr>
            <a:t>_North</a:t>
          </a:r>
          <a:r>
            <a:rPr lang="en-US" sz="1400"/>
            <a:t>, </a:t>
          </a:r>
          <a:r>
            <a:rPr lang="en-US" sz="1400">
              <a:solidFill>
                <a:schemeClr val="dk1"/>
              </a:solidFill>
              <a:latin typeface="+mn-lt"/>
              <a:ea typeface="+mn-ea"/>
              <a:cs typeface="+mn-cs"/>
            </a:rPr>
            <a:t>_South</a:t>
          </a:r>
          <a:r>
            <a:rPr lang="en-US" sz="1400"/>
            <a:t>) from the end of every row, regardless of how long the region's name is.</a:t>
          </a:r>
        </a:p>
        <a:p>
          <a:r>
            <a:rPr lang="en-US" sz="1400" b="1"/>
            <a:t>Find what:</a:t>
          </a:r>
          <a:r>
            <a:rPr lang="en-US" sz="1400"/>
            <a:t> </a:t>
          </a:r>
          <a:r>
            <a:rPr lang="en-US" sz="1400">
              <a:solidFill>
                <a:schemeClr val="dk1"/>
              </a:solidFill>
              <a:latin typeface="+mn-lt"/>
              <a:ea typeface="+mn-ea"/>
              <a:cs typeface="+mn-cs"/>
            </a:rPr>
            <a:t>_*</a:t>
          </a:r>
          <a:endParaRPr lang="en-US" sz="1400"/>
        </a:p>
        <a:p>
          <a:r>
            <a:rPr lang="en-US" sz="1400" b="1"/>
            <a:t>Replace with:</a:t>
          </a:r>
          <a:r>
            <a:rPr lang="en-US" sz="1400"/>
            <a:t> </a:t>
          </a:r>
          <a:r>
            <a:rPr lang="en-US" sz="1400" i="1"/>
            <a:t>(Leave completely blank)</a:t>
          </a:r>
          <a:endParaRPr lang="en-US" sz="1400"/>
        </a:p>
        <a:p>
          <a:r>
            <a:rPr lang="en-US" sz="1400" b="1"/>
            <a:t>The Result:</a:t>
          </a:r>
          <a:r>
            <a:rPr lang="en-US" sz="1400"/>
            <a:t> Excel looks for the underscore and vaporizes everything that follows it. Your strings instantly clean up to just the core codes: </a:t>
          </a:r>
          <a:r>
            <a:rPr lang="en-US" sz="1400">
              <a:solidFill>
                <a:schemeClr val="dk1"/>
              </a:solidFill>
              <a:latin typeface="+mn-lt"/>
              <a:ea typeface="+mn-ea"/>
              <a:cs typeface="+mn-cs"/>
            </a:rPr>
            <a:t>Batch_S-105</a:t>
          </a:r>
          <a:r>
            <a:rPr lang="en-US" sz="1400"/>
            <a:t>, </a:t>
          </a:r>
          <a:r>
            <a:rPr lang="en-US" sz="1400">
              <a:solidFill>
                <a:schemeClr val="dk1"/>
              </a:solidFill>
              <a:latin typeface="+mn-lt"/>
              <a:ea typeface="+mn-ea"/>
              <a:cs typeface="+mn-cs"/>
            </a:rPr>
            <a:t>Batch_S-205</a:t>
          </a:r>
          <a:r>
            <a:rPr lang="en-US" sz="1400"/>
            <a:t>, etc.</a:t>
          </a:r>
        </a:p>
        <a:p>
          <a:endParaRPr lang="en-US" sz="1400" b="1"/>
        </a:p>
        <a:p>
          <a:r>
            <a:rPr lang="en-US" sz="1400" b="1"/>
            <a:t>Exercise 3: The Escape Artist (</a:t>
          </a:r>
          <a:r>
            <a:rPr lang="en-US" sz="1400" b="1">
              <a:solidFill>
                <a:schemeClr val="dk1"/>
              </a:solidFill>
              <a:latin typeface="+mn-lt"/>
              <a:ea typeface="+mn-ea"/>
              <a:cs typeface="+mn-cs"/>
            </a:rPr>
            <a:t>~</a:t>
          </a:r>
          <a:r>
            <a:rPr lang="en-US" sz="1400" b="1"/>
            <a:t>)</a:t>
          </a:r>
        </a:p>
        <a:p>
          <a:r>
            <a:rPr lang="en-US" sz="1400" b="1"/>
            <a:t>Goal:</a:t>
          </a:r>
          <a:r>
            <a:rPr lang="en-US" sz="1400"/>
            <a:t> Look at Row 4. A data entry error introduced a literal asterisk into the code (</a:t>
          </a:r>
          <a:r>
            <a:rPr lang="en-US" sz="1400">
              <a:solidFill>
                <a:schemeClr val="dk1"/>
              </a:solidFill>
              <a:latin typeface="+mn-lt"/>
              <a:ea typeface="+mn-ea"/>
              <a:cs typeface="+mn-cs"/>
            </a:rPr>
            <a:t>Batch_S-*05_East</a:t>
          </a:r>
          <a:r>
            <a:rPr lang="en-US" sz="1400"/>
            <a:t>). If you try to search for </a:t>
          </a:r>
          <a:r>
            <a:rPr lang="en-US" sz="1400">
              <a:solidFill>
                <a:schemeClr val="dk1"/>
              </a:solidFill>
              <a:latin typeface="+mn-lt"/>
              <a:ea typeface="+mn-ea"/>
              <a:cs typeface="+mn-cs"/>
            </a:rPr>
            <a:t>*</a:t>
          </a:r>
          <a:r>
            <a:rPr lang="en-US" sz="1400"/>
            <a:t> normally, Excel thinks you mean "everything" and will wipe out your whole sheet. You need to tell Excel to treat the asterisk as plain text.</a:t>
          </a:r>
        </a:p>
        <a:p>
          <a:r>
            <a:rPr lang="en-US" sz="1400" b="1"/>
            <a:t>Find what:</a:t>
          </a:r>
          <a:r>
            <a:rPr lang="en-US" sz="1400"/>
            <a:t> </a:t>
          </a:r>
          <a:r>
            <a:rPr lang="en-US" sz="1400">
              <a:solidFill>
                <a:schemeClr val="dk1"/>
              </a:solidFill>
              <a:latin typeface="+mn-lt"/>
              <a:ea typeface="+mn-ea"/>
              <a:cs typeface="+mn-cs"/>
            </a:rPr>
            <a:t>~*</a:t>
          </a:r>
          <a:endParaRPr lang="en-US" sz="1400"/>
        </a:p>
        <a:p>
          <a:r>
            <a:rPr lang="en-US" sz="1400" b="1"/>
            <a:t>Replace with:</a:t>
          </a:r>
          <a:r>
            <a:rPr lang="en-US" sz="1400"/>
            <a:t> </a:t>
          </a:r>
          <a:r>
            <a:rPr lang="en-US" sz="1400">
              <a:solidFill>
                <a:schemeClr val="dk1"/>
              </a:solidFill>
              <a:latin typeface="+mn-lt"/>
              <a:ea typeface="+mn-ea"/>
              <a:cs typeface="+mn-cs"/>
            </a:rPr>
            <a:t>3</a:t>
          </a:r>
          <a:endParaRPr lang="en-US" sz="1400"/>
        </a:p>
        <a:p>
          <a:r>
            <a:rPr lang="en-US" sz="1400" b="1"/>
            <a:t>The Result:</a:t>
          </a:r>
          <a:r>
            <a:rPr lang="en-US" sz="1400"/>
            <a:t> Excel bypasses the wildcard engine, hunts down that single literal error character, and transforms </a:t>
          </a:r>
          <a:r>
            <a:rPr lang="en-US" sz="1400">
              <a:solidFill>
                <a:schemeClr val="dk1"/>
              </a:solidFill>
              <a:latin typeface="+mn-lt"/>
              <a:ea typeface="+mn-ea"/>
              <a:cs typeface="+mn-cs"/>
            </a:rPr>
            <a:t>Batch_S-*05_East</a:t>
          </a:r>
          <a:r>
            <a:rPr lang="en-US" sz="1400"/>
            <a:t> safely into </a:t>
          </a:r>
          <a:r>
            <a:rPr lang="en-US" sz="1400">
              <a:solidFill>
                <a:schemeClr val="dk1"/>
              </a:solidFill>
              <a:latin typeface="+mn-lt"/>
              <a:ea typeface="+mn-ea"/>
              <a:cs typeface="+mn-cs"/>
            </a:rPr>
            <a:t>Batch_S-305_East</a:t>
          </a:r>
          <a:r>
            <a:rPr lang="en-US" sz="1400"/>
            <a:t>.</a:t>
          </a:r>
        </a:p>
        <a:p>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571500</xdr:colOff>
      <xdr:row>0</xdr:row>
      <xdr:rowOff>118109</xdr:rowOff>
    </xdr:from>
    <xdr:to>
      <xdr:col>28</xdr:col>
      <xdr:colOff>482600</xdr:colOff>
      <xdr:row>75</xdr:row>
      <xdr:rowOff>114300</xdr:rowOff>
    </xdr:to>
    <xdr:sp macro="" textlink="">
      <xdr:nvSpPr>
        <xdr:cNvPr id="2" name="TextBox 1">
          <a:extLst>
            <a:ext uri="{FF2B5EF4-FFF2-40B4-BE49-F238E27FC236}">
              <a16:creationId xmlns:a16="http://schemas.microsoft.com/office/drawing/2014/main" id="{A886355D-CA59-9B49-B586-08F96C6AEDC1}"/>
            </a:ext>
          </a:extLst>
        </xdr:cNvPr>
        <xdr:cNvSpPr txBox="1"/>
      </xdr:nvSpPr>
      <xdr:spPr>
        <a:xfrm>
          <a:off x="19469100" y="118109"/>
          <a:ext cx="8661400" cy="13331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EXERCISE</a:t>
          </a:r>
        </a:p>
        <a:p>
          <a:r>
            <a:rPr lang="en-US" sz="1400"/>
            <a:t>1.-</a:t>
          </a:r>
          <a:r>
            <a:rPr lang="en-US" sz="1400" baseline="0"/>
            <a:t> Convert the sheet to a Table</a:t>
          </a:r>
        </a:p>
        <a:p>
          <a:r>
            <a:rPr lang="en-US" sz="1400" baseline="0"/>
            <a:t>2.- Clear Formats</a:t>
          </a:r>
        </a:p>
        <a:p>
          <a:r>
            <a:rPr lang="en-US" sz="1400" baseline="0"/>
            <a:t>3.- Check "Total Row"</a:t>
          </a:r>
        </a:p>
        <a:p>
          <a:r>
            <a:rPr lang="en-US" sz="1400" baseline="0"/>
            <a:t>4.- Use TRIM()</a:t>
          </a:r>
        </a:p>
        <a:p>
          <a:r>
            <a:rPr lang="en-US" sz="1400" baseline="0"/>
            <a:t>5.- Use PROPER()</a:t>
          </a:r>
        </a:p>
        <a:p>
          <a:r>
            <a:rPr lang="en-US" sz="1400" baseline="0"/>
            <a:t>6.- Split Text to Columns</a:t>
          </a:r>
        </a:p>
        <a:p>
          <a:r>
            <a:rPr lang="en-US" sz="1400" baseline="0"/>
            <a:t>7.- Find and Replace</a:t>
          </a:r>
        </a:p>
        <a:p>
          <a:r>
            <a:rPr lang="en-US" sz="1400" baseline="0"/>
            <a:t>	See the next sheet</a:t>
          </a:r>
        </a:p>
        <a:p>
          <a:r>
            <a:rPr lang="en-US" sz="1400" baseline="0"/>
            <a:t>8.- Find Duplicate Values</a:t>
          </a:r>
        </a:p>
        <a:p>
          <a:r>
            <a:rPr lang="en-US" sz="1400"/>
            <a:t>Using </a:t>
          </a:r>
          <a:r>
            <a:rPr lang="en-US" sz="1400" b="1"/>
            <a:t>Conditional Formatting</a:t>
          </a:r>
          <a:r>
            <a:rPr lang="en-US" sz="1400"/>
            <a:t> to highlight duplicate values across two columns simultaneously is a fantastic way to visually audit data before running a destructive operation like </a:t>
          </a:r>
          <a:r>
            <a:rPr lang="en-US" sz="1100">
              <a:solidFill>
                <a:schemeClr val="dk1"/>
              </a:solidFill>
              <a:latin typeface="+mn-lt"/>
              <a:ea typeface="+mn-ea"/>
              <a:cs typeface="+mn-cs"/>
            </a:rPr>
            <a:t>RemoveDuplicates</a:t>
          </a:r>
          <a:r>
            <a:rPr lang="en-US" sz="1400"/>
            <a:t>.</a:t>
          </a:r>
        </a:p>
        <a:p>
          <a:endParaRPr lang="en-US" sz="1400"/>
        </a:p>
        <a:p>
          <a:r>
            <a:rPr lang="en-US" sz="1400"/>
            <a:t>However, Excel’s built-in "Highlight Duplicate Values" rule has a major architectural limitation: </a:t>
          </a:r>
          <a:r>
            <a:rPr lang="en-US" sz="1400" b="1"/>
            <a:t>it only evaluates cells individually.</a:t>
          </a:r>
          <a:r>
            <a:rPr lang="en-US" sz="1400"/>
            <a:t> If you select Column A and Column B and click the default duplicate button, Excel will highlight "John" if it appears anywhere in Column A, and "North" if it appears anywhere in Column B—completely ignoring whether they are on the same row.</a:t>
          </a:r>
        </a:p>
        <a:p>
          <a:endParaRPr lang="en-US" sz="1400"/>
        </a:p>
        <a:p>
          <a:r>
            <a:rPr lang="en-US" sz="1400"/>
            <a:t>To apply the true </a:t>
          </a:r>
          <a:r>
            <a:rPr lang="en-US" sz="1400" b="1"/>
            <a:t>"AND" logic</a:t>
          </a:r>
          <a:r>
            <a:rPr lang="en-US" sz="1400"/>
            <a:t> (where Excel highlights rows only if the combination of Column A </a:t>
          </a:r>
          <a:r>
            <a:rPr lang="en-US" sz="1400" i="1"/>
            <a:t>and</a:t>
          </a:r>
          <a:r>
            <a:rPr lang="en-US" sz="1400"/>
            <a:t> Column B repeats), you must use a custom </a:t>
          </a:r>
          <a:r>
            <a:rPr lang="en-US" sz="1400" b="1"/>
            <a:t>logical formula</a:t>
          </a:r>
          <a:r>
            <a:rPr lang="en-US" sz="1400"/>
            <a:t> inside Conditional Formatting.</a:t>
          </a:r>
        </a:p>
        <a:p>
          <a:endParaRPr lang="en-US" sz="1400"/>
        </a:p>
        <a:p>
          <a:pPr marL="285750" indent="-285750">
            <a:buFont typeface="Arial" panose="020B0604020202020204" pitchFamily="34" charset="0"/>
            <a:buChar char="•"/>
          </a:pPr>
          <a:r>
            <a:rPr lang="en-US" sz="1400"/>
            <a:t>Highlight</a:t>
          </a:r>
          <a:r>
            <a:rPr lang="en-US" sz="1400" baseline="0"/>
            <a:t> D2:B50</a:t>
          </a:r>
        </a:p>
        <a:p>
          <a:pPr marL="285750" indent="-285750">
            <a:buFont typeface="Arial" panose="020B0604020202020204" pitchFamily="34" charset="0"/>
            <a:buChar char="•"/>
          </a:pPr>
          <a:r>
            <a:rPr lang="en-US" sz="1400"/>
            <a:t>Click </a:t>
          </a:r>
          <a:r>
            <a:rPr lang="en-US" sz="1400" b="1"/>
            <a:t>Conditional Formatting &gt; New Rule...</a:t>
          </a:r>
          <a:endParaRPr lang="en-US" sz="1400" b="0"/>
        </a:p>
        <a:p>
          <a:pPr marL="285750" indent="-285750">
            <a:buFont typeface="Arial" panose="020B0604020202020204" pitchFamily="34" charset="0"/>
            <a:buChar char="•"/>
          </a:pPr>
          <a:r>
            <a:rPr lang="en-US" sz="1400"/>
            <a:t>Choose </a:t>
          </a:r>
          <a:r>
            <a:rPr lang="en-US" sz="1400" b="1"/>
            <a:t>"Use a formula to determine which cells to format"</a:t>
          </a:r>
          <a:r>
            <a:rPr lang="en-US" sz="1400"/>
            <a:t>.</a:t>
          </a:r>
        </a:p>
        <a:p>
          <a:pPr marL="285750" indent="-285750">
            <a:buFont typeface="Arial" panose="020B0604020202020204" pitchFamily="34" charset="0"/>
            <a:buChar char="•"/>
          </a:pPr>
          <a:r>
            <a:rPr lang="en-US" sz="1400"/>
            <a:t>In the formula box, type this exact coordinate layout:</a:t>
          </a:r>
        </a:p>
        <a:p>
          <a:pPr marL="0" indent="0">
            <a:buFont typeface="Arial" panose="020B0604020202020204" pitchFamily="34" charset="0"/>
            <a:buNone/>
          </a:pPr>
          <a:r>
            <a:rPr lang="en-US" sz="1400"/>
            <a:t>	=COUNTIFS($D$2:$D$50, $D2, $G$2:$G$50, $G2) &gt; 1</a:t>
          </a:r>
        </a:p>
        <a:p>
          <a:pPr marL="285750" indent="-285750">
            <a:buFont typeface="Arial" panose="020B0604020202020204" pitchFamily="34" charset="0"/>
            <a:buChar char="•"/>
          </a:pPr>
          <a:r>
            <a:rPr lang="en-US" sz="1400"/>
            <a:t>Click </a:t>
          </a:r>
          <a:r>
            <a:rPr lang="en-US" sz="1400" b="1"/>
            <a:t>Format...</a:t>
          </a:r>
          <a:r>
            <a:rPr lang="en-US" sz="1400"/>
            <a:t>, go to the </a:t>
          </a:r>
          <a:r>
            <a:rPr lang="en-US" sz="1400" b="1"/>
            <a:t>Fill</a:t>
          </a:r>
          <a:r>
            <a:rPr lang="en-US" sz="1400"/>
            <a:t> tab, and choose your highlight color.</a:t>
          </a:r>
        </a:p>
        <a:p>
          <a:pPr marL="285750" indent="-285750">
            <a:buFont typeface="Arial" panose="020B0604020202020204" pitchFamily="34" charset="0"/>
            <a:buChar char="•"/>
          </a:pPr>
          <a:r>
            <a:rPr lang="en-US" sz="1400"/>
            <a:t>Click </a:t>
          </a:r>
          <a:r>
            <a:rPr lang="en-US" sz="1400" b="1"/>
            <a:t>OK</a:t>
          </a:r>
          <a:r>
            <a:rPr lang="en-US" sz="1400"/>
            <a:t>, then click </a:t>
          </a:r>
          <a:r>
            <a:rPr lang="en-US" sz="1400" b="1"/>
            <a:t>OK</a:t>
          </a:r>
          <a:r>
            <a:rPr lang="en-US" sz="1400"/>
            <a:t> to apply.</a:t>
          </a:r>
        </a:p>
        <a:p>
          <a:endParaRPr lang="en-US" sz="1400"/>
        </a:p>
        <a:p>
          <a:r>
            <a:rPr lang="en-US" sz="1400" baseline="0"/>
            <a:t>9.- Remove Duplicate Values</a:t>
          </a:r>
        </a:p>
        <a:p>
          <a:r>
            <a:rPr lang="en-US" sz="1400" baseline="0"/>
            <a:t>10.- ISBLANK()</a:t>
          </a:r>
        </a:p>
        <a:p>
          <a:r>
            <a:rPr lang="en-US" sz="1400" baseline="0"/>
            <a:t>	=IF(ISBLANK([@StumpDiameterIN]),"Unknown",[@StumpDiameterIN])</a:t>
          </a:r>
        </a:p>
        <a:p>
          <a:r>
            <a:rPr lang="en-US" sz="1400" baseline="0"/>
            <a:t>11.- Data Validation</a:t>
          </a:r>
        </a:p>
        <a:p>
          <a:r>
            <a:rPr lang="en-US" sz="1400" baseline="0"/>
            <a:t>12. DATE Functions</a:t>
          </a:r>
        </a:p>
        <a:p>
          <a:pPr marL="285750" indent="-285750">
            <a:buFont typeface="Arial" panose="020B0604020202020204" pitchFamily="34" charset="0"/>
            <a:buChar char="•"/>
          </a:pPr>
          <a:r>
            <a:rPr lang="en-US" sz="1400" b="1"/>
            <a:t>Column Name: </a:t>
          </a:r>
          <a:r>
            <a:rPr lang="en-US" sz="1100" b="1">
              <a:solidFill>
                <a:schemeClr val="dk1"/>
              </a:solidFill>
              <a:latin typeface="+mn-lt"/>
              <a:ea typeface="+mn-ea"/>
              <a:cs typeface="+mn-cs"/>
            </a:rPr>
            <a:t>Days_Since_Sale</a:t>
          </a:r>
          <a:r>
            <a:rPr lang="en-US" sz="1400" b="1"/>
            <a:t> (Function: </a:t>
          </a:r>
          <a:r>
            <a:rPr lang="en-US" sz="1100" b="1">
              <a:solidFill>
                <a:schemeClr val="dk1"/>
              </a:solidFill>
              <a:latin typeface="+mn-lt"/>
              <a:ea typeface="+mn-ea"/>
              <a:cs typeface="+mn-cs"/>
            </a:rPr>
            <a:t>NETWORKDAYS</a:t>
          </a:r>
          <a:r>
            <a:rPr lang="en-US" sz="1400" b="1"/>
            <a:t>)</a:t>
          </a:r>
        </a:p>
        <a:p>
          <a:r>
            <a:rPr lang="en-US" sz="1400" b="1"/>
            <a:t>The Goal:</a:t>
          </a:r>
          <a:r>
            <a:rPr lang="en-US" sz="1400"/>
            <a:t> Calculate the exact number of strict </a:t>
          </a:r>
          <a:r>
            <a:rPr lang="en-US" sz="1400" i="1"/>
            <a:t>working days</a:t>
          </a:r>
          <a:r>
            <a:rPr lang="en-US" sz="1400"/>
            <a:t> (excluding Saturdays and  Sundays) that have passed between the transaction date and today.</a:t>
          </a:r>
        </a:p>
        <a:p>
          <a:r>
            <a:rPr lang="en-US" sz="1400" baseline="0"/>
            <a:t>	=NETWORKDAYS([@Date], TODAY())</a:t>
          </a:r>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Warranty_Expiry</a:t>
          </a:r>
          <a:r>
            <a:rPr lang="en-US" sz="1200" b="1"/>
            <a:t> (Function: </a:t>
          </a:r>
          <a:r>
            <a:rPr lang="en-US" sz="1200" b="1">
              <a:solidFill>
                <a:schemeClr val="dk1"/>
              </a:solidFill>
              <a:latin typeface="+mn-lt"/>
              <a:ea typeface="+mn-ea"/>
              <a:cs typeface="+mn-cs"/>
            </a:rPr>
            <a:t>EDATE</a:t>
          </a:r>
          <a:r>
            <a:rPr lang="en-US" sz="1200" b="1"/>
            <a:t>)</a:t>
          </a:r>
        </a:p>
        <a:p>
          <a:r>
            <a:rPr lang="en-US" sz="1200" b="1"/>
            <a:t>The Goal:</a:t>
          </a:r>
          <a:r>
            <a:rPr lang="en-US" sz="1200"/>
            <a:t> Look ahead exactly 6 months into the future from the sale date to establish a precise customer warranty expiration deadline.</a:t>
          </a:r>
        </a:p>
        <a:p>
          <a:r>
            <a:rPr lang="en-US" sz="1200"/>
            <a:t>	=EDATE([@Date], 6)</a:t>
          </a:r>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Months_Agone</a:t>
          </a:r>
          <a:r>
            <a:rPr lang="en-US" sz="1200" b="1"/>
            <a:t> (Function: </a:t>
          </a:r>
          <a:r>
            <a:rPr lang="en-US" sz="1100" b="1">
              <a:solidFill>
                <a:schemeClr val="dk1"/>
              </a:solidFill>
              <a:latin typeface="+mn-lt"/>
              <a:ea typeface="+mn-ea"/>
              <a:cs typeface="+mn-cs"/>
            </a:rPr>
            <a:t>DATEDIF</a:t>
          </a:r>
          <a:r>
            <a:rPr lang="en-US" sz="1200" b="1"/>
            <a:t>)</a:t>
          </a:r>
        </a:p>
        <a:p>
          <a:r>
            <a:rPr lang="en-US" sz="1200" b="1"/>
            <a:t>The Goal:</a:t>
          </a:r>
          <a:r>
            <a:rPr lang="en-US" sz="1200"/>
            <a:t> Compute the total number of complete calendar months that have elapsed from the transaction date up to today's date.</a:t>
          </a:r>
        </a:p>
        <a:p>
          <a:r>
            <a:rPr lang="en-US" sz="1200" baseline="0"/>
            <a:t>	=DATEDIF([@Date], TODAY(), "M")</a:t>
          </a:r>
        </a:p>
        <a:p>
          <a:r>
            <a:rPr lang="en-US" sz="1200" b="1" baseline="0"/>
            <a:t>Note: </a:t>
          </a:r>
          <a:r>
            <a:rPr lang="en-US" sz="1100">
              <a:solidFill>
                <a:schemeClr val="dk1"/>
              </a:solidFill>
              <a:latin typeface="+mn-lt"/>
              <a:ea typeface="+mn-ea"/>
              <a:cs typeface="+mn-cs"/>
            </a:rPr>
            <a:t>DATEDIF</a:t>
          </a:r>
          <a:r>
            <a:rPr lang="en-US" sz="1200"/>
            <a:t> is a "hidden" legacy function in Excel—it won't show up in the auto-complete dropdown menu as you type it, but it still executes perfectly!</a:t>
          </a:r>
          <a:endParaRPr lang="en-US" sz="1200" baseline="0"/>
        </a:p>
        <a:p>
          <a:pPr marL="171450" indent="-171450">
            <a:buFont typeface="Arial" panose="020B0604020202020204" pitchFamily="34" charset="0"/>
            <a:buChar char="•"/>
          </a:pPr>
          <a:r>
            <a:rPr lang="en-US" sz="1200" b="1"/>
            <a:t>Column Name: </a:t>
          </a:r>
          <a:r>
            <a:rPr lang="en-US" sz="1100" b="1">
              <a:solidFill>
                <a:schemeClr val="dk1"/>
              </a:solidFill>
              <a:latin typeface="+mn-lt"/>
              <a:ea typeface="+mn-ea"/>
              <a:cs typeface="+mn-cs"/>
            </a:rPr>
            <a:t>Day_Number</a:t>
          </a:r>
          <a:r>
            <a:rPr lang="en-US" sz="1200" b="1"/>
            <a:t> (Function: </a:t>
          </a:r>
          <a:r>
            <a:rPr lang="en-US" sz="1100" b="1">
              <a:solidFill>
                <a:schemeClr val="dk1"/>
              </a:solidFill>
              <a:latin typeface="+mn-lt"/>
              <a:ea typeface="+mn-ea"/>
              <a:cs typeface="+mn-cs"/>
            </a:rPr>
            <a:t>WEEKDAY</a:t>
          </a:r>
          <a:r>
            <a:rPr lang="en-US" sz="1200" b="1"/>
            <a:t>)</a:t>
          </a:r>
        </a:p>
        <a:p>
          <a:r>
            <a:rPr lang="en-US" sz="1200" b="1"/>
            <a:t>The Goal:</a:t>
          </a:r>
          <a:r>
            <a:rPr lang="en-US" sz="1200"/>
            <a:t> Extract an integer index mapping to the specific day of the week the transaction occurred (where </a:t>
          </a:r>
          <a:r>
            <a:rPr lang="en-US" sz="1100">
              <a:solidFill>
                <a:schemeClr val="dk1"/>
              </a:solidFill>
              <a:latin typeface="+mn-lt"/>
              <a:ea typeface="+mn-ea"/>
              <a:cs typeface="+mn-cs"/>
            </a:rPr>
            <a:t>1 = Sunday</a:t>
          </a:r>
          <a:r>
            <a:rPr lang="en-US" sz="1200"/>
            <a:t>, </a:t>
          </a:r>
          <a:r>
            <a:rPr lang="en-US" sz="1100">
              <a:solidFill>
                <a:schemeClr val="dk1"/>
              </a:solidFill>
              <a:latin typeface="+mn-lt"/>
              <a:ea typeface="+mn-ea"/>
              <a:cs typeface="+mn-cs"/>
            </a:rPr>
            <a:t>2 = Monday</a:t>
          </a:r>
          <a:r>
            <a:rPr lang="en-US" sz="1200"/>
            <a:t>, up to </a:t>
          </a:r>
          <a:r>
            <a:rPr lang="en-US" sz="1100">
              <a:solidFill>
                <a:schemeClr val="dk1"/>
              </a:solidFill>
              <a:latin typeface="+mn-lt"/>
              <a:ea typeface="+mn-ea"/>
              <a:cs typeface="+mn-cs"/>
            </a:rPr>
            <a:t>7 = Saturday</a:t>
          </a:r>
          <a:r>
            <a:rPr lang="en-US" sz="1200"/>
            <a:t>).</a:t>
          </a:r>
        </a:p>
        <a:p>
          <a:r>
            <a:rPr lang="en-US" sz="1200" baseline="0"/>
            <a:t>	=WEEKDAY([@Date])</a:t>
          </a:r>
        </a:p>
        <a:p>
          <a:r>
            <a:rPr lang="en-US" sz="1200" baseline="0"/>
            <a:t>Note: </a:t>
          </a:r>
          <a:r>
            <a:rPr lang="en-US" sz="1200"/>
            <a:t>Wrap this in a </a:t>
          </a:r>
          <a:r>
            <a:rPr lang="en-US" sz="1200">
              <a:solidFill>
                <a:schemeClr val="dk1"/>
              </a:solidFill>
              <a:latin typeface="+mn-lt"/>
              <a:ea typeface="+mn-ea"/>
              <a:cs typeface="+mn-cs"/>
            </a:rPr>
            <a:t>TEXT</a:t>
          </a:r>
          <a:r>
            <a:rPr lang="en-US" sz="1200"/>
            <a:t> function if you want them to see the actual word like "Monday" instead of a number: </a:t>
          </a:r>
          <a:r>
            <a:rPr lang="en-US" sz="1200">
              <a:solidFill>
                <a:schemeClr val="dk1"/>
              </a:solidFill>
              <a:latin typeface="+mn-lt"/>
              <a:ea typeface="+mn-ea"/>
              <a:cs typeface="+mn-cs"/>
            </a:rPr>
            <a:t>=TEXT(</a:t>
          </a:r>
          <a:r>
            <a:rPr lang="en-US" sz="1200" baseline="0">
              <a:solidFill>
                <a:schemeClr val="dk1"/>
              </a:solidFill>
              <a:effectLst/>
              <a:latin typeface="+mn-lt"/>
              <a:ea typeface="+mn-ea"/>
              <a:cs typeface="+mn-cs"/>
            </a:rPr>
            <a:t>WEEKDAY([@Date]),</a:t>
          </a:r>
          <a:r>
            <a:rPr lang="en-US" sz="1200">
              <a:solidFill>
                <a:schemeClr val="dk1"/>
              </a:solidFill>
              <a:latin typeface="+mn-lt"/>
              <a:ea typeface="+mn-ea"/>
              <a:cs typeface="+mn-cs"/>
            </a:rPr>
            <a:t> "dddd")</a:t>
          </a:r>
          <a:endParaRPr lang="en-US" sz="1200" baseline="0"/>
        </a:p>
        <a:p>
          <a:pPr marL="171450" indent="-171450">
            <a:buFont typeface="Arial" panose="020B0604020202020204" pitchFamily="34" charset="0"/>
            <a:buChar char="•"/>
          </a:pPr>
          <a:r>
            <a:rPr lang="en-US" sz="1200" b="1"/>
            <a:t>Column Name: </a:t>
          </a:r>
          <a:r>
            <a:rPr lang="en-US" sz="1200" b="1">
              <a:solidFill>
                <a:schemeClr val="dk1"/>
              </a:solidFill>
              <a:latin typeface="+mn-lt"/>
              <a:ea typeface="+mn-ea"/>
              <a:cs typeface="+mn-cs"/>
            </a:rPr>
            <a:t>Shipping_Deadline</a:t>
          </a:r>
          <a:r>
            <a:rPr lang="en-US" sz="1200" b="1"/>
            <a:t> (Function: </a:t>
          </a:r>
          <a:r>
            <a:rPr lang="en-US" sz="1200" b="1">
              <a:solidFill>
                <a:schemeClr val="dk1"/>
              </a:solidFill>
              <a:latin typeface="+mn-lt"/>
              <a:ea typeface="+mn-ea"/>
              <a:cs typeface="+mn-cs"/>
            </a:rPr>
            <a:t>WORKDAY</a:t>
          </a:r>
          <a:r>
            <a:rPr lang="en-US" sz="1200" b="1"/>
            <a:t>)</a:t>
          </a:r>
        </a:p>
        <a:p>
          <a:r>
            <a:rPr lang="en-US" sz="1200" b="1"/>
            <a:t>The Goal:</a:t>
          </a:r>
          <a:r>
            <a:rPr lang="en-US" sz="1200"/>
            <a:t> Supply chain scheduling. If a package takes exactly 5 business days to process and ship, this calculates the final calendar delivery deadline, automatically skipping weekends.</a:t>
          </a:r>
        </a:p>
        <a:p>
          <a:r>
            <a:rPr lang="en-US" sz="1100"/>
            <a:t>	=WORKDAY([@Date]; 5)</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CD8B2E-A88F-394E-96D4-F493192AE2DD}" name="Table1" displayName="Table1" ref="A1:M56" totalsRowCount="1">
  <autoFilter ref="A1:M55" xr:uid="{B5CD8B2E-A88F-394E-96D4-F493192AE2DD}"/>
  <tableColumns count="13">
    <tableColumn id="1" xr3:uid="{D83D0DBE-D508-2D43-8E12-8EC04A1B13F8}" name="OBJECTID" totalsRowLabel="Total"/>
    <tableColumn id="2" xr3:uid="{B4B902C9-4463-A848-B54F-F0ACB126D2BE}" name="TPStructure" totalsRowFunction="count"/>
    <tableColumn id="3" xr3:uid="{D54C169F-14E4-2B47-A3D6-0331EED8BC0B}" name="TPCondition" totalsRowFunction="count"/>
    <tableColumn id="4" xr3:uid="{C2E0EEEC-7491-3E46-A1E3-1ABBB3461E24}" name="StumpDiameterIN" totalsRowFunction="count"/>
    <tableColumn id="5" xr3:uid="{53583E3E-C46B-114A-8463-425B95C3971A}" name="PlantingSpaceGlobalID" totalsRowFunction="count"/>
    <tableColumn id="6" xr3:uid="{32D8D07C-0C03-B64D-9661-646F093BCDDB}" name="Geometry" totalsRowFunction="count"/>
    <tableColumn id="7" xr3:uid="{212D9B63-BD84-474B-9D50-55A156F38EEA}" name="GenusSpecies" totalsRowFunction="count"/>
    <tableColumn id="8" xr3:uid="{19CE0DEB-D33E-2F4E-9217-ABA26C7C7BA7}" name="CreatedDate" totalsRowFunction="count" dataDxfId="15" totalsRowDxfId="14"/>
    <tableColumn id="13" xr3:uid="{B7E77B2E-DE73-EF45-A33D-E09A42E6C393}" name="Day,since, Sales" dataDxfId="6">
      <calculatedColumnFormula>NETWORKDAYS(Table1[[#This Row],[CreatedDate]],TODAY())</calculatedColumnFormula>
    </tableColumn>
    <tableColumn id="14" xr3:uid="{4F782D66-D52B-4545-8EF1-7B920C530AD5}" name="Warrenty_exp" dataDxfId="5" totalsRowDxfId="4">
      <calculatedColumnFormula>EDATE(Table1[[#This Row],[CreatedDate]],6)</calculatedColumnFormula>
    </tableColumn>
    <tableColumn id="15" xr3:uid="{C3097083-C2EA-0E46-8828-822502E9C23E}" name="Month_gone" dataDxfId="3">
      <calculatedColumnFormula>DATEDIF(H2,TODAY(),"Y")</calculatedColumnFormula>
    </tableColumn>
    <tableColumn id="16" xr3:uid="{B837AD40-88F4-1E49-BC8B-E865B7AF6B93}" name="Week_day" dataDxfId="2">
      <calculatedColumnFormula>TEXT(WEEKDAY(Table1[[#This Row],[CreatedDate]]),"dddd")</calculatedColumnFormula>
    </tableColumn>
    <tableColumn id="17" xr3:uid="{CD628B7F-C6F1-FE4C-BC4A-6B8854731033}" name="work_day" dataDxfId="0" totalsRowDxfId="1">
      <calculatedColumnFormula>WORKDAY(Table1[[#This Row],[CreatedDate]],5)</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40">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3F3F-BC28-4604-8E9D-E5F12D9EB475}">
  <sheetPr codeName="Sheet1"/>
  <dimension ref="A1:H50"/>
  <sheetViews>
    <sheetView workbookViewId="0">
      <selection activeCell="E17" sqref="E17"/>
    </sheetView>
  </sheetViews>
  <sheetFormatPr baseColWidth="10" defaultColWidth="8.83203125" defaultRowHeight="14" x14ac:dyDescent="0.15"/>
  <cols>
    <col min="1" max="1" width="10.1640625" customWidth="1"/>
    <col min="2" max="2" width="11.33203125" customWidth="1"/>
    <col min="3" max="3" width="11.5" customWidth="1"/>
    <col min="4" max="4" width="15" customWidth="1"/>
    <col min="5" max="5" width="28.1640625" bestFit="1" customWidth="1"/>
    <col min="6" max="6" width="31.5" bestFit="1" customWidth="1"/>
    <col min="7" max="7" width="22.33203125" bestFit="1" customWidth="1"/>
    <col min="8" max="8" width="20.1640625" bestFit="1" customWidth="1"/>
  </cols>
  <sheetData>
    <row r="1" spans="1:8" x14ac:dyDescent="0.15">
      <c r="A1" t="s">
        <v>0</v>
      </c>
      <c r="B1" t="s">
        <v>1</v>
      </c>
      <c r="C1" t="s">
        <v>2</v>
      </c>
      <c r="D1" t="s">
        <v>3</v>
      </c>
      <c r="E1" t="s">
        <v>4</v>
      </c>
      <c r="F1" t="s">
        <v>5</v>
      </c>
      <c r="G1" t="s">
        <v>6</v>
      </c>
      <c r="H1" t="s">
        <v>7</v>
      </c>
    </row>
    <row r="2" spans="1:8" x14ac:dyDescent="0.15">
      <c r="A2">
        <v>230120</v>
      </c>
      <c r="B2" t="s">
        <v>8</v>
      </c>
      <c r="C2" t="s">
        <v>9</v>
      </c>
      <c r="D2">
        <v>5</v>
      </c>
      <c r="E2" t="s">
        <v>10</v>
      </c>
      <c r="F2" t="s">
        <v>11</v>
      </c>
      <c r="G2" t="s">
        <v>9</v>
      </c>
      <c r="H2">
        <v>42251.620833333334</v>
      </c>
    </row>
    <row r="3" spans="1:8" x14ac:dyDescent="0.15">
      <c r="A3">
        <v>555509</v>
      </c>
      <c r="B3" t="s">
        <v>12</v>
      </c>
      <c r="C3" t="s">
        <v>13</v>
      </c>
      <c r="D3">
        <v>6</v>
      </c>
      <c r="E3" t="s">
        <v>14</v>
      </c>
      <c r="F3" t="s">
        <v>15</v>
      </c>
      <c r="G3" t="s">
        <v>16</v>
      </c>
      <c r="H3">
        <v>42241.622916666667</v>
      </c>
    </row>
    <row r="4" spans="1:8" x14ac:dyDescent="0.15">
      <c r="A4">
        <v>746627</v>
      </c>
      <c r="B4" t="s">
        <v>12</v>
      </c>
      <c r="C4" t="s">
        <v>17</v>
      </c>
      <c r="D4">
        <v>1</v>
      </c>
      <c r="E4" t="s">
        <v>18</v>
      </c>
      <c r="F4" t="s">
        <v>19</v>
      </c>
      <c r="G4" t="s">
        <v>20</v>
      </c>
      <c r="H4">
        <v>42251.620833333334</v>
      </c>
    </row>
    <row r="5" spans="1:8" x14ac:dyDescent="0.15">
      <c r="A5">
        <v>1058379</v>
      </c>
      <c r="B5" t="s">
        <v>12</v>
      </c>
      <c r="C5" t="s">
        <v>17</v>
      </c>
      <c r="D5">
        <v>1</v>
      </c>
      <c r="E5" t="s">
        <v>21</v>
      </c>
      <c r="F5" t="s">
        <v>22</v>
      </c>
      <c r="G5" t="s">
        <v>23</v>
      </c>
      <c r="H5">
        <v>42278.587696759256</v>
      </c>
    </row>
    <row r="6" spans="1:8" x14ac:dyDescent="0.15">
      <c r="A6">
        <v>1394983</v>
      </c>
      <c r="B6" t="s">
        <v>12</v>
      </c>
      <c r="C6" t="s">
        <v>17</v>
      </c>
      <c r="D6">
        <v>1</v>
      </c>
      <c r="E6" t="s">
        <v>24</v>
      </c>
      <c r="F6" t="s">
        <v>25</v>
      </c>
      <c r="G6" t="s">
        <v>20</v>
      </c>
      <c r="H6">
        <v>42306.527418981481</v>
      </c>
    </row>
    <row r="7" spans="1:8" x14ac:dyDescent="0.15">
      <c r="A7">
        <v>1390660</v>
      </c>
      <c r="B7" t="s">
        <v>12</v>
      </c>
      <c r="C7" t="s">
        <v>17</v>
      </c>
      <c r="E7" t="s">
        <v>26</v>
      </c>
      <c r="F7" t="s">
        <v>27</v>
      </c>
      <c r="G7" t="s">
        <v>28</v>
      </c>
      <c r="H7">
        <v>42306.516817129632</v>
      </c>
    </row>
    <row r="8" spans="1:8" x14ac:dyDescent="0.15">
      <c r="A8">
        <v>1411921</v>
      </c>
      <c r="B8" t="s">
        <v>12</v>
      </c>
      <c r="C8" t="s">
        <v>29</v>
      </c>
      <c r="E8" t="s">
        <v>30</v>
      </c>
      <c r="F8" t="s">
        <v>31</v>
      </c>
      <c r="G8" t="s">
        <v>9</v>
      </c>
      <c r="H8">
        <v>42306.568449074075</v>
      </c>
    </row>
    <row r="9" spans="1:8" x14ac:dyDescent="0.15">
      <c r="A9">
        <v>1453653</v>
      </c>
      <c r="B9" t="s">
        <v>8</v>
      </c>
      <c r="C9" t="s">
        <v>29</v>
      </c>
      <c r="E9" t="s">
        <v>32</v>
      </c>
      <c r="F9" t="s">
        <v>33</v>
      </c>
      <c r="G9" t="s">
        <v>9</v>
      </c>
      <c r="H9">
        <v>42306.668819444443</v>
      </c>
    </row>
    <row r="10" spans="1:8" x14ac:dyDescent="0.15">
      <c r="A10">
        <v>1959661</v>
      </c>
      <c r="B10" t="s">
        <v>12</v>
      </c>
      <c r="C10" t="s">
        <v>17</v>
      </c>
      <c r="D10">
        <v>10</v>
      </c>
      <c r="E10" t="s">
        <v>34</v>
      </c>
      <c r="F10" t="s">
        <v>35</v>
      </c>
      <c r="G10" t="s">
        <v>20</v>
      </c>
      <c r="H10">
        <v>42360.749305555553</v>
      </c>
    </row>
    <row r="11" spans="1:8" x14ac:dyDescent="0.15">
      <c r="A11">
        <v>1744792</v>
      </c>
      <c r="B11" t="s">
        <v>12</v>
      </c>
      <c r="C11" t="s">
        <v>9</v>
      </c>
      <c r="D11" t="s">
        <v>36</v>
      </c>
      <c r="E11" t="s">
        <v>37</v>
      </c>
      <c r="F11" t="s">
        <v>38</v>
      </c>
      <c r="G11" t="s">
        <v>9</v>
      </c>
      <c r="H11">
        <v>42338.868055555555</v>
      </c>
    </row>
    <row r="12" spans="1:8" x14ac:dyDescent="0.15">
      <c r="A12">
        <v>2255195</v>
      </c>
      <c r="B12" t="s">
        <v>12</v>
      </c>
      <c r="C12" t="s">
        <v>29</v>
      </c>
      <c r="D12">
        <v>13</v>
      </c>
      <c r="E12" t="s">
        <v>39</v>
      </c>
      <c r="F12" t="s">
        <v>40</v>
      </c>
      <c r="G12" t="s">
        <v>9</v>
      </c>
      <c r="H12">
        <v>42374.713368055556</v>
      </c>
    </row>
    <row r="13" spans="1:8" x14ac:dyDescent="0.15">
      <c r="A13">
        <v>2263267</v>
      </c>
      <c r="B13" t="s">
        <v>12</v>
      </c>
      <c r="C13" t="s">
        <v>13</v>
      </c>
      <c r="D13">
        <v>1</v>
      </c>
      <c r="E13" t="s">
        <v>41</v>
      </c>
      <c r="F13" t="s">
        <v>42</v>
      </c>
      <c r="G13" t="s">
        <v>43</v>
      </c>
      <c r="H13">
        <v>42374.803773148145</v>
      </c>
    </row>
    <row r="14" spans="1:8" x14ac:dyDescent="0.15">
      <c r="A14">
        <v>2416097</v>
      </c>
      <c r="B14" t="s">
        <v>12</v>
      </c>
      <c r="C14" t="s">
        <v>17</v>
      </c>
      <c r="D14">
        <v>23</v>
      </c>
      <c r="E14" t="s">
        <v>44</v>
      </c>
      <c r="F14" t="s">
        <v>45</v>
      </c>
      <c r="G14" t="s">
        <v>20</v>
      </c>
      <c r="H14">
        <v>42374.733229166668</v>
      </c>
    </row>
    <row r="15" spans="1:8" x14ac:dyDescent="0.15">
      <c r="A15">
        <v>2419844</v>
      </c>
      <c r="B15" t="s">
        <v>12</v>
      </c>
      <c r="C15" t="s">
        <v>29</v>
      </c>
      <c r="D15">
        <v>7</v>
      </c>
      <c r="E15" t="s">
        <v>46</v>
      </c>
      <c r="F15" t="s">
        <v>47</v>
      </c>
      <c r="G15" t="s">
        <v>9</v>
      </c>
      <c r="H15">
        <v>42374.745648148149</v>
      </c>
    </row>
    <row r="16" spans="1:8" x14ac:dyDescent="0.15">
      <c r="A16">
        <v>2418901</v>
      </c>
      <c r="B16" t="s">
        <v>12</v>
      </c>
      <c r="C16" t="s">
        <v>17</v>
      </c>
      <c r="D16">
        <v>20</v>
      </c>
      <c r="E16" t="s">
        <v>48</v>
      </c>
      <c r="F16" t="s">
        <v>49</v>
      </c>
      <c r="G16" t="s">
        <v>20</v>
      </c>
      <c r="H16">
        <v>42374.7425</v>
      </c>
    </row>
    <row r="17" spans="1:8" x14ac:dyDescent="0.15">
      <c r="A17">
        <v>2417925</v>
      </c>
      <c r="B17" t="s">
        <v>12</v>
      </c>
      <c r="C17" t="s">
        <v>29</v>
      </c>
      <c r="D17">
        <v>21</v>
      </c>
      <c r="E17" t="s">
        <v>50</v>
      </c>
      <c r="F17" t="s">
        <v>51</v>
      </c>
      <c r="G17" t="s">
        <v>9</v>
      </c>
      <c r="H17">
        <v>42374.739212962966</v>
      </c>
    </row>
    <row r="18" spans="1:8" x14ac:dyDescent="0.15">
      <c r="A18">
        <v>2508137</v>
      </c>
      <c r="B18" t="s">
        <v>52</v>
      </c>
      <c r="C18" t="s">
        <v>9</v>
      </c>
      <c r="D18">
        <v>6</v>
      </c>
      <c r="E18" t="s">
        <v>53</v>
      </c>
      <c r="F18" t="s">
        <v>54</v>
      </c>
      <c r="G18" t="s">
        <v>9</v>
      </c>
      <c r="H18">
        <v>42374.802997685183</v>
      </c>
    </row>
    <row r="19" spans="1:8" x14ac:dyDescent="0.15">
      <c r="A19">
        <v>2551937</v>
      </c>
      <c r="B19" t="s">
        <v>8</v>
      </c>
      <c r="C19" t="s">
        <v>29</v>
      </c>
      <c r="D19">
        <v>15</v>
      </c>
      <c r="E19" t="s">
        <v>55</v>
      </c>
      <c r="F19" t="s">
        <v>56</v>
      </c>
      <c r="G19" t="s">
        <v>9</v>
      </c>
      <c r="H19">
        <v>42412.656504629631</v>
      </c>
    </row>
    <row r="20" spans="1:8" x14ac:dyDescent="0.15">
      <c r="A20">
        <v>2605467</v>
      </c>
      <c r="B20" t="s">
        <v>12</v>
      </c>
      <c r="C20" t="s">
        <v>17</v>
      </c>
      <c r="D20">
        <v>4</v>
      </c>
      <c r="E20" t="s">
        <v>57</v>
      </c>
      <c r="F20" t="s">
        <v>58</v>
      </c>
      <c r="G20" t="s">
        <v>59</v>
      </c>
      <c r="H20">
        <v>42374.758483796293</v>
      </c>
    </row>
    <row r="21" spans="1:8" x14ac:dyDescent="0.15">
      <c r="A21">
        <v>2639139</v>
      </c>
      <c r="B21" t="s">
        <v>12</v>
      </c>
      <c r="C21" t="s">
        <v>17</v>
      </c>
      <c r="D21">
        <v>23</v>
      </c>
      <c r="E21" t="s">
        <v>60</v>
      </c>
      <c r="F21" t="s">
        <v>61</v>
      </c>
      <c r="G21" t="s">
        <v>20</v>
      </c>
      <c r="H21">
        <v>42412.709918981483</v>
      </c>
    </row>
    <row r="22" spans="1:8" x14ac:dyDescent="0.15">
      <c r="A22">
        <v>2909204</v>
      </c>
      <c r="B22" t="s">
        <v>12</v>
      </c>
      <c r="C22" t="s">
        <v>62</v>
      </c>
      <c r="D22">
        <v>14</v>
      </c>
      <c r="E22" t="s">
        <v>63</v>
      </c>
      <c r="F22" t="s">
        <v>64</v>
      </c>
      <c r="G22" t="s">
        <v>20</v>
      </c>
      <c r="H22">
        <v>42412.68577546296</v>
      </c>
    </row>
    <row r="23" spans="1:8" x14ac:dyDescent="0.15">
      <c r="A23">
        <v>2909180</v>
      </c>
      <c r="B23" t="s">
        <v>52</v>
      </c>
      <c r="C23" t="s">
        <v>9</v>
      </c>
      <c r="D23">
        <v>11</v>
      </c>
      <c r="E23" t="s">
        <v>65</v>
      </c>
      <c r="F23" t="s">
        <v>66</v>
      </c>
      <c r="G23" t="s">
        <v>9</v>
      </c>
      <c r="H23">
        <v>42374.836643518516</v>
      </c>
    </row>
    <row r="24" spans="1:8" x14ac:dyDescent="0.15">
      <c r="A24">
        <v>2911733</v>
      </c>
      <c r="B24" t="s">
        <v>12</v>
      </c>
      <c r="C24" t="s">
        <v>17</v>
      </c>
      <c r="D24">
        <v>19</v>
      </c>
      <c r="E24" t="s">
        <v>67</v>
      </c>
      <c r="F24" t="s">
        <v>68</v>
      </c>
      <c r="G24" t="s">
        <v>43</v>
      </c>
      <c r="H24">
        <v>42444.653993055559</v>
      </c>
    </row>
    <row r="25" spans="1:8" x14ac:dyDescent="0.15">
      <c r="A25">
        <v>2916983</v>
      </c>
      <c r="B25" t="s">
        <v>12</v>
      </c>
      <c r="C25" t="s">
        <v>17</v>
      </c>
      <c r="D25">
        <v>9</v>
      </c>
      <c r="E25" t="s">
        <v>69</v>
      </c>
      <c r="F25" t="s">
        <v>70</v>
      </c>
      <c r="G25" t="s">
        <v>71</v>
      </c>
      <c r="H25">
        <v>42444.666585648149</v>
      </c>
    </row>
    <row r="26" spans="1:8" x14ac:dyDescent="0.15">
      <c r="A26">
        <v>3009624</v>
      </c>
      <c r="B26" t="s">
        <v>12</v>
      </c>
      <c r="C26" t="s">
        <v>9</v>
      </c>
      <c r="D26">
        <v>9</v>
      </c>
      <c r="E26" t="s">
        <v>72</v>
      </c>
      <c r="F26" t="s">
        <v>73</v>
      </c>
      <c r="G26" t="s">
        <v>9</v>
      </c>
      <c r="H26">
        <v>42463.736805555556</v>
      </c>
    </row>
    <row r="27" spans="1:8" x14ac:dyDescent="0.15">
      <c r="A27">
        <v>3352205</v>
      </c>
      <c r="B27" t="s">
        <v>12</v>
      </c>
      <c r="C27" t="s">
        <v>17</v>
      </c>
      <c r="D27">
        <v>8</v>
      </c>
      <c r="E27" t="s">
        <v>74</v>
      </c>
      <c r="F27" t="s">
        <v>75</v>
      </c>
      <c r="G27" t="s">
        <v>23</v>
      </c>
      <c r="H27">
        <v>42501.743379629632</v>
      </c>
    </row>
    <row r="28" spans="1:8" x14ac:dyDescent="0.15">
      <c r="A28">
        <v>3359946</v>
      </c>
      <c r="B28" t="s">
        <v>12</v>
      </c>
      <c r="C28" t="s">
        <v>17</v>
      </c>
      <c r="D28">
        <v>14</v>
      </c>
      <c r="E28" t="s">
        <v>76</v>
      </c>
      <c r="F28" t="s">
        <v>77</v>
      </c>
      <c r="G28" t="s">
        <v>23</v>
      </c>
      <c r="H28">
        <v>42501.87226851852</v>
      </c>
    </row>
    <row r="29" spans="1:8" x14ac:dyDescent="0.15">
      <c r="A29">
        <v>3648707</v>
      </c>
      <c r="B29" t="s">
        <v>12</v>
      </c>
      <c r="C29" t="s">
        <v>17</v>
      </c>
      <c r="D29">
        <v>7</v>
      </c>
      <c r="E29" t="s">
        <v>78</v>
      </c>
      <c r="F29" t="s">
        <v>79</v>
      </c>
      <c r="G29" t="s">
        <v>20</v>
      </c>
      <c r="H29">
        <v>42501.804363425923</v>
      </c>
    </row>
    <row r="30" spans="1:8" x14ac:dyDescent="0.15">
      <c r="A30">
        <v>3731604</v>
      </c>
      <c r="B30" t="s">
        <v>12</v>
      </c>
      <c r="C30" t="s">
        <v>17</v>
      </c>
      <c r="D30">
        <v>9</v>
      </c>
      <c r="E30" t="s">
        <v>80</v>
      </c>
      <c r="F30" t="s">
        <v>81</v>
      </c>
      <c r="G30" t="s">
        <v>71</v>
      </c>
      <c r="H30">
        <v>42542.632106481484</v>
      </c>
    </row>
    <row r="31" spans="1:8" x14ac:dyDescent="0.15">
      <c r="A31">
        <v>3727280</v>
      </c>
      <c r="B31" t="s">
        <v>12</v>
      </c>
      <c r="C31" t="s">
        <v>17</v>
      </c>
      <c r="D31">
        <v>21</v>
      </c>
      <c r="E31" t="s">
        <v>82</v>
      </c>
      <c r="F31" t="s">
        <v>83</v>
      </c>
      <c r="G31" t="s">
        <v>59</v>
      </c>
      <c r="H31">
        <v>42542.608784722222</v>
      </c>
    </row>
    <row r="32" spans="1:8" x14ac:dyDescent="0.15">
      <c r="A32">
        <v>3741425</v>
      </c>
      <c r="B32" t="s">
        <v>12</v>
      </c>
      <c r="C32" t="s">
        <v>17</v>
      </c>
      <c r="D32">
        <v>19</v>
      </c>
      <c r="E32" t="s">
        <v>84</v>
      </c>
      <c r="F32" t="s">
        <v>85</v>
      </c>
      <c r="G32" t="s">
        <v>20</v>
      </c>
      <c r="H32">
        <v>42542.648865740739</v>
      </c>
    </row>
    <row r="33" spans="1:8" x14ac:dyDescent="0.15">
      <c r="A33">
        <v>3749038</v>
      </c>
      <c r="B33" t="s">
        <v>12</v>
      </c>
      <c r="C33" t="s">
        <v>17</v>
      </c>
      <c r="D33">
        <v>3</v>
      </c>
      <c r="E33" t="s">
        <v>86</v>
      </c>
      <c r="F33" t="s">
        <v>87</v>
      </c>
      <c r="G33" t="s">
        <v>59</v>
      </c>
      <c r="H33">
        <v>42542.615717592591</v>
      </c>
    </row>
    <row r="34" spans="1:8" x14ac:dyDescent="0.15">
      <c r="A34">
        <v>3761737</v>
      </c>
      <c r="B34" t="s">
        <v>12</v>
      </c>
      <c r="C34" t="s">
        <v>17</v>
      </c>
      <c r="D34">
        <v>11</v>
      </c>
      <c r="E34" t="s">
        <v>88</v>
      </c>
      <c r="F34" t="s">
        <v>89</v>
      </c>
      <c r="G34" t="s">
        <v>59</v>
      </c>
      <c r="H34">
        <v>42542.618946759256</v>
      </c>
    </row>
    <row r="35" spans="1:8" x14ac:dyDescent="0.15">
      <c r="A35">
        <v>3767759</v>
      </c>
      <c r="B35" t="s">
        <v>12</v>
      </c>
      <c r="C35" t="s">
        <v>13</v>
      </c>
      <c r="D35">
        <v>20</v>
      </c>
      <c r="E35" t="s">
        <v>90</v>
      </c>
      <c r="F35" t="s">
        <v>91</v>
      </c>
      <c r="G35" t="s">
        <v>92</v>
      </c>
      <c r="H35">
        <v>42542.66542824074</v>
      </c>
    </row>
    <row r="36" spans="1:8" x14ac:dyDescent="0.15">
      <c r="A36">
        <v>3998871</v>
      </c>
      <c r="B36" t="s">
        <v>12</v>
      </c>
      <c r="C36" t="s">
        <v>17</v>
      </c>
      <c r="D36">
        <v>14</v>
      </c>
      <c r="E36" t="s">
        <v>93</v>
      </c>
      <c r="F36" t="s">
        <v>94</v>
      </c>
      <c r="G36" t="s">
        <v>23</v>
      </c>
      <c r="H36">
        <v>42551.408032407409</v>
      </c>
    </row>
    <row r="37" spans="1:8" x14ac:dyDescent="0.15">
      <c r="A37">
        <v>4005560</v>
      </c>
      <c r="B37" t="s">
        <v>12</v>
      </c>
      <c r="C37" t="s">
        <v>17</v>
      </c>
      <c r="D37">
        <v>8</v>
      </c>
      <c r="E37" t="s">
        <v>95</v>
      </c>
      <c r="F37" t="s">
        <v>96</v>
      </c>
      <c r="G37" t="s">
        <v>97</v>
      </c>
      <c r="H37">
        <v>42551.419189814813</v>
      </c>
    </row>
    <row r="38" spans="1:8" x14ac:dyDescent="0.15">
      <c r="A38">
        <v>4002704</v>
      </c>
      <c r="B38" t="s">
        <v>12</v>
      </c>
      <c r="C38" t="s">
        <v>17</v>
      </c>
      <c r="D38">
        <v>7</v>
      </c>
      <c r="E38" t="s">
        <v>98</v>
      </c>
      <c r="F38" t="s">
        <v>99</v>
      </c>
      <c r="G38" t="s">
        <v>16</v>
      </c>
      <c r="H38">
        <v>42578.540219907409</v>
      </c>
    </row>
    <row r="39" spans="1:8" x14ac:dyDescent="0.15">
      <c r="A39">
        <v>4000132</v>
      </c>
      <c r="B39" t="s">
        <v>12</v>
      </c>
      <c r="C39" t="s">
        <v>17</v>
      </c>
      <c r="D39">
        <v>1</v>
      </c>
      <c r="E39" t="s">
        <v>100</v>
      </c>
      <c r="F39" t="s">
        <v>101</v>
      </c>
      <c r="G39" t="s">
        <v>59</v>
      </c>
      <c r="H39">
        <v>42551.427673611113</v>
      </c>
    </row>
    <row r="40" spans="1:8" x14ac:dyDescent="0.15">
      <c r="A40">
        <v>4018019</v>
      </c>
      <c r="B40" t="s">
        <v>12</v>
      </c>
      <c r="C40" t="s">
        <v>17</v>
      </c>
      <c r="D40">
        <v>1</v>
      </c>
      <c r="E40" t="s">
        <v>102</v>
      </c>
      <c r="F40" t="s">
        <v>103</v>
      </c>
      <c r="G40" t="s">
        <v>20</v>
      </c>
      <c r="H40">
        <v>42578.545856481483</v>
      </c>
    </row>
    <row r="41" spans="1:8" x14ac:dyDescent="0.15">
      <c r="A41">
        <v>4020848</v>
      </c>
      <c r="B41" t="s">
        <v>12</v>
      </c>
      <c r="C41" t="s">
        <v>17</v>
      </c>
      <c r="D41">
        <v>11</v>
      </c>
      <c r="E41" t="s">
        <v>104</v>
      </c>
      <c r="F41" t="s">
        <v>105</v>
      </c>
      <c r="G41" t="s">
        <v>106</v>
      </c>
      <c r="H41">
        <v>42551.413703703707</v>
      </c>
    </row>
    <row r="42" spans="1:8" x14ac:dyDescent="0.15">
      <c r="A42">
        <v>4141883</v>
      </c>
      <c r="B42" t="s">
        <v>12</v>
      </c>
      <c r="C42" t="s">
        <v>17</v>
      </c>
      <c r="D42">
        <v>23</v>
      </c>
      <c r="E42" t="s">
        <v>107</v>
      </c>
      <c r="F42" t="s">
        <v>108</v>
      </c>
      <c r="G42" t="s">
        <v>16</v>
      </c>
      <c r="H42">
        <v>42578.617766203701</v>
      </c>
    </row>
    <row r="43" spans="1:8" x14ac:dyDescent="0.15">
      <c r="A43">
        <v>4140502</v>
      </c>
      <c r="B43" t="s">
        <v>12</v>
      </c>
      <c r="C43" t="s">
        <v>17</v>
      </c>
      <c r="D43">
        <v>17</v>
      </c>
      <c r="E43" t="s">
        <v>109</v>
      </c>
      <c r="F43" t="s">
        <v>110</v>
      </c>
      <c r="G43" t="s">
        <v>111</v>
      </c>
      <c r="H43">
        <v>42578.649247685185</v>
      </c>
    </row>
    <row r="44" spans="1:8" x14ac:dyDescent="0.15">
      <c r="A44">
        <v>4145558</v>
      </c>
      <c r="B44" t="s">
        <v>12</v>
      </c>
      <c r="C44" t="s">
        <v>62</v>
      </c>
      <c r="D44">
        <v>22</v>
      </c>
      <c r="E44" t="s">
        <v>112</v>
      </c>
      <c r="F44" t="s">
        <v>113</v>
      </c>
      <c r="G44" t="s">
        <v>20</v>
      </c>
      <c r="H44">
        <v>42578.629953703705</v>
      </c>
    </row>
    <row r="45" spans="1:8" x14ac:dyDescent="0.15">
      <c r="A45">
        <v>4145530</v>
      </c>
      <c r="B45" t="s">
        <v>12</v>
      </c>
      <c r="C45" t="s">
        <v>17</v>
      </c>
      <c r="D45">
        <v>6</v>
      </c>
      <c r="E45" t="s">
        <v>114</v>
      </c>
      <c r="F45" t="s">
        <v>115</v>
      </c>
      <c r="G45" t="s">
        <v>116</v>
      </c>
      <c r="H45">
        <v>42578.632777777777</v>
      </c>
    </row>
    <row r="46" spans="1:8" x14ac:dyDescent="0.15">
      <c r="A46">
        <v>4144897</v>
      </c>
      <c r="B46" t="s">
        <v>12</v>
      </c>
      <c r="C46" t="s">
        <v>17</v>
      </c>
      <c r="D46">
        <v>11</v>
      </c>
      <c r="E46" t="s">
        <v>117</v>
      </c>
      <c r="F46" t="s">
        <v>118</v>
      </c>
      <c r="G46" t="s">
        <v>20</v>
      </c>
      <c r="H46">
        <v>42592.50439814815</v>
      </c>
    </row>
    <row r="47" spans="1:8" x14ac:dyDescent="0.15">
      <c r="A47">
        <v>4153692</v>
      </c>
      <c r="B47" t="s">
        <v>12</v>
      </c>
      <c r="C47" t="s">
        <v>17</v>
      </c>
      <c r="D47">
        <v>10</v>
      </c>
      <c r="E47" t="s">
        <v>119</v>
      </c>
      <c r="F47" t="s">
        <v>120</v>
      </c>
      <c r="G47" t="s">
        <v>20</v>
      </c>
      <c r="H47">
        <v>42578.621562499997</v>
      </c>
    </row>
    <row r="48" spans="1:8" x14ac:dyDescent="0.15">
      <c r="A48">
        <v>4623081</v>
      </c>
      <c r="B48" t="s">
        <v>12</v>
      </c>
      <c r="C48" t="s">
        <v>17</v>
      </c>
      <c r="D48">
        <v>20</v>
      </c>
      <c r="E48" t="s">
        <v>121</v>
      </c>
      <c r="F48" t="s">
        <v>122</v>
      </c>
      <c r="G48" t="s">
        <v>20</v>
      </c>
      <c r="H48">
        <v>42676.708240740743</v>
      </c>
    </row>
    <row r="49" spans="1:8" x14ac:dyDescent="0.15">
      <c r="A49">
        <v>4639434</v>
      </c>
      <c r="B49" t="s">
        <v>12</v>
      </c>
      <c r="C49" t="s">
        <v>17</v>
      </c>
      <c r="D49">
        <v>5</v>
      </c>
      <c r="E49" t="s">
        <v>123</v>
      </c>
      <c r="F49" t="s">
        <v>124</v>
      </c>
      <c r="G49" t="s">
        <v>59</v>
      </c>
      <c r="H49">
        <v>42676.708240740743</v>
      </c>
    </row>
    <row r="50" spans="1:8" x14ac:dyDescent="0.15">
      <c r="A50">
        <v>4647242</v>
      </c>
      <c r="B50" t="s">
        <v>12</v>
      </c>
      <c r="C50" t="s">
        <v>17</v>
      </c>
      <c r="D50">
        <v>15</v>
      </c>
      <c r="E50" t="s">
        <v>125</v>
      </c>
      <c r="F50" t="s">
        <v>126</v>
      </c>
      <c r="G50" t="s">
        <v>20</v>
      </c>
      <c r="H50">
        <v>42676.708240740743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5AD9-1DF0-4940-8654-9F3C44B80CE7}">
  <dimension ref="B2:B7"/>
  <sheetViews>
    <sheetView workbookViewId="0">
      <selection activeCell="E3" sqref="E3"/>
    </sheetView>
  </sheetViews>
  <sheetFormatPr baseColWidth="10" defaultColWidth="8.83203125" defaultRowHeight="14" x14ac:dyDescent="0.15"/>
  <cols>
    <col min="2" max="2" width="20.6640625" bestFit="1" customWidth="1"/>
  </cols>
  <sheetData>
    <row r="2" spans="2:2" ht="18" x14ac:dyDescent="0.2">
      <c r="B2" s="1" t="s">
        <v>127</v>
      </c>
    </row>
    <row r="3" spans="2:2" ht="18" x14ac:dyDescent="0.2">
      <c r="B3" s="2" t="s">
        <v>128</v>
      </c>
    </row>
    <row r="4" spans="2:2" ht="18" x14ac:dyDescent="0.2">
      <c r="B4" s="2" t="s">
        <v>129</v>
      </c>
    </row>
    <row r="5" spans="2:2" ht="18" x14ac:dyDescent="0.2">
      <c r="B5" s="2" t="s">
        <v>130</v>
      </c>
    </row>
    <row r="6" spans="2:2" ht="18" x14ac:dyDescent="0.2">
      <c r="B6" s="2" t="s">
        <v>131</v>
      </c>
    </row>
    <row r="7" spans="2:2" ht="18" x14ac:dyDescent="0.2">
      <c r="B7" s="2" t="s">
        <v>132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6C51B-D588-4C4C-98B8-D8FB0972EB2A}">
  <dimension ref="A1:M56"/>
  <sheetViews>
    <sheetView tabSelected="1" topLeftCell="G20" workbookViewId="0">
      <selection activeCell="O8" sqref="O8"/>
    </sheetView>
  </sheetViews>
  <sheetFormatPr baseColWidth="10" defaultColWidth="8.83203125" defaultRowHeight="14" x14ac:dyDescent="0.15"/>
  <cols>
    <col min="1" max="1" width="12" customWidth="1"/>
    <col min="2" max="2" width="13.33203125" customWidth="1"/>
    <col min="3" max="3" width="14.1640625" customWidth="1"/>
    <col min="4" max="4" width="19" customWidth="1"/>
    <col min="5" max="5" width="28.1640625" bestFit="1" customWidth="1"/>
    <col min="6" max="6" width="31.5" bestFit="1" customWidth="1"/>
    <col min="7" max="7" width="22.33203125" bestFit="1" customWidth="1"/>
    <col min="8" max="8" width="29.5" style="3" bestFit="1" customWidth="1"/>
    <col min="9" max="9" width="17.6640625" bestFit="1" customWidth="1"/>
    <col min="10" max="10" width="16.1640625" style="3" bestFit="1" customWidth="1"/>
    <col min="11" max="11" width="15.1640625" bestFit="1" customWidth="1"/>
    <col min="12" max="12" width="13.5" bestFit="1" customWidth="1"/>
    <col min="13" max="13" width="10.83203125" style="3" bestFit="1" customWidth="1"/>
  </cols>
  <sheetData>
    <row r="1" spans="1:13" x14ac:dyDescent="0.15">
      <c r="A1" t="s">
        <v>0</v>
      </c>
      <c r="B1" t="s">
        <v>1</v>
      </c>
      <c r="C1" t="s">
        <v>2</v>
      </c>
      <c r="D1" t="s">
        <v>3</v>
      </c>
      <c r="E1" t="s">
        <v>4</v>
      </c>
      <c r="F1" t="s">
        <v>5</v>
      </c>
      <c r="G1" t="s">
        <v>6</v>
      </c>
      <c r="H1" s="3" t="s">
        <v>7</v>
      </c>
      <c r="I1" t="s">
        <v>146</v>
      </c>
      <c r="J1" s="3" t="s">
        <v>147</v>
      </c>
      <c r="K1" t="s">
        <v>148</v>
      </c>
      <c r="L1" t="s">
        <v>149</v>
      </c>
      <c r="M1" s="3" t="s">
        <v>150</v>
      </c>
    </row>
    <row r="2" spans="1:13" x14ac:dyDescent="0.15">
      <c r="A2">
        <v>230120</v>
      </c>
      <c r="B2" t="s">
        <v>8</v>
      </c>
      <c r="C2" t="s">
        <v>9</v>
      </c>
      <c r="D2">
        <v>5</v>
      </c>
      <c r="E2" t="s">
        <v>10</v>
      </c>
      <c r="F2" t="s">
        <v>11</v>
      </c>
      <c r="G2" t="s">
        <v>9</v>
      </c>
      <c r="H2" s="3">
        <v>42251.620833333334</v>
      </c>
      <c r="I2">
        <f ca="1">NETWORKDAYS(Table1[[#This Row],[CreatedDate]],TODAY())</f>
        <v>2902</v>
      </c>
      <c r="J2" s="3">
        <f>EDATE(Table1[[#This Row],[CreatedDate]],6)</f>
        <v>42433</v>
      </c>
      <c r="K2">
        <f t="shared" ref="K2:K33" ca="1" si="0">DATEDIF(H2,TODAY(),"Y")</f>
        <v>11</v>
      </c>
      <c r="L2" t="str">
        <f>TEXT(WEEKDAY(Table1[[#This Row],[CreatedDate]]),"dddd")</f>
        <v>Friday</v>
      </c>
      <c r="M2" s="3">
        <f>WORKDAY(Table1[[#This Row],[CreatedDate]],5)</f>
        <v>42258</v>
      </c>
    </row>
    <row r="3" spans="1:13" x14ac:dyDescent="0.15">
      <c r="A3">
        <v>230120</v>
      </c>
      <c r="B3" t="s">
        <v>8</v>
      </c>
      <c r="C3" t="s">
        <v>9</v>
      </c>
      <c r="D3">
        <v>5</v>
      </c>
      <c r="E3" t="s">
        <v>10</v>
      </c>
      <c r="F3" t="s">
        <v>11</v>
      </c>
      <c r="G3" t="s">
        <v>9</v>
      </c>
      <c r="H3" s="3">
        <v>42251.620833333334</v>
      </c>
      <c r="I3">
        <f ca="1">NETWORKDAYS(Table1[[#This Row],[CreatedDate]],TODAY())</f>
        <v>2902</v>
      </c>
      <c r="J3" s="3">
        <f>EDATE(Table1[[#This Row],[CreatedDate]],6)</f>
        <v>42433</v>
      </c>
      <c r="K3">
        <f t="shared" ca="1" si="0"/>
        <v>11</v>
      </c>
      <c r="L3" t="str">
        <f>TEXT(WEEKDAY(Table1[[#This Row],[CreatedDate]]),"dddd")</f>
        <v>Friday</v>
      </c>
      <c r="M3" s="3">
        <f>WORKDAY(Table1[[#This Row],[CreatedDate]],5)</f>
        <v>42258</v>
      </c>
    </row>
    <row r="4" spans="1:13" x14ac:dyDescent="0.15">
      <c r="A4">
        <v>555509</v>
      </c>
      <c r="B4" t="s">
        <v>12</v>
      </c>
      <c r="C4" t="s">
        <v>13</v>
      </c>
      <c r="D4">
        <v>6</v>
      </c>
      <c r="E4" t="s">
        <v>14</v>
      </c>
      <c r="F4" t="s">
        <v>15</v>
      </c>
      <c r="G4" t="s">
        <v>134</v>
      </c>
      <c r="H4" s="3">
        <v>42241.622916666667</v>
      </c>
      <c r="I4">
        <f ca="1">NETWORKDAYS(Table1[[#This Row],[CreatedDate]],TODAY())</f>
        <v>2910</v>
      </c>
      <c r="J4" s="3">
        <f>EDATE(Table1[[#This Row],[CreatedDate]],6)</f>
        <v>42425</v>
      </c>
      <c r="K4">
        <f t="shared" ca="1" si="0"/>
        <v>11</v>
      </c>
      <c r="L4" t="str">
        <f>TEXT(WEEKDAY(Table1[[#This Row],[CreatedDate]]),"dddd")</f>
        <v>Tuesday</v>
      </c>
      <c r="M4" s="3">
        <f>WORKDAY(Table1[[#This Row],[CreatedDate]],5)</f>
        <v>42248</v>
      </c>
    </row>
    <row r="5" spans="1:13" x14ac:dyDescent="0.15">
      <c r="A5">
        <v>746627</v>
      </c>
      <c r="B5" t="s">
        <v>12</v>
      </c>
      <c r="C5" t="s">
        <v>17</v>
      </c>
      <c r="D5">
        <v>1</v>
      </c>
      <c r="E5" t="s">
        <v>18</v>
      </c>
      <c r="F5" t="s">
        <v>19</v>
      </c>
      <c r="G5" t="s">
        <v>135</v>
      </c>
      <c r="H5" s="3">
        <v>42251.620833333334</v>
      </c>
      <c r="I5">
        <f ca="1">NETWORKDAYS(Table1[[#This Row],[CreatedDate]],TODAY())</f>
        <v>2902</v>
      </c>
      <c r="J5" s="3">
        <f>EDATE(Table1[[#This Row],[CreatedDate]],6)</f>
        <v>42433</v>
      </c>
      <c r="K5">
        <f t="shared" ca="1" si="0"/>
        <v>11</v>
      </c>
      <c r="L5" t="str">
        <f>TEXT(WEEKDAY(Table1[[#This Row],[CreatedDate]]),"dddd")</f>
        <v>Friday</v>
      </c>
      <c r="M5" s="3">
        <f>WORKDAY(Table1[[#This Row],[CreatedDate]],5)</f>
        <v>42258</v>
      </c>
    </row>
    <row r="6" spans="1:13" x14ac:dyDescent="0.15">
      <c r="A6">
        <v>1058379</v>
      </c>
      <c r="B6" t="s">
        <v>12</v>
      </c>
      <c r="C6" t="s">
        <v>17</v>
      </c>
      <c r="D6">
        <v>1</v>
      </c>
      <c r="E6" t="s">
        <v>21</v>
      </c>
      <c r="F6" t="s">
        <v>22</v>
      </c>
      <c r="G6" t="s">
        <v>136</v>
      </c>
      <c r="H6" s="3">
        <v>42278.587696759256</v>
      </c>
      <c r="I6">
        <f ca="1">NETWORKDAYS(Table1[[#This Row],[CreatedDate]],TODAY())</f>
        <v>2883</v>
      </c>
      <c r="J6" s="3">
        <f>EDATE(Table1[[#This Row],[CreatedDate]],6)</f>
        <v>42461</v>
      </c>
      <c r="K6">
        <f t="shared" ca="1" si="0"/>
        <v>11</v>
      </c>
      <c r="L6" t="str">
        <f>TEXT(WEEKDAY(Table1[[#This Row],[CreatedDate]]),"dddd")</f>
        <v>Thursday</v>
      </c>
      <c r="M6" s="3">
        <f>WORKDAY(Table1[[#This Row],[CreatedDate]],5)</f>
        <v>42285</v>
      </c>
    </row>
    <row r="7" spans="1:13" x14ac:dyDescent="0.15">
      <c r="A7">
        <v>1394983</v>
      </c>
      <c r="B7" t="s">
        <v>12</v>
      </c>
      <c r="C7" t="s">
        <v>17</v>
      </c>
      <c r="D7">
        <v>1</v>
      </c>
      <c r="E7" t="s">
        <v>24</v>
      </c>
      <c r="F7" t="s">
        <v>25</v>
      </c>
      <c r="G7" t="s">
        <v>135</v>
      </c>
      <c r="H7" s="3">
        <v>42306.527418981481</v>
      </c>
      <c r="I7">
        <f ca="1">NETWORKDAYS(Table1[[#This Row],[CreatedDate]],TODAY())</f>
        <v>2863</v>
      </c>
      <c r="J7" s="3">
        <f>EDATE(Table1[[#This Row],[CreatedDate]],6)</f>
        <v>42489</v>
      </c>
      <c r="K7">
        <f t="shared" ca="1" si="0"/>
        <v>10</v>
      </c>
      <c r="L7" t="str">
        <f>TEXT(WEEKDAY(Table1[[#This Row],[CreatedDate]]),"dddd")</f>
        <v>Thursday</v>
      </c>
      <c r="M7" s="3">
        <f>WORKDAY(Table1[[#This Row],[CreatedDate]],5)</f>
        <v>42313</v>
      </c>
    </row>
    <row r="8" spans="1:13" x14ac:dyDescent="0.15">
      <c r="A8">
        <v>1390660</v>
      </c>
      <c r="B8" t="s">
        <v>12</v>
      </c>
      <c r="C8" t="s">
        <v>17</v>
      </c>
      <c r="E8" t="s">
        <v>26</v>
      </c>
      <c r="F8" t="s">
        <v>27</v>
      </c>
      <c r="G8" t="s">
        <v>137</v>
      </c>
      <c r="H8" s="3">
        <v>42306.516817129632</v>
      </c>
      <c r="I8">
        <f ca="1">NETWORKDAYS(Table1[[#This Row],[CreatedDate]],TODAY())</f>
        <v>2863</v>
      </c>
      <c r="J8" s="3">
        <f>EDATE(Table1[[#This Row],[CreatedDate]],6)</f>
        <v>42489</v>
      </c>
      <c r="K8">
        <f t="shared" ca="1" si="0"/>
        <v>10</v>
      </c>
      <c r="L8" t="str">
        <f>TEXT(WEEKDAY(Table1[[#This Row],[CreatedDate]]),"dddd")</f>
        <v>Thursday</v>
      </c>
      <c r="M8" s="3">
        <f>WORKDAY(Table1[[#This Row],[CreatedDate]],5)</f>
        <v>42313</v>
      </c>
    </row>
    <row r="9" spans="1:13" x14ac:dyDescent="0.15">
      <c r="A9">
        <v>1411921</v>
      </c>
      <c r="B9" t="s">
        <v>12</v>
      </c>
      <c r="C9" t="s">
        <v>29</v>
      </c>
      <c r="E9" t="s">
        <v>30</v>
      </c>
      <c r="F9" t="s">
        <v>31</v>
      </c>
      <c r="G9" t="s">
        <v>9</v>
      </c>
      <c r="H9" s="3">
        <v>42306.568449074075</v>
      </c>
      <c r="I9">
        <f ca="1">NETWORKDAYS(Table1[[#This Row],[CreatedDate]],TODAY())</f>
        <v>2863</v>
      </c>
      <c r="J9" s="3">
        <f>EDATE(Table1[[#This Row],[CreatedDate]],6)</f>
        <v>42489</v>
      </c>
      <c r="K9">
        <f t="shared" ca="1" si="0"/>
        <v>10</v>
      </c>
      <c r="L9" t="str">
        <f>TEXT(WEEKDAY(Table1[[#This Row],[CreatedDate]]),"dddd")</f>
        <v>Thursday</v>
      </c>
      <c r="M9" s="3">
        <f>WORKDAY(Table1[[#This Row],[CreatedDate]],5)</f>
        <v>42313</v>
      </c>
    </row>
    <row r="10" spans="1:13" x14ac:dyDescent="0.15">
      <c r="A10">
        <v>1453653</v>
      </c>
      <c r="B10" t="s">
        <v>8</v>
      </c>
      <c r="C10" t="s">
        <v>29</v>
      </c>
      <c r="E10" t="s">
        <v>32</v>
      </c>
      <c r="F10" t="s">
        <v>33</v>
      </c>
      <c r="G10" t="s">
        <v>9</v>
      </c>
      <c r="H10" s="3">
        <v>42306.668819444443</v>
      </c>
      <c r="I10">
        <f ca="1">NETWORKDAYS(Table1[[#This Row],[CreatedDate]],TODAY())</f>
        <v>2863</v>
      </c>
      <c r="J10" s="3">
        <f>EDATE(Table1[[#This Row],[CreatedDate]],6)</f>
        <v>42489</v>
      </c>
      <c r="K10">
        <f t="shared" ca="1" si="0"/>
        <v>10</v>
      </c>
      <c r="L10" t="str">
        <f>TEXT(WEEKDAY(Table1[[#This Row],[CreatedDate]]),"dddd")</f>
        <v>Thursday</v>
      </c>
      <c r="M10" s="3">
        <f>WORKDAY(Table1[[#This Row],[CreatedDate]],5)</f>
        <v>42313</v>
      </c>
    </row>
    <row r="11" spans="1:13" x14ac:dyDescent="0.15">
      <c r="A11">
        <v>1959661</v>
      </c>
      <c r="B11" t="s">
        <v>12</v>
      </c>
      <c r="C11" t="s">
        <v>17</v>
      </c>
      <c r="D11">
        <v>10</v>
      </c>
      <c r="E11" t="s">
        <v>34</v>
      </c>
      <c r="F11" t="s">
        <v>35</v>
      </c>
      <c r="G11" t="s">
        <v>135</v>
      </c>
      <c r="H11" s="3">
        <v>42360.749305555553</v>
      </c>
      <c r="I11">
        <f ca="1">NETWORKDAYS(Table1[[#This Row],[CreatedDate]],TODAY())</f>
        <v>2825</v>
      </c>
      <c r="J11" s="3">
        <f>EDATE(Table1[[#This Row],[CreatedDate]],6)</f>
        <v>42543</v>
      </c>
      <c r="K11">
        <f t="shared" ca="1" si="0"/>
        <v>10</v>
      </c>
      <c r="L11" t="str">
        <f>TEXT(WEEKDAY(Table1[[#This Row],[CreatedDate]]),"dddd")</f>
        <v>Tuesday</v>
      </c>
      <c r="M11" s="3">
        <f>WORKDAY(Table1[[#This Row],[CreatedDate]],5)</f>
        <v>42367</v>
      </c>
    </row>
    <row r="12" spans="1:13" x14ac:dyDescent="0.15">
      <c r="A12">
        <v>1744792</v>
      </c>
      <c r="B12" t="s">
        <v>12</v>
      </c>
      <c r="C12" t="s">
        <v>9</v>
      </c>
      <c r="D12" t="s">
        <v>36</v>
      </c>
      <c r="E12" t="s">
        <v>37</v>
      </c>
      <c r="F12" t="s">
        <v>38</v>
      </c>
      <c r="G12" t="s">
        <v>9</v>
      </c>
      <c r="H12" s="3">
        <v>42338.868055555555</v>
      </c>
      <c r="I12">
        <f ca="1">NETWORKDAYS(Table1[[#This Row],[CreatedDate]],TODAY())</f>
        <v>2841</v>
      </c>
      <c r="J12" s="3">
        <f>EDATE(Table1[[#This Row],[CreatedDate]],6)</f>
        <v>42520</v>
      </c>
      <c r="K12">
        <f t="shared" ca="1" si="0"/>
        <v>10</v>
      </c>
      <c r="L12" t="str">
        <f>TEXT(WEEKDAY(Table1[[#This Row],[CreatedDate]]),"dddd")</f>
        <v>Monday</v>
      </c>
      <c r="M12" s="3">
        <f>WORKDAY(Table1[[#This Row],[CreatedDate]],5)</f>
        <v>42345</v>
      </c>
    </row>
    <row r="13" spans="1:13" x14ac:dyDescent="0.15">
      <c r="A13">
        <v>2255195</v>
      </c>
      <c r="B13" t="s">
        <v>12</v>
      </c>
      <c r="C13" t="s">
        <v>29</v>
      </c>
      <c r="D13">
        <v>13</v>
      </c>
      <c r="E13" t="s">
        <v>39</v>
      </c>
      <c r="F13" t="s">
        <v>40</v>
      </c>
      <c r="G13" t="s">
        <v>9</v>
      </c>
      <c r="H13" s="3">
        <v>42374.713368055556</v>
      </c>
      <c r="I13">
        <f ca="1">NETWORKDAYS(Table1[[#This Row],[CreatedDate]],TODAY())</f>
        <v>2815</v>
      </c>
      <c r="J13" s="3">
        <f>EDATE(Table1[[#This Row],[CreatedDate]],6)</f>
        <v>42556</v>
      </c>
      <c r="K13">
        <f t="shared" ca="1" si="0"/>
        <v>10</v>
      </c>
      <c r="L13" t="str">
        <f>TEXT(WEEKDAY(Table1[[#This Row],[CreatedDate]]),"dddd")</f>
        <v>Tuesday</v>
      </c>
      <c r="M13" s="3">
        <f>WORKDAY(Table1[[#This Row],[CreatedDate]],5)</f>
        <v>42381</v>
      </c>
    </row>
    <row r="14" spans="1:13" x14ac:dyDescent="0.15">
      <c r="A14">
        <v>2263267</v>
      </c>
      <c r="B14" t="s">
        <v>12</v>
      </c>
      <c r="C14" t="s">
        <v>13</v>
      </c>
      <c r="D14">
        <v>1</v>
      </c>
      <c r="E14" t="s">
        <v>41</v>
      </c>
      <c r="F14" t="s">
        <v>42</v>
      </c>
      <c r="G14" t="s">
        <v>138</v>
      </c>
      <c r="H14" s="3">
        <v>42374.803773148145</v>
      </c>
      <c r="I14">
        <f ca="1">NETWORKDAYS(Table1[[#This Row],[CreatedDate]],TODAY())</f>
        <v>2815</v>
      </c>
      <c r="J14" s="3">
        <f>EDATE(Table1[[#This Row],[CreatedDate]],6)</f>
        <v>42556</v>
      </c>
      <c r="K14">
        <f t="shared" ca="1" si="0"/>
        <v>10</v>
      </c>
      <c r="L14" t="str">
        <f>TEXT(WEEKDAY(Table1[[#This Row],[CreatedDate]]),"dddd")</f>
        <v>Tuesday</v>
      </c>
      <c r="M14" s="3">
        <f>WORKDAY(Table1[[#This Row],[CreatedDate]],5)</f>
        <v>42381</v>
      </c>
    </row>
    <row r="15" spans="1:13" x14ac:dyDescent="0.15">
      <c r="A15">
        <v>2416097</v>
      </c>
      <c r="B15" t="s">
        <v>12</v>
      </c>
      <c r="C15" t="s">
        <v>17</v>
      </c>
      <c r="D15">
        <v>23</v>
      </c>
      <c r="E15" t="s">
        <v>44</v>
      </c>
      <c r="F15" t="s">
        <v>45</v>
      </c>
      <c r="G15" t="s">
        <v>135</v>
      </c>
      <c r="H15" s="3">
        <v>42374.733229166668</v>
      </c>
      <c r="I15">
        <f ca="1">NETWORKDAYS(Table1[[#This Row],[CreatedDate]],TODAY())</f>
        <v>2815</v>
      </c>
      <c r="J15" s="3">
        <f>EDATE(Table1[[#This Row],[CreatedDate]],6)</f>
        <v>42556</v>
      </c>
      <c r="K15">
        <f t="shared" ca="1" si="0"/>
        <v>10</v>
      </c>
      <c r="L15" t="str">
        <f>TEXT(WEEKDAY(Table1[[#This Row],[CreatedDate]]),"dddd")</f>
        <v>Tuesday</v>
      </c>
      <c r="M15" s="3">
        <f>WORKDAY(Table1[[#This Row],[CreatedDate]],5)</f>
        <v>42381</v>
      </c>
    </row>
    <row r="16" spans="1:13" x14ac:dyDescent="0.15">
      <c r="A16">
        <v>2419844</v>
      </c>
      <c r="B16" t="s">
        <v>12</v>
      </c>
      <c r="C16" t="s">
        <v>29</v>
      </c>
      <c r="D16">
        <v>7</v>
      </c>
      <c r="E16" t="s">
        <v>46</v>
      </c>
      <c r="F16" t="s">
        <v>47</v>
      </c>
      <c r="G16" t="s">
        <v>9</v>
      </c>
      <c r="H16" s="3">
        <v>42374.745648148149</v>
      </c>
      <c r="I16">
        <f ca="1">NETWORKDAYS(Table1[[#This Row],[CreatedDate]],TODAY())</f>
        <v>2815</v>
      </c>
      <c r="J16" s="3">
        <f>EDATE(Table1[[#This Row],[CreatedDate]],6)</f>
        <v>42556</v>
      </c>
      <c r="K16">
        <f t="shared" ca="1" si="0"/>
        <v>10</v>
      </c>
      <c r="L16" t="str">
        <f>TEXT(WEEKDAY(Table1[[#This Row],[CreatedDate]]),"dddd")</f>
        <v>Tuesday</v>
      </c>
      <c r="M16" s="3">
        <f>WORKDAY(Table1[[#This Row],[CreatedDate]],5)</f>
        <v>42381</v>
      </c>
    </row>
    <row r="17" spans="1:13" x14ac:dyDescent="0.15">
      <c r="A17">
        <v>2418901</v>
      </c>
      <c r="B17" t="s">
        <v>12</v>
      </c>
      <c r="C17" t="s">
        <v>17</v>
      </c>
      <c r="D17">
        <v>20</v>
      </c>
      <c r="E17" t="s">
        <v>48</v>
      </c>
      <c r="F17" t="s">
        <v>49</v>
      </c>
      <c r="G17" t="s">
        <v>135</v>
      </c>
      <c r="H17" s="3">
        <v>42374.7425</v>
      </c>
      <c r="I17">
        <f ca="1">NETWORKDAYS(Table1[[#This Row],[CreatedDate]],TODAY())</f>
        <v>2815</v>
      </c>
      <c r="J17" s="3">
        <f>EDATE(Table1[[#This Row],[CreatedDate]],6)</f>
        <v>42556</v>
      </c>
      <c r="K17">
        <f t="shared" ca="1" si="0"/>
        <v>10</v>
      </c>
      <c r="L17" t="str">
        <f>TEXT(WEEKDAY(Table1[[#This Row],[CreatedDate]]),"dddd")</f>
        <v>Tuesday</v>
      </c>
      <c r="M17" s="3">
        <f>WORKDAY(Table1[[#This Row],[CreatedDate]],5)</f>
        <v>42381</v>
      </c>
    </row>
    <row r="18" spans="1:13" x14ac:dyDescent="0.15">
      <c r="A18">
        <v>2417925</v>
      </c>
      <c r="B18" t="s">
        <v>12</v>
      </c>
      <c r="C18" t="s">
        <v>29</v>
      </c>
      <c r="D18">
        <v>21</v>
      </c>
      <c r="E18" t="s">
        <v>50</v>
      </c>
      <c r="F18" t="s">
        <v>51</v>
      </c>
      <c r="G18" t="s">
        <v>9</v>
      </c>
      <c r="H18" s="3">
        <v>42374.739212962966</v>
      </c>
      <c r="I18">
        <f ca="1">NETWORKDAYS(Table1[[#This Row],[CreatedDate]],TODAY())</f>
        <v>2815</v>
      </c>
      <c r="J18" s="3">
        <f>EDATE(Table1[[#This Row],[CreatedDate]],6)</f>
        <v>42556</v>
      </c>
      <c r="K18">
        <f t="shared" ca="1" si="0"/>
        <v>10</v>
      </c>
      <c r="L18" t="str">
        <f>TEXT(WEEKDAY(Table1[[#This Row],[CreatedDate]]),"dddd")</f>
        <v>Tuesday</v>
      </c>
      <c r="M18" s="3">
        <f>WORKDAY(Table1[[#This Row],[CreatedDate]],5)</f>
        <v>42381</v>
      </c>
    </row>
    <row r="19" spans="1:13" x14ac:dyDescent="0.15">
      <c r="A19">
        <v>2508137</v>
      </c>
      <c r="B19" t="s">
        <v>52</v>
      </c>
      <c r="C19" t="s">
        <v>9</v>
      </c>
      <c r="D19">
        <v>6</v>
      </c>
      <c r="E19" t="s">
        <v>53</v>
      </c>
      <c r="F19" t="s">
        <v>54</v>
      </c>
      <c r="G19" t="s">
        <v>9</v>
      </c>
      <c r="H19" s="3">
        <v>42374.802997685183</v>
      </c>
      <c r="I19">
        <f ca="1">NETWORKDAYS(Table1[[#This Row],[CreatedDate]],TODAY())</f>
        <v>2815</v>
      </c>
      <c r="J19" s="3">
        <f>EDATE(Table1[[#This Row],[CreatedDate]],6)</f>
        <v>42556</v>
      </c>
      <c r="K19">
        <f t="shared" ca="1" si="0"/>
        <v>10</v>
      </c>
      <c r="L19" t="str">
        <f>TEXT(WEEKDAY(Table1[[#This Row],[CreatedDate]]),"dddd")</f>
        <v>Tuesday</v>
      </c>
      <c r="M19" s="3">
        <f>WORKDAY(Table1[[#This Row],[CreatedDate]],5)</f>
        <v>42381</v>
      </c>
    </row>
    <row r="20" spans="1:13" x14ac:dyDescent="0.15">
      <c r="A20">
        <v>2551937</v>
      </c>
      <c r="B20" t="s">
        <v>8</v>
      </c>
      <c r="C20" t="s">
        <v>29</v>
      </c>
      <c r="D20">
        <v>15</v>
      </c>
      <c r="E20" t="s">
        <v>55</v>
      </c>
      <c r="F20" t="s">
        <v>56</v>
      </c>
      <c r="G20" t="s">
        <v>9</v>
      </c>
      <c r="H20" s="3">
        <v>42412.656504629631</v>
      </c>
      <c r="I20">
        <f ca="1">NETWORKDAYS(Table1[[#This Row],[CreatedDate]],TODAY())</f>
        <v>2787</v>
      </c>
      <c r="J20" s="3">
        <f>EDATE(Table1[[#This Row],[CreatedDate]],6)</f>
        <v>42594</v>
      </c>
      <c r="K20">
        <f t="shared" ca="1" si="0"/>
        <v>10</v>
      </c>
      <c r="L20" t="str">
        <f>TEXT(WEEKDAY(Table1[[#This Row],[CreatedDate]]),"dddd")</f>
        <v>Friday</v>
      </c>
      <c r="M20" s="3">
        <f>WORKDAY(Table1[[#This Row],[CreatedDate]],5)</f>
        <v>42419</v>
      </c>
    </row>
    <row r="21" spans="1:13" x14ac:dyDescent="0.15">
      <c r="A21">
        <v>2605467</v>
      </c>
      <c r="B21" t="s">
        <v>12</v>
      </c>
      <c r="C21" t="s">
        <v>17</v>
      </c>
      <c r="D21">
        <v>4</v>
      </c>
      <c r="E21" t="s">
        <v>57</v>
      </c>
      <c r="F21" t="s">
        <v>58</v>
      </c>
      <c r="G21" t="s">
        <v>139</v>
      </c>
      <c r="H21" s="3">
        <v>42374.758483796293</v>
      </c>
      <c r="I21">
        <f ca="1">NETWORKDAYS(Table1[[#This Row],[CreatedDate]],TODAY())</f>
        <v>2815</v>
      </c>
      <c r="J21" s="3">
        <f>EDATE(Table1[[#This Row],[CreatedDate]],6)</f>
        <v>42556</v>
      </c>
      <c r="K21">
        <f t="shared" ca="1" si="0"/>
        <v>10</v>
      </c>
      <c r="L21" t="str">
        <f>TEXT(WEEKDAY(Table1[[#This Row],[CreatedDate]]),"dddd")</f>
        <v>Tuesday</v>
      </c>
      <c r="M21" s="3">
        <f>WORKDAY(Table1[[#This Row],[CreatedDate]],5)</f>
        <v>42381</v>
      </c>
    </row>
    <row r="22" spans="1:13" x14ac:dyDescent="0.15">
      <c r="A22">
        <v>2639139</v>
      </c>
      <c r="B22" t="s">
        <v>12</v>
      </c>
      <c r="C22" t="s">
        <v>17</v>
      </c>
      <c r="D22">
        <v>23</v>
      </c>
      <c r="E22" t="s">
        <v>60</v>
      </c>
      <c r="F22" t="s">
        <v>61</v>
      </c>
      <c r="G22" t="s">
        <v>135</v>
      </c>
      <c r="H22" s="3">
        <v>42412.709918981483</v>
      </c>
      <c r="I22">
        <f ca="1">NETWORKDAYS(Table1[[#This Row],[CreatedDate]],TODAY())</f>
        <v>2787</v>
      </c>
      <c r="J22" s="3">
        <f>EDATE(Table1[[#This Row],[CreatedDate]],6)</f>
        <v>42594</v>
      </c>
      <c r="K22">
        <f t="shared" ca="1" si="0"/>
        <v>10</v>
      </c>
      <c r="L22" t="str">
        <f>TEXT(WEEKDAY(Table1[[#This Row],[CreatedDate]]),"dddd")</f>
        <v>Friday</v>
      </c>
      <c r="M22" s="3">
        <f>WORKDAY(Table1[[#This Row],[CreatedDate]],5)</f>
        <v>42419</v>
      </c>
    </row>
    <row r="23" spans="1:13" x14ac:dyDescent="0.15">
      <c r="A23">
        <v>2909204</v>
      </c>
      <c r="B23" t="s">
        <v>12</v>
      </c>
      <c r="C23" t="s">
        <v>62</v>
      </c>
      <c r="D23">
        <v>14</v>
      </c>
      <c r="E23" t="s">
        <v>63</v>
      </c>
      <c r="F23" t="s">
        <v>64</v>
      </c>
      <c r="G23" t="s">
        <v>135</v>
      </c>
      <c r="H23" s="3">
        <v>42412.68577546296</v>
      </c>
      <c r="I23">
        <f ca="1">NETWORKDAYS(Table1[[#This Row],[CreatedDate]],TODAY())</f>
        <v>2787</v>
      </c>
      <c r="J23" s="3">
        <f>EDATE(Table1[[#This Row],[CreatedDate]],6)</f>
        <v>42594</v>
      </c>
      <c r="K23">
        <f t="shared" ca="1" si="0"/>
        <v>10</v>
      </c>
      <c r="L23" t="str">
        <f>TEXT(WEEKDAY(Table1[[#This Row],[CreatedDate]]),"dddd")</f>
        <v>Friday</v>
      </c>
      <c r="M23" s="3">
        <f>WORKDAY(Table1[[#This Row],[CreatedDate]],5)</f>
        <v>42419</v>
      </c>
    </row>
    <row r="24" spans="1:13" x14ac:dyDescent="0.15">
      <c r="A24">
        <v>2909180</v>
      </c>
      <c r="B24" t="s">
        <v>52</v>
      </c>
      <c r="C24" t="s">
        <v>9</v>
      </c>
      <c r="D24">
        <v>11</v>
      </c>
      <c r="E24" t="s">
        <v>65</v>
      </c>
      <c r="F24" t="s">
        <v>66</v>
      </c>
      <c r="G24" t="s">
        <v>9</v>
      </c>
      <c r="H24" s="3">
        <v>42374.836643518516</v>
      </c>
      <c r="I24">
        <f ca="1">NETWORKDAYS(Table1[[#This Row],[CreatedDate]],TODAY())</f>
        <v>2815</v>
      </c>
      <c r="J24" s="3">
        <f>EDATE(Table1[[#This Row],[CreatedDate]],6)</f>
        <v>42556</v>
      </c>
      <c r="K24">
        <f t="shared" ca="1" si="0"/>
        <v>10</v>
      </c>
      <c r="L24" t="str">
        <f>TEXT(WEEKDAY(Table1[[#This Row],[CreatedDate]]),"dddd")</f>
        <v>Tuesday</v>
      </c>
      <c r="M24" s="3">
        <f>WORKDAY(Table1[[#This Row],[CreatedDate]],5)</f>
        <v>42381</v>
      </c>
    </row>
    <row r="25" spans="1:13" x14ac:dyDescent="0.15">
      <c r="A25">
        <v>2911733</v>
      </c>
      <c r="B25" t="s">
        <v>12</v>
      </c>
      <c r="C25" t="s">
        <v>17</v>
      </c>
      <c r="D25">
        <v>19</v>
      </c>
      <c r="E25" t="s">
        <v>67</v>
      </c>
      <c r="F25" t="s">
        <v>68</v>
      </c>
      <c r="G25" t="s">
        <v>138</v>
      </c>
      <c r="H25" s="3">
        <v>42444.653993055559</v>
      </c>
      <c r="I25">
        <f ca="1">NETWORKDAYS(Table1[[#This Row],[CreatedDate]],TODAY())</f>
        <v>2765</v>
      </c>
      <c r="J25" s="3">
        <f>EDATE(Table1[[#This Row],[CreatedDate]],6)</f>
        <v>42628</v>
      </c>
      <c r="K25">
        <f t="shared" ca="1" si="0"/>
        <v>10</v>
      </c>
      <c r="L25" t="str">
        <f>TEXT(WEEKDAY(Table1[[#This Row],[CreatedDate]]),"dddd")</f>
        <v>Tuesday</v>
      </c>
      <c r="M25" s="3">
        <f>WORKDAY(Table1[[#This Row],[CreatedDate]],5)</f>
        <v>42451</v>
      </c>
    </row>
    <row r="26" spans="1:13" x14ac:dyDescent="0.15">
      <c r="A26">
        <v>2916983</v>
      </c>
      <c r="B26" t="s">
        <v>12</v>
      </c>
      <c r="C26" t="s">
        <v>17</v>
      </c>
      <c r="D26">
        <v>9</v>
      </c>
      <c r="E26" t="s">
        <v>69</v>
      </c>
      <c r="F26" t="s">
        <v>70</v>
      </c>
      <c r="G26" t="s">
        <v>140</v>
      </c>
      <c r="H26" s="3">
        <v>42444.666585648149</v>
      </c>
      <c r="I26">
        <f ca="1">NETWORKDAYS(Table1[[#This Row],[CreatedDate]],TODAY())</f>
        <v>2765</v>
      </c>
      <c r="J26" s="3">
        <f>EDATE(Table1[[#This Row],[CreatedDate]],6)</f>
        <v>42628</v>
      </c>
      <c r="K26">
        <f t="shared" ca="1" si="0"/>
        <v>10</v>
      </c>
      <c r="L26" t="str">
        <f>TEXT(WEEKDAY(Table1[[#This Row],[CreatedDate]]),"dddd")</f>
        <v>Tuesday</v>
      </c>
      <c r="M26" s="3">
        <f>WORKDAY(Table1[[#This Row],[CreatedDate]],5)</f>
        <v>42451</v>
      </c>
    </row>
    <row r="27" spans="1:13" x14ac:dyDescent="0.15">
      <c r="A27">
        <v>3009624</v>
      </c>
      <c r="B27" t="s">
        <v>12</v>
      </c>
      <c r="C27" t="s">
        <v>9</v>
      </c>
      <c r="D27">
        <v>9</v>
      </c>
      <c r="E27" t="s">
        <v>72</v>
      </c>
      <c r="F27" t="s">
        <v>73</v>
      </c>
      <c r="G27" t="s">
        <v>9</v>
      </c>
      <c r="H27" s="3">
        <v>42463.736805555556</v>
      </c>
      <c r="I27">
        <f ca="1">NETWORKDAYS(Table1[[#This Row],[CreatedDate]],TODAY())</f>
        <v>2751</v>
      </c>
      <c r="J27" s="3">
        <f>EDATE(Table1[[#This Row],[CreatedDate]],6)</f>
        <v>42646</v>
      </c>
      <c r="K27">
        <f t="shared" ca="1" si="0"/>
        <v>10</v>
      </c>
      <c r="L27" t="str">
        <f>TEXT(WEEKDAY(Table1[[#This Row],[CreatedDate]]),"dddd")</f>
        <v>Sunday</v>
      </c>
      <c r="M27" s="3">
        <f>WORKDAY(Table1[[#This Row],[CreatedDate]],5)</f>
        <v>42468</v>
      </c>
    </row>
    <row r="28" spans="1:13" x14ac:dyDescent="0.15">
      <c r="A28">
        <v>3352205</v>
      </c>
      <c r="B28" t="s">
        <v>12</v>
      </c>
      <c r="C28" t="s">
        <v>17</v>
      </c>
      <c r="D28">
        <v>8</v>
      </c>
      <c r="E28" t="s">
        <v>74</v>
      </c>
      <c r="F28" t="s">
        <v>75</v>
      </c>
      <c r="G28" t="s">
        <v>136</v>
      </c>
      <c r="H28" s="3">
        <v>42501.743379629632</v>
      </c>
      <c r="I28">
        <f ca="1">NETWORKDAYS(Table1[[#This Row],[CreatedDate]],TODAY())</f>
        <v>2724</v>
      </c>
      <c r="J28" s="3">
        <f>EDATE(Table1[[#This Row],[CreatedDate]],6)</f>
        <v>42685</v>
      </c>
      <c r="K28">
        <f t="shared" ca="1" si="0"/>
        <v>10</v>
      </c>
      <c r="L28" t="str">
        <f>TEXT(WEEKDAY(Table1[[#This Row],[CreatedDate]]),"dddd")</f>
        <v>Wednesday</v>
      </c>
      <c r="M28" s="3">
        <f>WORKDAY(Table1[[#This Row],[CreatedDate]],5)</f>
        <v>42508</v>
      </c>
    </row>
    <row r="29" spans="1:13" x14ac:dyDescent="0.15">
      <c r="A29">
        <v>3359946</v>
      </c>
      <c r="B29" t="s">
        <v>12</v>
      </c>
      <c r="C29" t="s">
        <v>17</v>
      </c>
      <c r="D29">
        <v>14</v>
      </c>
      <c r="E29" t="s">
        <v>76</v>
      </c>
      <c r="F29" t="s">
        <v>77</v>
      </c>
      <c r="G29" t="s">
        <v>136</v>
      </c>
      <c r="H29" s="3">
        <v>42501.87226851852</v>
      </c>
      <c r="I29">
        <f ca="1">NETWORKDAYS(Table1[[#This Row],[CreatedDate]],TODAY())</f>
        <v>2724</v>
      </c>
      <c r="J29" s="3">
        <f>EDATE(Table1[[#This Row],[CreatedDate]],6)</f>
        <v>42685</v>
      </c>
      <c r="K29">
        <f t="shared" ca="1" si="0"/>
        <v>10</v>
      </c>
      <c r="L29" t="str">
        <f>TEXT(WEEKDAY(Table1[[#This Row],[CreatedDate]]),"dddd")</f>
        <v>Wednesday</v>
      </c>
      <c r="M29" s="3">
        <f>WORKDAY(Table1[[#This Row],[CreatedDate]],5)</f>
        <v>42508</v>
      </c>
    </row>
    <row r="30" spans="1:13" x14ac:dyDescent="0.15">
      <c r="A30">
        <v>3648707</v>
      </c>
      <c r="B30" t="s">
        <v>12</v>
      </c>
      <c r="C30" t="s">
        <v>17</v>
      </c>
      <c r="D30">
        <v>7</v>
      </c>
      <c r="E30" t="s">
        <v>78</v>
      </c>
      <c r="F30" t="s">
        <v>79</v>
      </c>
      <c r="G30" t="s">
        <v>135</v>
      </c>
      <c r="H30" s="3">
        <v>42501.804363425923</v>
      </c>
      <c r="I30">
        <f ca="1">NETWORKDAYS(Table1[[#This Row],[CreatedDate]],TODAY())</f>
        <v>2724</v>
      </c>
      <c r="J30" s="3">
        <f>EDATE(Table1[[#This Row],[CreatedDate]],6)</f>
        <v>42685</v>
      </c>
      <c r="K30">
        <f t="shared" ca="1" si="0"/>
        <v>10</v>
      </c>
      <c r="L30" t="str">
        <f>TEXT(WEEKDAY(Table1[[#This Row],[CreatedDate]]),"dddd")</f>
        <v>Wednesday</v>
      </c>
      <c r="M30" s="3">
        <f>WORKDAY(Table1[[#This Row],[CreatedDate]],5)</f>
        <v>42508</v>
      </c>
    </row>
    <row r="31" spans="1:13" x14ac:dyDescent="0.15">
      <c r="A31">
        <v>3731604</v>
      </c>
      <c r="B31" t="s">
        <v>12</v>
      </c>
      <c r="C31" t="s">
        <v>17</v>
      </c>
      <c r="D31">
        <v>9</v>
      </c>
      <c r="E31" t="s">
        <v>80</v>
      </c>
      <c r="F31" t="s">
        <v>81</v>
      </c>
      <c r="G31" t="s">
        <v>140</v>
      </c>
      <c r="H31" s="3">
        <v>42542.632106481484</v>
      </c>
      <c r="I31">
        <f ca="1">NETWORKDAYS(Table1[[#This Row],[CreatedDate]],TODAY())</f>
        <v>2695</v>
      </c>
      <c r="J31" s="3">
        <f>EDATE(Table1[[#This Row],[CreatedDate]],6)</f>
        <v>42725</v>
      </c>
      <c r="K31">
        <f t="shared" ca="1" si="0"/>
        <v>10</v>
      </c>
      <c r="L31" t="str">
        <f>TEXT(WEEKDAY(Table1[[#This Row],[CreatedDate]]),"dddd")</f>
        <v>Tuesday</v>
      </c>
      <c r="M31" s="3">
        <f>WORKDAY(Table1[[#This Row],[CreatedDate]],5)</f>
        <v>42549</v>
      </c>
    </row>
    <row r="32" spans="1:13" x14ac:dyDescent="0.15">
      <c r="A32">
        <v>3727280</v>
      </c>
      <c r="B32" t="s">
        <v>12</v>
      </c>
      <c r="C32" t="s">
        <v>17</v>
      </c>
      <c r="D32">
        <v>21</v>
      </c>
      <c r="E32" t="s">
        <v>82</v>
      </c>
      <c r="F32" t="s">
        <v>83</v>
      </c>
      <c r="G32" t="s">
        <v>139</v>
      </c>
      <c r="H32" s="3">
        <v>42542.608784722222</v>
      </c>
      <c r="I32">
        <f ca="1">NETWORKDAYS(Table1[[#This Row],[CreatedDate]],TODAY())</f>
        <v>2695</v>
      </c>
      <c r="J32" s="3">
        <f>EDATE(Table1[[#This Row],[CreatedDate]],6)</f>
        <v>42725</v>
      </c>
      <c r="K32">
        <f t="shared" ca="1" si="0"/>
        <v>10</v>
      </c>
      <c r="L32" t="str">
        <f>TEXT(WEEKDAY(Table1[[#This Row],[CreatedDate]]),"dddd")</f>
        <v>Tuesday</v>
      </c>
      <c r="M32" s="3">
        <f>WORKDAY(Table1[[#This Row],[CreatedDate]],5)</f>
        <v>42549</v>
      </c>
    </row>
    <row r="33" spans="1:13" x14ac:dyDescent="0.15">
      <c r="A33">
        <v>3741425</v>
      </c>
      <c r="B33" t="s">
        <v>12</v>
      </c>
      <c r="C33" t="s">
        <v>17</v>
      </c>
      <c r="D33">
        <v>19</v>
      </c>
      <c r="E33" t="s">
        <v>84</v>
      </c>
      <c r="F33" t="s">
        <v>85</v>
      </c>
      <c r="G33" t="s">
        <v>135</v>
      </c>
      <c r="H33" s="3">
        <v>42542.648865740739</v>
      </c>
      <c r="I33">
        <f ca="1">NETWORKDAYS(Table1[[#This Row],[CreatedDate]],TODAY())</f>
        <v>2695</v>
      </c>
      <c r="J33" s="3">
        <f>EDATE(Table1[[#This Row],[CreatedDate]],6)</f>
        <v>42725</v>
      </c>
      <c r="K33">
        <f t="shared" ca="1" si="0"/>
        <v>10</v>
      </c>
      <c r="L33" t="str">
        <f>TEXT(WEEKDAY(Table1[[#This Row],[CreatedDate]]),"dddd")</f>
        <v>Tuesday</v>
      </c>
      <c r="M33" s="3">
        <f>WORKDAY(Table1[[#This Row],[CreatedDate]],5)</f>
        <v>42549</v>
      </c>
    </row>
    <row r="34" spans="1:13" x14ac:dyDescent="0.15">
      <c r="A34">
        <v>3749038</v>
      </c>
      <c r="B34" t="s">
        <v>12</v>
      </c>
      <c r="C34" t="s">
        <v>17</v>
      </c>
      <c r="D34">
        <v>3</v>
      </c>
      <c r="E34" t="s">
        <v>86</v>
      </c>
      <c r="F34" t="s">
        <v>87</v>
      </c>
      <c r="G34" t="s">
        <v>139</v>
      </c>
      <c r="H34" s="3">
        <v>42542.615717592591</v>
      </c>
      <c r="I34">
        <f ca="1">NETWORKDAYS(Table1[[#This Row],[CreatedDate]],TODAY())</f>
        <v>2695</v>
      </c>
      <c r="J34" s="3">
        <f>EDATE(Table1[[#This Row],[CreatedDate]],6)</f>
        <v>42725</v>
      </c>
      <c r="K34">
        <f t="shared" ref="K34:K55" ca="1" si="1">DATEDIF(H34,TODAY(),"Y")</f>
        <v>10</v>
      </c>
      <c r="L34" t="str">
        <f>TEXT(WEEKDAY(Table1[[#This Row],[CreatedDate]]),"dddd")</f>
        <v>Tuesday</v>
      </c>
      <c r="M34" s="3">
        <f>WORKDAY(Table1[[#This Row],[CreatedDate]],5)</f>
        <v>42549</v>
      </c>
    </row>
    <row r="35" spans="1:13" x14ac:dyDescent="0.15">
      <c r="A35">
        <v>3761737</v>
      </c>
      <c r="B35" t="s">
        <v>12</v>
      </c>
      <c r="C35" t="s">
        <v>17</v>
      </c>
      <c r="D35">
        <v>11</v>
      </c>
      <c r="E35" t="s">
        <v>88</v>
      </c>
      <c r="F35" t="s">
        <v>89</v>
      </c>
      <c r="G35" t="s">
        <v>139</v>
      </c>
      <c r="H35" s="3">
        <v>42542.618946759256</v>
      </c>
      <c r="I35">
        <f ca="1">NETWORKDAYS(Table1[[#This Row],[CreatedDate]],TODAY())</f>
        <v>2695</v>
      </c>
      <c r="J35" s="3">
        <f>EDATE(Table1[[#This Row],[CreatedDate]],6)</f>
        <v>42725</v>
      </c>
      <c r="K35">
        <f t="shared" ca="1" si="1"/>
        <v>10</v>
      </c>
      <c r="L35" t="str">
        <f>TEXT(WEEKDAY(Table1[[#This Row],[CreatedDate]]),"dddd")</f>
        <v>Tuesday</v>
      </c>
      <c r="M35" s="3">
        <f>WORKDAY(Table1[[#This Row],[CreatedDate]],5)</f>
        <v>42549</v>
      </c>
    </row>
    <row r="36" spans="1:13" x14ac:dyDescent="0.15">
      <c r="A36">
        <v>3767759</v>
      </c>
      <c r="B36" t="s">
        <v>12</v>
      </c>
      <c r="C36" t="s">
        <v>13</v>
      </c>
      <c r="D36">
        <v>20</v>
      </c>
      <c r="E36" t="s">
        <v>90</v>
      </c>
      <c r="F36" t="s">
        <v>91</v>
      </c>
      <c r="G36" t="s">
        <v>141</v>
      </c>
      <c r="H36" s="3">
        <v>42542.66542824074</v>
      </c>
      <c r="I36">
        <f ca="1">NETWORKDAYS(Table1[[#This Row],[CreatedDate]],TODAY())</f>
        <v>2695</v>
      </c>
      <c r="J36" s="3">
        <f>EDATE(Table1[[#This Row],[CreatedDate]],6)</f>
        <v>42725</v>
      </c>
      <c r="K36">
        <f t="shared" ca="1" si="1"/>
        <v>10</v>
      </c>
      <c r="L36" t="str">
        <f>TEXT(WEEKDAY(Table1[[#This Row],[CreatedDate]]),"dddd")</f>
        <v>Tuesday</v>
      </c>
      <c r="M36" s="3">
        <f>WORKDAY(Table1[[#This Row],[CreatedDate]],5)</f>
        <v>42549</v>
      </c>
    </row>
    <row r="37" spans="1:13" x14ac:dyDescent="0.15">
      <c r="A37">
        <v>3998871</v>
      </c>
      <c r="B37" t="s">
        <v>12</v>
      </c>
      <c r="C37" t="s">
        <v>17</v>
      </c>
      <c r="D37">
        <v>14</v>
      </c>
      <c r="E37" t="s">
        <v>93</v>
      </c>
      <c r="F37" t="s">
        <v>94</v>
      </c>
      <c r="G37" t="s">
        <v>136</v>
      </c>
      <c r="H37" s="3">
        <v>42551.408032407409</v>
      </c>
      <c r="I37">
        <f ca="1">NETWORKDAYS(Table1[[#This Row],[CreatedDate]],TODAY())</f>
        <v>2688</v>
      </c>
      <c r="J37" s="3">
        <f>EDATE(Table1[[#This Row],[CreatedDate]],6)</f>
        <v>42734</v>
      </c>
      <c r="K37">
        <f t="shared" ca="1" si="1"/>
        <v>10</v>
      </c>
      <c r="L37" t="str">
        <f>TEXT(WEEKDAY(Table1[[#This Row],[CreatedDate]]),"dddd")</f>
        <v>Thursday</v>
      </c>
      <c r="M37" s="3">
        <f>WORKDAY(Table1[[#This Row],[CreatedDate]],5)</f>
        <v>42558</v>
      </c>
    </row>
    <row r="38" spans="1:13" x14ac:dyDescent="0.15">
      <c r="A38">
        <v>4005560</v>
      </c>
      <c r="B38" t="s">
        <v>12</v>
      </c>
      <c r="C38" t="s">
        <v>17</v>
      </c>
      <c r="D38">
        <v>8</v>
      </c>
      <c r="E38" t="s">
        <v>95</v>
      </c>
      <c r="F38" t="s">
        <v>96</v>
      </c>
      <c r="G38" t="s">
        <v>142</v>
      </c>
      <c r="H38" s="3">
        <v>42551.419189814813</v>
      </c>
      <c r="I38">
        <f ca="1">NETWORKDAYS(Table1[[#This Row],[CreatedDate]],TODAY())</f>
        <v>2688</v>
      </c>
      <c r="J38" s="3">
        <f>EDATE(Table1[[#This Row],[CreatedDate]],6)</f>
        <v>42734</v>
      </c>
      <c r="K38">
        <f t="shared" ca="1" si="1"/>
        <v>10</v>
      </c>
      <c r="L38" t="str">
        <f>TEXT(WEEKDAY(Table1[[#This Row],[CreatedDate]]),"dddd")</f>
        <v>Thursday</v>
      </c>
      <c r="M38" s="3">
        <f>WORKDAY(Table1[[#This Row],[CreatedDate]],5)</f>
        <v>42558</v>
      </c>
    </row>
    <row r="39" spans="1:13" x14ac:dyDescent="0.15">
      <c r="A39">
        <v>4002704</v>
      </c>
      <c r="B39" t="s">
        <v>12</v>
      </c>
      <c r="C39" t="s">
        <v>17</v>
      </c>
      <c r="D39">
        <v>7</v>
      </c>
      <c r="E39" t="s">
        <v>98</v>
      </c>
      <c r="F39" t="s">
        <v>99</v>
      </c>
      <c r="G39" t="s">
        <v>134</v>
      </c>
      <c r="H39" s="3">
        <v>42578.540219907409</v>
      </c>
      <c r="I39">
        <f ca="1">NETWORKDAYS(Table1[[#This Row],[CreatedDate]],TODAY())</f>
        <v>2669</v>
      </c>
      <c r="J39" s="3">
        <f>EDATE(Table1[[#This Row],[CreatedDate]],6)</f>
        <v>42762</v>
      </c>
      <c r="K39">
        <f t="shared" ca="1" si="1"/>
        <v>10</v>
      </c>
      <c r="L39" t="str">
        <f>TEXT(WEEKDAY(Table1[[#This Row],[CreatedDate]]),"dddd")</f>
        <v>Wednesday</v>
      </c>
      <c r="M39" s="3">
        <f>WORKDAY(Table1[[#This Row],[CreatedDate]],5)</f>
        <v>42585</v>
      </c>
    </row>
    <row r="40" spans="1:13" x14ac:dyDescent="0.15">
      <c r="A40">
        <v>4000132</v>
      </c>
      <c r="B40" t="s">
        <v>12</v>
      </c>
      <c r="C40" t="s">
        <v>17</v>
      </c>
      <c r="D40">
        <v>1</v>
      </c>
      <c r="E40" t="s">
        <v>100</v>
      </c>
      <c r="F40" t="s">
        <v>101</v>
      </c>
      <c r="G40" t="s">
        <v>139</v>
      </c>
      <c r="H40" s="3">
        <v>42551.427673611113</v>
      </c>
      <c r="I40">
        <f ca="1">NETWORKDAYS(Table1[[#This Row],[CreatedDate]],TODAY())</f>
        <v>2688</v>
      </c>
      <c r="J40" s="3">
        <f>EDATE(Table1[[#This Row],[CreatedDate]],6)</f>
        <v>42734</v>
      </c>
      <c r="K40">
        <f t="shared" ca="1" si="1"/>
        <v>10</v>
      </c>
      <c r="L40" t="str">
        <f>TEXT(WEEKDAY(Table1[[#This Row],[CreatedDate]]),"dddd")</f>
        <v>Thursday</v>
      </c>
      <c r="M40" s="3">
        <f>WORKDAY(Table1[[#This Row],[CreatedDate]],5)</f>
        <v>42558</v>
      </c>
    </row>
    <row r="41" spans="1:13" x14ac:dyDescent="0.15">
      <c r="A41">
        <v>4018019</v>
      </c>
      <c r="B41" t="s">
        <v>12</v>
      </c>
      <c r="C41" t="s">
        <v>17</v>
      </c>
      <c r="D41">
        <v>1</v>
      </c>
      <c r="E41" t="s">
        <v>102</v>
      </c>
      <c r="F41" t="s">
        <v>103</v>
      </c>
      <c r="G41" t="s">
        <v>135</v>
      </c>
      <c r="H41" s="3">
        <v>42578.545856481483</v>
      </c>
      <c r="I41">
        <f ca="1">NETWORKDAYS(Table1[[#This Row],[CreatedDate]],TODAY())</f>
        <v>2669</v>
      </c>
      <c r="J41" s="3">
        <f>EDATE(Table1[[#This Row],[CreatedDate]],6)</f>
        <v>42762</v>
      </c>
      <c r="K41">
        <f t="shared" ca="1" si="1"/>
        <v>10</v>
      </c>
      <c r="L41" t="str">
        <f>TEXT(WEEKDAY(Table1[[#This Row],[CreatedDate]]),"dddd")</f>
        <v>Wednesday</v>
      </c>
      <c r="M41" s="3">
        <f>WORKDAY(Table1[[#This Row],[CreatedDate]],5)</f>
        <v>42585</v>
      </c>
    </row>
    <row r="42" spans="1:13" x14ac:dyDescent="0.15">
      <c r="A42">
        <v>4020848</v>
      </c>
      <c r="B42" t="s">
        <v>12</v>
      </c>
      <c r="C42" t="s">
        <v>17</v>
      </c>
      <c r="D42">
        <v>11</v>
      </c>
      <c r="E42" t="s">
        <v>104</v>
      </c>
      <c r="F42" t="s">
        <v>105</v>
      </c>
      <c r="G42" t="s">
        <v>143</v>
      </c>
      <c r="H42" s="3">
        <v>42551.413703703707</v>
      </c>
      <c r="I42">
        <f ca="1">NETWORKDAYS(Table1[[#This Row],[CreatedDate]],TODAY())</f>
        <v>2688</v>
      </c>
      <c r="J42" s="3">
        <f>EDATE(Table1[[#This Row],[CreatedDate]],6)</f>
        <v>42734</v>
      </c>
      <c r="K42">
        <f t="shared" ca="1" si="1"/>
        <v>10</v>
      </c>
      <c r="L42" t="str">
        <f>TEXT(WEEKDAY(Table1[[#This Row],[CreatedDate]]),"dddd")</f>
        <v>Thursday</v>
      </c>
      <c r="M42" s="3">
        <f>WORKDAY(Table1[[#This Row],[CreatedDate]],5)</f>
        <v>42558</v>
      </c>
    </row>
    <row r="43" spans="1:13" x14ac:dyDescent="0.15">
      <c r="A43">
        <v>4141883</v>
      </c>
      <c r="B43" t="s">
        <v>12</v>
      </c>
      <c r="C43" t="s">
        <v>17</v>
      </c>
      <c r="D43">
        <v>23</v>
      </c>
      <c r="E43" t="s">
        <v>107</v>
      </c>
      <c r="F43" t="s">
        <v>108</v>
      </c>
      <c r="G43" t="s">
        <v>134</v>
      </c>
      <c r="H43" s="3">
        <v>42578.617766203701</v>
      </c>
      <c r="I43">
        <f ca="1">NETWORKDAYS(Table1[[#This Row],[CreatedDate]],TODAY())</f>
        <v>2669</v>
      </c>
      <c r="J43" s="3">
        <f>EDATE(Table1[[#This Row],[CreatedDate]],6)</f>
        <v>42762</v>
      </c>
      <c r="K43">
        <f t="shared" ca="1" si="1"/>
        <v>10</v>
      </c>
      <c r="L43" t="str">
        <f>TEXT(WEEKDAY(Table1[[#This Row],[CreatedDate]]),"dddd")</f>
        <v>Wednesday</v>
      </c>
      <c r="M43" s="3">
        <f>WORKDAY(Table1[[#This Row],[CreatedDate]],5)</f>
        <v>42585</v>
      </c>
    </row>
    <row r="44" spans="1:13" x14ac:dyDescent="0.15">
      <c r="A44">
        <v>4140502</v>
      </c>
      <c r="B44" t="s">
        <v>12</v>
      </c>
      <c r="C44" t="s">
        <v>17</v>
      </c>
      <c r="D44">
        <v>17</v>
      </c>
      <c r="E44" t="s">
        <v>109</v>
      </c>
      <c r="F44" t="s">
        <v>110</v>
      </c>
      <c r="G44" t="s">
        <v>144</v>
      </c>
      <c r="H44" s="3">
        <v>42578.649247685185</v>
      </c>
      <c r="I44">
        <f ca="1">NETWORKDAYS(Table1[[#This Row],[CreatedDate]],TODAY())</f>
        <v>2669</v>
      </c>
      <c r="J44" s="3">
        <f>EDATE(Table1[[#This Row],[CreatedDate]],6)</f>
        <v>42762</v>
      </c>
      <c r="K44">
        <f t="shared" ca="1" si="1"/>
        <v>10</v>
      </c>
      <c r="L44" t="str">
        <f>TEXT(WEEKDAY(Table1[[#This Row],[CreatedDate]]),"dddd")</f>
        <v>Wednesday</v>
      </c>
      <c r="M44" s="3">
        <f>WORKDAY(Table1[[#This Row],[CreatedDate]],5)</f>
        <v>42585</v>
      </c>
    </row>
    <row r="45" spans="1:13" x14ac:dyDescent="0.15">
      <c r="A45">
        <v>4145558</v>
      </c>
      <c r="B45" t="s">
        <v>12</v>
      </c>
      <c r="C45" t="s">
        <v>62</v>
      </c>
      <c r="D45">
        <v>22</v>
      </c>
      <c r="E45" t="s">
        <v>112</v>
      </c>
      <c r="F45" t="s">
        <v>113</v>
      </c>
      <c r="G45" t="s">
        <v>135</v>
      </c>
      <c r="H45" s="3">
        <v>42578.629953703705</v>
      </c>
      <c r="I45">
        <f ca="1">NETWORKDAYS(Table1[[#This Row],[CreatedDate]],TODAY())</f>
        <v>2669</v>
      </c>
      <c r="J45" s="3">
        <f>EDATE(Table1[[#This Row],[CreatedDate]],6)</f>
        <v>42762</v>
      </c>
      <c r="K45">
        <f t="shared" ca="1" si="1"/>
        <v>10</v>
      </c>
      <c r="L45" t="str">
        <f>TEXT(WEEKDAY(Table1[[#This Row],[CreatedDate]]),"dddd")</f>
        <v>Wednesday</v>
      </c>
      <c r="M45" s="3">
        <f>WORKDAY(Table1[[#This Row],[CreatedDate]],5)</f>
        <v>42585</v>
      </c>
    </row>
    <row r="46" spans="1:13" x14ac:dyDescent="0.15">
      <c r="A46">
        <v>4145530</v>
      </c>
      <c r="B46" t="s">
        <v>12</v>
      </c>
      <c r="C46" t="s">
        <v>17</v>
      </c>
      <c r="D46">
        <v>6</v>
      </c>
      <c r="E46" t="s">
        <v>114</v>
      </c>
      <c r="F46" t="s">
        <v>115</v>
      </c>
      <c r="G46" t="s">
        <v>145</v>
      </c>
      <c r="H46" s="3">
        <v>42578.632777777777</v>
      </c>
      <c r="I46">
        <f ca="1">NETWORKDAYS(Table1[[#This Row],[CreatedDate]],TODAY())</f>
        <v>2669</v>
      </c>
      <c r="J46" s="3">
        <f>EDATE(Table1[[#This Row],[CreatedDate]],6)</f>
        <v>42762</v>
      </c>
      <c r="K46">
        <f t="shared" ca="1" si="1"/>
        <v>10</v>
      </c>
      <c r="L46" t="str">
        <f>TEXT(WEEKDAY(Table1[[#This Row],[CreatedDate]]),"dddd")</f>
        <v>Wednesday</v>
      </c>
      <c r="M46" s="3">
        <f>WORKDAY(Table1[[#This Row],[CreatedDate]],5)</f>
        <v>42585</v>
      </c>
    </row>
    <row r="47" spans="1:13" x14ac:dyDescent="0.15">
      <c r="A47">
        <v>4144897</v>
      </c>
      <c r="B47" t="s">
        <v>12</v>
      </c>
      <c r="C47" t="s">
        <v>17</v>
      </c>
      <c r="D47">
        <v>11</v>
      </c>
      <c r="E47" t="s">
        <v>117</v>
      </c>
      <c r="F47" t="s">
        <v>118</v>
      </c>
      <c r="G47" t="s">
        <v>135</v>
      </c>
      <c r="H47" s="3">
        <v>42592.50439814815</v>
      </c>
      <c r="I47">
        <f ca="1">NETWORKDAYS(Table1[[#This Row],[CreatedDate]],TODAY())</f>
        <v>2659</v>
      </c>
      <c r="J47" s="3">
        <f>EDATE(Table1[[#This Row],[CreatedDate]],6)</f>
        <v>42776</v>
      </c>
      <c r="K47">
        <f t="shared" ca="1" si="1"/>
        <v>10</v>
      </c>
      <c r="L47" t="str">
        <f>TEXT(WEEKDAY(Table1[[#This Row],[CreatedDate]]),"dddd")</f>
        <v>Wednesday</v>
      </c>
      <c r="M47" s="3">
        <f>WORKDAY(Table1[[#This Row],[CreatedDate]],5)</f>
        <v>42599</v>
      </c>
    </row>
    <row r="48" spans="1:13" x14ac:dyDescent="0.15">
      <c r="A48">
        <v>4153692</v>
      </c>
      <c r="B48" t="s">
        <v>12</v>
      </c>
      <c r="C48" t="s">
        <v>17</v>
      </c>
      <c r="D48">
        <v>10</v>
      </c>
      <c r="E48" t="s">
        <v>119</v>
      </c>
      <c r="F48" t="s">
        <v>120</v>
      </c>
      <c r="G48" t="s">
        <v>135</v>
      </c>
      <c r="H48" s="3">
        <v>42578.621562499997</v>
      </c>
      <c r="I48">
        <f ca="1">NETWORKDAYS(Table1[[#This Row],[CreatedDate]],TODAY())</f>
        <v>2669</v>
      </c>
      <c r="J48" s="3">
        <f>EDATE(Table1[[#This Row],[CreatedDate]],6)</f>
        <v>42762</v>
      </c>
      <c r="K48">
        <f t="shared" ca="1" si="1"/>
        <v>10</v>
      </c>
      <c r="L48" t="str">
        <f>TEXT(WEEKDAY(Table1[[#This Row],[CreatedDate]]),"dddd")</f>
        <v>Wednesday</v>
      </c>
      <c r="M48" s="3">
        <f>WORKDAY(Table1[[#This Row],[CreatedDate]],5)</f>
        <v>42585</v>
      </c>
    </row>
    <row r="49" spans="1:13" x14ac:dyDescent="0.15">
      <c r="A49">
        <v>4623081</v>
      </c>
      <c r="B49" t="s">
        <v>12</v>
      </c>
      <c r="C49" t="s">
        <v>17</v>
      </c>
      <c r="D49">
        <v>20</v>
      </c>
      <c r="E49" t="s">
        <v>121</v>
      </c>
      <c r="F49" t="s">
        <v>122</v>
      </c>
      <c r="G49" t="s">
        <v>135</v>
      </c>
      <c r="H49" s="3">
        <v>42676.708240740743</v>
      </c>
      <c r="I49">
        <f ca="1">NETWORKDAYS(Table1[[#This Row],[CreatedDate]],TODAY())</f>
        <v>2599</v>
      </c>
      <c r="J49" s="3">
        <f>EDATE(Table1[[#This Row],[CreatedDate]],6)</f>
        <v>42857</v>
      </c>
      <c r="K49">
        <f t="shared" ca="1" si="1"/>
        <v>9</v>
      </c>
      <c r="L49" t="str">
        <f>TEXT(WEEKDAY(Table1[[#This Row],[CreatedDate]]),"dddd")</f>
        <v>Wednesday</v>
      </c>
      <c r="M49" s="3">
        <f>WORKDAY(Table1[[#This Row],[CreatedDate]],5)</f>
        <v>42683</v>
      </c>
    </row>
    <row r="50" spans="1:13" x14ac:dyDescent="0.15">
      <c r="A50">
        <v>4639434</v>
      </c>
      <c r="B50" t="s">
        <v>12</v>
      </c>
      <c r="C50" t="s">
        <v>17</v>
      </c>
      <c r="D50">
        <v>5</v>
      </c>
      <c r="E50" t="s">
        <v>123</v>
      </c>
      <c r="F50" t="s">
        <v>124</v>
      </c>
      <c r="G50" t="s">
        <v>139</v>
      </c>
      <c r="H50" s="3">
        <v>42676.708240740743</v>
      </c>
      <c r="I50">
        <f ca="1">NETWORKDAYS(Table1[[#This Row],[CreatedDate]],TODAY())</f>
        <v>2599</v>
      </c>
      <c r="J50" s="3">
        <f>EDATE(Table1[[#This Row],[CreatedDate]],6)</f>
        <v>42857</v>
      </c>
      <c r="K50">
        <f t="shared" ca="1" si="1"/>
        <v>9</v>
      </c>
      <c r="L50" t="str">
        <f>TEXT(WEEKDAY(Table1[[#This Row],[CreatedDate]]),"dddd")</f>
        <v>Wednesday</v>
      </c>
      <c r="M50" s="3">
        <f>WORKDAY(Table1[[#This Row],[CreatedDate]],5)</f>
        <v>42683</v>
      </c>
    </row>
    <row r="51" spans="1:13" x14ac:dyDescent="0.15">
      <c r="A51">
        <v>4647242</v>
      </c>
      <c r="B51" t="s">
        <v>12</v>
      </c>
      <c r="C51" t="s">
        <v>17</v>
      </c>
      <c r="D51">
        <v>15</v>
      </c>
      <c r="E51" t="s">
        <v>125</v>
      </c>
      <c r="F51" t="s">
        <v>126</v>
      </c>
      <c r="G51" t="s">
        <v>135</v>
      </c>
      <c r="H51" s="3">
        <v>42676.708240740743</v>
      </c>
      <c r="I51">
        <f ca="1">NETWORKDAYS(Table1[[#This Row],[CreatedDate]],TODAY())</f>
        <v>2599</v>
      </c>
      <c r="J51" s="3">
        <f>EDATE(Table1[[#This Row],[CreatedDate]],6)</f>
        <v>42857</v>
      </c>
      <c r="K51">
        <f t="shared" ca="1" si="1"/>
        <v>9</v>
      </c>
      <c r="L51" t="str">
        <f>TEXT(WEEKDAY(Table1[[#This Row],[CreatedDate]]),"dddd")</f>
        <v>Wednesday</v>
      </c>
      <c r="M51" s="3">
        <f>WORKDAY(Table1[[#This Row],[CreatedDate]],5)</f>
        <v>42683</v>
      </c>
    </row>
    <row r="52" spans="1:13" x14ac:dyDescent="0.15">
      <c r="I52">
        <f ca="1">NETWORKDAYS(Table1[[#This Row],[CreatedDate]],TODAY())</f>
        <v>33081</v>
      </c>
      <c r="J52" s="3">
        <f>EDATE(Table1[[#This Row],[CreatedDate]],6)</f>
        <v>182</v>
      </c>
      <c r="K52">
        <f t="shared" ca="1" si="1"/>
        <v>126</v>
      </c>
      <c r="L52" t="str">
        <f>TEXT(WEEKDAY(Table1[[#This Row],[CreatedDate]]),"dddd")</f>
        <v>Saturday</v>
      </c>
      <c r="M52" s="3">
        <f>WORKDAY(Table1[[#This Row],[CreatedDate]],5)</f>
        <v>6</v>
      </c>
    </row>
    <row r="53" spans="1:13" x14ac:dyDescent="0.15">
      <c r="I53">
        <f ca="1">NETWORKDAYS(Table1[[#This Row],[CreatedDate]],TODAY())</f>
        <v>33081</v>
      </c>
      <c r="J53" s="3">
        <f>EDATE(Table1[[#This Row],[CreatedDate]],6)</f>
        <v>182</v>
      </c>
      <c r="K53">
        <f t="shared" ca="1" si="1"/>
        <v>126</v>
      </c>
      <c r="L53" t="str">
        <f>TEXT(WEEKDAY(Table1[[#This Row],[CreatedDate]]),"dddd")</f>
        <v>Saturday</v>
      </c>
      <c r="M53" s="3">
        <f>WORKDAY(Table1[[#This Row],[CreatedDate]],5)</f>
        <v>6</v>
      </c>
    </row>
    <row r="54" spans="1:13" x14ac:dyDescent="0.15">
      <c r="I54">
        <f ca="1">NETWORKDAYS(Table1[[#This Row],[CreatedDate]],TODAY())</f>
        <v>33081</v>
      </c>
      <c r="J54" s="3">
        <f>EDATE(Table1[[#This Row],[CreatedDate]],6)</f>
        <v>182</v>
      </c>
      <c r="K54">
        <f t="shared" ca="1" si="1"/>
        <v>126</v>
      </c>
      <c r="L54" t="str">
        <f>TEXT(WEEKDAY(Table1[[#This Row],[CreatedDate]]),"dddd")</f>
        <v>Saturday</v>
      </c>
      <c r="M54" s="3">
        <f>WORKDAY(Table1[[#This Row],[CreatedDate]],5)</f>
        <v>6</v>
      </c>
    </row>
    <row r="55" spans="1:13" x14ac:dyDescent="0.15">
      <c r="I55">
        <f ca="1">NETWORKDAYS(Table1[[#This Row],[CreatedDate]],TODAY())</f>
        <v>33081</v>
      </c>
      <c r="J55" s="3">
        <f>EDATE(Table1[[#This Row],[CreatedDate]],6)</f>
        <v>182</v>
      </c>
      <c r="K55">
        <f t="shared" ca="1" si="1"/>
        <v>126</v>
      </c>
      <c r="L55" t="str">
        <f>TEXT(WEEKDAY(Table1[[#This Row],[CreatedDate]]),"dddd")</f>
        <v>Saturday</v>
      </c>
      <c r="M55" s="3">
        <f>WORKDAY(Table1[[#This Row],[CreatedDate]],5)</f>
        <v>6</v>
      </c>
    </row>
    <row r="56" spans="1:13" x14ac:dyDescent="0.15">
      <c r="A56" t="s">
        <v>133</v>
      </c>
      <c r="B56">
        <f>SUBTOTAL(103,Table1[TPStructure])</f>
        <v>50</v>
      </c>
      <c r="C56">
        <f>SUBTOTAL(103,Table1[TPCondition])</f>
        <v>50</v>
      </c>
      <c r="D56">
        <f>SUBTOTAL(103,Table1[StumpDiameterIN])</f>
        <v>47</v>
      </c>
      <c r="E56">
        <f>SUBTOTAL(103,Table1[PlantingSpaceGlobalID])</f>
        <v>50</v>
      </c>
      <c r="F56">
        <f>SUBTOTAL(103,Table1[Geometry])</f>
        <v>50</v>
      </c>
      <c r="G56">
        <f>SUBTOTAL(103,Table1[GenusSpecies])</f>
        <v>50</v>
      </c>
      <c r="H56" s="3">
        <f>SUBTOTAL(103,Table1[CreatedDate])</f>
        <v>50</v>
      </c>
    </row>
  </sheetData>
  <conditionalFormatting sqref="A1:H51">
    <cfRule type="expression" dxfId="7" priority="1">
      <formula>COUNTIFS($A$1:$A$51,$A1,$B$1:$B$51,$B1)&gt;1</formula>
    </cfRule>
  </conditionalFormatting>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645AF1-E86D-4D93-A385-5C420D09DA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F5EDDD-2981-4B65-B7EF-62D15E153F3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91CA977-A602-44A9-8850-357798C720DC}">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TM44906193</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find_replace</vt:lpstr>
      <vt:lpstr>Modified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Jatin Mistry</cp:lastModifiedBy>
  <cp:revision>1</cp:revision>
  <dcterms:created xsi:type="dcterms:W3CDTF">2024-03-15T19:00:48Z</dcterms:created>
  <dcterms:modified xsi:type="dcterms:W3CDTF">2026-10-19T23:48:13Z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