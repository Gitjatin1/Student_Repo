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jatin/Desktop/Learnings/Upright/Student_Repo/wk4/"/>
    </mc:Choice>
  </mc:AlternateContent>
  <xr:revisionPtr revIDLastSave="0" documentId="13_ncr:1_{50251443-5CF4-7D41-8DCA-B949B0554B10}" xr6:coauthVersionLast="47" xr6:coauthVersionMax="47" xr10:uidLastSave="{00000000-0000-0000-0000-000000000000}"/>
  <bookViews>
    <workbookView xWindow="-36040" yWindow="-4580" windowWidth="30940" windowHeight="16180" activeTab="3" xr2:uid="{346724B3-1C49-40AE-AA36-C77CF5D6DD09}"/>
  </bookViews>
  <sheets>
    <sheet name="Sheet1" sheetId="10" r:id="rId1"/>
    <sheet name="Data" sheetId="1" r:id="rId2"/>
    <sheet name="Questions &amp; KPIs" sheetId="2" r:id="rId3"/>
    <sheet name="Dashboard" sheetId="9" r:id="rId4"/>
    <sheet name="Logo &amp; Colors" sheetId="4" r:id="rId5"/>
  </sheets>
  <definedNames>
    <definedName name="_xlchart.v5.0" hidden="1">Sheet1!$F$104:$G$104</definedName>
    <definedName name="_xlchart.v5.1" hidden="1">Sheet1!$F$105:$G$162</definedName>
    <definedName name="_xlchart.v5.10" hidden="1">Sheet1!$J$104:$K$104</definedName>
    <definedName name="_xlchart.v5.11" hidden="1">Sheet1!$J$105:$K$162</definedName>
    <definedName name="_xlchart.v5.12" hidden="1">Sheet1!$L$103</definedName>
    <definedName name="_xlchart.v5.13" hidden="1">Sheet1!$L$104</definedName>
    <definedName name="_xlchart.v5.14" hidden="1">Sheet1!$L$105:$L$162</definedName>
    <definedName name="_xlchart.v5.15" hidden="1">Sheet1!$F$104:$G$104</definedName>
    <definedName name="_xlchart.v5.16" hidden="1">Sheet1!$F$105:$G$162</definedName>
    <definedName name="_xlchart.v5.17" hidden="1">Sheet1!$H$104</definedName>
    <definedName name="_xlchart.v5.18" hidden="1">Sheet1!$H$105:$H$162</definedName>
    <definedName name="_xlchart.v5.19" hidden="1">Sheet1!$F$104:$G$104</definedName>
    <definedName name="_xlchart.v5.2" hidden="1">Sheet1!$H$103</definedName>
    <definedName name="_xlchart.v5.20" hidden="1">Sheet1!$F$105:$G$162</definedName>
    <definedName name="_xlchart.v5.21" hidden="1">Sheet1!$H$104</definedName>
    <definedName name="_xlchart.v5.22" hidden="1">Sheet1!$H$105:$H$162</definedName>
    <definedName name="_xlchart.v5.23" hidden="1">Sheet1!$J$104:$K$104</definedName>
    <definedName name="_xlchart.v5.24" hidden="1">Sheet1!$J$105:$K$162</definedName>
    <definedName name="_xlchart.v5.25" hidden="1">Sheet1!$L$104</definedName>
    <definedName name="_xlchart.v5.26" hidden="1">Sheet1!$L$105:$L$162</definedName>
    <definedName name="_xlchart.v5.3" hidden="1">Sheet1!$H$104</definedName>
    <definedName name="_xlchart.v5.4" hidden="1">Sheet1!$H$105:$H$162</definedName>
    <definedName name="_xlchart.v5.5" hidden="1">Sheet1!$J$104:$K$104</definedName>
    <definedName name="_xlchart.v5.6" hidden="1">Sheet1!$J$105:$K$162</definedName>
    <definedName name="_xlchart.v5.7" hidden="1">Sheet1!$L$103</definedName>
    <definedName name="_xlchart.v5.8" hidden="1">Sheet1!$L$104</definedName>
    <definedName name="_xlchart.v5.9" hidden="1">Sheet1!$L$105:$L$162</definedName>
    <definedName name="Slicer_Gender_Value">#N/A</definedName>
    <definedName name="Slicer_Order_Mode">#N/A</definedName>
  </definedNames>
  <calcPr calcId="191029"/>
  <pivotCaches>
    <pivotCache cacheId="11"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8" i="1" l="1"/>
  <c r="S7" i="1"/>
  <c r="S6" i="1"/>
  <c r="S5" i="1"/>
  <c r="S4" i="1"/>
  <c r="O2401" i="1" a="1"/>
  <c r="N2401" i="1"/>
  <c r="M2401" i="1"/>
  <c r="O2400" i="1" a="1"/>
  <c r="N2400" i="1"/>
  <c r="M2400" i="1"/>
  <c r="O2399" i="1" a="1"/>
  <c r="N2399" i="1"/>
  <c r="M2399" i="1"/>
  <c r="O2398" i="1" a="1"/>
  <c r="N2398" i="1"/>
  <c r="M2398" i="1"/>
  <c r="O2397" i="1" a="1"/>
  <c r="N2397" i="1"/>
  <c r="M2397" i="1"/>
  <c r="O2396" i="1" a="1"/>
  <c r="N2396" i="1"/>
  <c r="M2396" i="1"/>
  <c r="O2395" i="1" a="1"/>
  <c r="N2395" i="1"/>
  <c r="M2395" i="1"/>
  <c r="O2394" i="1" a="1"/>
  <c r="N2394" i="1"/>
  <c r="M2394" i="1"/>
  <c r="O2393" i="1" a="1"/>
  <c r="N2393" i="1"/>
  <c r="M2393" i="1"/>
  <c r="O2392" i="1" a="1"/>
  <c r="N2392" i="1"/>
  <c r="M2392" i="1"/>
  <c r="O2391" i="1" a="1"/>
  <c r="N2391" i="1"/>
  <c r="M2391" i="1"/>
  <c r="O2390" i="1" a="1"/>
  <c r="N2390" i="1"/>
  <c r="M2390" i="1"/>
  <c r="O2389" i="1" a="1"/>
  <c r="N2389" i="1"/>
  <c r="M2389" i="1"/>
  <c r="O2388" i="1" a="1"/>
  <c r="N2388" i="1"/>
  <c r="M2388" i="1"/>
  <c r="O2387" i="1" a="1"/>
  <c r="N2387" i="1"/>
  <c r="M2387" i="1"/>
  <c r="O2386" i="1" a="1"/>
  <c r="N2386" i="1"/>
  <c r="M2386" i="1"/>
  <c r="O2385" i="1" a="1"/>
  <c r="N2385" i="1"/>
  <c r="M2385" i="1"/>
  <c r="O2384" i="1" a="1"/>
  <c r="N2384" i="1"/>
  <c r="M2384" i="1"/>
  <c r="O2383" i="1" a="1"/>
  <c r="N2383" i="1"/>
  <c r="M2383" i="1"/>
  <c r="O2382" i="1" a="1"/>
  <c r="N2382" i="1"/>
  <c r="M2382" i="1"/>
  <c r="O2381" i="1" a="1"/>
  <c r="N2381" i="1"/>
  <c r="M2381" i="1"/>
  <c r="O2380" i="1" a="1"/>
  <c r="N2380" i="1"/>
  <c r="M2380" i="1"/>
  <c r="O2379" i="1" a="1"/>
  <c r="N2379" i="1"/>
  <c r="M2379" i="1"/>
  <c r="O2378" i="1" a="1"/>
  <c r="N2378" i="1"/>
  <c r="M2378" i="1"/>
  <c r="O2377" i="1" a="1"/>
  <c r="N2377" i="1"/>
  <c r="M2377" i="1"/>
  <c r="O2376" i="1" a="1"/>
  <c r="N2376" i="1"/>
  <c r="M2376" i="1"/>
  <c r="O2375" i="1" a="1"/>
  <c r="N2375" i="1"/>
  <c r="M2375" i="1"/>
  <c r="O2374" i="1" a="1"/>
  <c r="N2374" i="1"/>
  <c r="M2374" i="1"/>
  <c r="O2373" i="1" a="1"/>
  <c r="N2373" i="1"/>
  <c r="M2373" i="1"/>
  <c r="O2372" i="1" a="1"/>
  <c r="N2372" i="1"/>
  <c r="M2372" i="1"/>
  <c r="O2371" i="1" a="1"/>
  <c r="N2371" i="1"/>
  <c r="M2371" i="1"/>
  <c r="O2370" i="1" a="1"/>
  <c r="N2370" i="1"/>
  <c r="M2370" i="1"/>
  <c r="O2369" i="1" a="1"/>
  <c r="N2369" i="1"/>
  <c r="M2369" i="1"/>
  <c r="O2368" i="1" a="1"/>
  <c r="N2368" i="1"/>
  <c r="M2368" i="1"/>
  <c r="O2367" i="1" a="1"/>
  <c r="N2367" i="1"/>
  <c r="M2367" i="1"/>
  <c r="O2366" i="1" a="1"/>
  <c r="N2366" i="1"/>
  <c r="M2366" i="1"/>
  <c r="O2365" i="1" a="1"/>
  <c r="N2365" i="1"/>
  <c r="M2365" i="1"/>
  <c r="O2364" i="1" a="1"/>
  <c r="N2364" i="1"/>
  <c r="M2364" i="1"/>
  <c r="O2363" i="1" a="1"/>
  <c r="N2363" i="1"/>
  <c r="M2363" i="1"/>
  <c r="O2362" i="1" a="1"/>
  <c r="N2362" i="1"/>
  <c r="M2362" i="1"/>
  <c r="O2361" i="1" a="1"/>
  <c r="N2361" i="1"/>
  <c r="M2361" i="1"/>
  <c r="O2360" i="1" a="1"/>
  <c r="N2360" i="1"/>
  <c r="M2360" i="1"/>
  <c r="O2359" i="1" a="1"/>
  <c r="N2359" i="1"/>
  <c r="M2359" i="1"/>
  <c r="O2358" i="1" a="1"/>
  <c r="N2358" i="1"/>
  <c r="M2358" i="1"/>
  <c r="O2357" i="1" a="1"/>
  <c r="N2357" i="1"/>
  <c r="M2357" i="1"/>
  <c r="O2356" i="1" a="1"/>
  <c r="N2356" i="1"/>
  <c r="M2356" i="1"/>
  <c r="O2355" i="1" a="1"/>
  <c r="N2355" i="1"/>
  <c r="M2355" i="1"/>
  <c r="O2354" i="1" a="1"/>
  <c r="N2354" i="1"/>
  <c r="M2354" i="1"/>
  <c r="O2353" i="1" a="1"/>
  <c r="N2353" i="1"/>
  <c r="M2353" i="1"/>
  <c r="O2352" i="1" a="1"/>
  <c r="N2352" i="1"/>
  <c r="M2352" i="1"/>
  <c r="O2351" i="1" a="1"/>
  <c r="N2351" i="1"/>
  <c r="M2351" i="1"/>
  <c r="O2350" i="1" a="1"/>
  <c r="N2350" i="1"/>
  <c r="M2350" i="1"/>
  <c r="O2349" i="1" a="1"/>
  <c r="N2349" i="1"/>
  <c r="M2349" i="1"/>
  <c r="O2348" i="1" a="1"/>
  <c r="N2348" i="1"/>
  <c r="M2348" i="1"/>
  <c r="O2347" i="1" a="1"/>
  <c r="N2347" i="1"/>
  <c r="M2347" i="1"/>
  <c r="O2346" i="1" a="1"/>
  <c r="N2346" i="1"/>
  <c r="M2346" i="1"/>
  <c r="O2345" i="1" a="1"/>
  <c r="N2345" i="1"/>
  <c r="M2345" i="1"/>
  <c r="O2344" i="1" a="1"/>
  <c r="N2344" i="1"/>
  <c r="M2344" i="1"/>
  <c r="O2343" i="1" a="1"/>
  <c r="N2343" i="1"/>
  <c r="M2343" i="1"/>
  <c r="O2342" i="1" a="1"/>
  <c r="N2342" i="1"/>
  <c r="M2342" i="1"/>
  <c r="O2341" i="1" a="1"/>
  <c r="N2341" i="1"/>
  <c r="M2341" i="1"/>
  <c r="O2340" i="1" a="1"/>
  <c r="N2340" i="1"/>
  <c r="M2340" i="1"/>
  <c r="O2339" i="1" a="1"/>
  <c r="N2339" i="1"/>
  <c r="M2339" i="1"/>
  <c r="O2338" i="1" a="1"/>
  <c r="N2338" i="1"/>
  <c r="M2338" i="1"/>
  <c r="O2337" i="1" a="1"/>
  <c r="N2337" i="1"/>
  <c r="M2337" i="1"/>
  <c r="O2336" i="1" a="1"/>
  <c r="N2336" i="1"/>
  <c r="M2336" i="1"/>
  <c r="O2335" i="1" a="1"/>
  <c r="N2335" i="1"/>
  <c r="M2335" i="1"/>
  <c r="O2334" i="1" a="1"/>
  <c r="N2334" i="1"/>
  <c r="M2334" i="1"/>
  <c r="O2333" i="1" a="1"/>
  <c r="N2333" i="1"/>
  <c r="M2333" i="1"/>
  <c r="O2332" i="1" a="1"/>
  <c r="N2332" i="1"/>
  <c r="M2332" i="1"/>
  <c r="O2331" i="1" a="1"/>
  <c r="N2331" i="1"/>
  <c r="M2331" i="1"/>
  <c r="O2330" i="1" a="1"/>
  <c r="N2330" i="1"/>
  <c r="M2330" i="1"/>
  <c r="O2329" i="1" a="1"/>
  <c r="N2329" i="1"/>
  <c r="M2329" i="1"/>
  <c r="O2328" i="1" a="1"/>
  <c r="N2328" i="1"/>
  <c r="M2328" i="1"/>
  <c r="O2327" i="1" a="1"/>
  <c r="N2327" i="1"/>
  <c r="M2327" i="1"/>
  <c r="O2326" i="1" a="1"/>
  <c r="N2326" i="1"/>
  <c r="M2326" i="1"/>
  <c r="O2325" i="1" a="1"/>
  <c r="N2325" i="1"/>
  <c r="M2325" i="1"/>
  <c r="O2324" i="1" a="1"/>
  <c r="N2324" i="1"/>
  <c r="M2324" i="1"/>
  <c r="O2323" i="1" a="1"/>
  <c r="N2323" i="1"/>
  <c r="M2323" i="1"/>
  <c r="O2322" i="1" a="1"/>
  <c r="N2322" i="1"/>
  <c r="M2322" i="1"/>
  <c r="O2321" i="1" a="1"/>
  <c r="N2321" i="1"/>
  <c r="M2321" i="1"/>
  <c r="O2320" i="1" a="1"/>
  <c r="N2320" i="1"/>
  <c r="M2320" i="1"/>
  <c r="O2319" i="1" a="1"/>
  <c r="N2319" i="1"/>
  <c r="M2319" i="1"/>
  <c r="O2318" i="1" a="1"/>
  <c r="N2318" i="1"/>
  <c r="M2318" i="1"/>
  <c r="O2317" i="1" a="1"/>
  <c r="N2317" i="1"/>
  <c r="M2317" i="1"/>
  <c r="O2316" i="1" a="1"/>
  <c r="N2316" i="1"/>
  <c r="M2316" i="1"/>
  <c r="O2315" i="1" a="1"/>
  <c r="N2315" i="1"/>
  <c r="M2315" i="1"/>
  <c r="O2314" i="1" a="1"/>
  <c r="N2314" i="1"/>
  <c r="M2314" i="1"/>
  <c r="O2313" i="1" a="1"/>
  <c r="N2313" i="1"/>
  <c r="M2313" i="1"/>
  <c r="O2312" i="1" a="1"/>
  <c r="N2312" i="1"/>
  <c r="M2312" i="1"/>
  <c r="O2311" i="1" a="1"/>
  <c r="N2311" i="1"/>
  <c r="M2311" i="1"/>
  <c r="O2310" i="1" a="1"/>
  <c r="N2310" i="1"/>
  <c r="M2310" i="1"/>
  <c r="O2309" i="1" a="1"/>
  <c r="N2309" i="1"/>
  <c r="M2309" i="1"/>
  <c r="O2308" i="1" a="1"/>
  <c r="N2308" i="1"/>
  <c r="M2308" i="1"/>
  <c r="O2307" i="1" a="1"/>
  <c r="N2307" i="1"/>
  <c r="M2307" i="1"/>
  <c r="O2306" i="1" a="1"/>
  <c r="N2306" i="1"/>
  <c r="M2306" i="1"/>
  <c r="O2305" i="1" a="1"/>
  <c r="N2305" i="1"/>
  <c r="M2305" i="1"/>
  <c r="O2304" i="1" a="1"/>
  <c r="N2304" i="1"/>
  <c r="M2304" i="1"/>
  <c r="O2303" i="1" a="1"/>
  <c r="N2303" i="1"/>
  <c r="M2303" i="1"/>
  <c r="O2302" i="1" a="1"/>
  <c r="N2302" i="1"/>
  <c r="M2302" i="1"/>
  <c r="O2301" i="1" a="1"/>
  <c r="N2301" i="1"/>
  <c r="M2301" i="1"/>
  <c r="O2300" i="1" a="1"/>
  <c r="N2300" i="1"/>
  <c r="M2300" i="1"/>
  <c r="O2299" i="1" a="1"/>
  <c r="N2299" i="1"/>
  <c r="M2299" i="1"/>
  <c r="O2298" i="1" a="1"/>
  <c r="N2298" i="1"/>
  <c r="M2298" i="1"/>
  <c r="O2297" i="1" a="1"/>
  <c r="N2297" i="1"/>
  <c r="M2297" i="1"/>
  <c r="O2296" i="1" a="1"/>
  <c r="N2296" i="1"/>
  <c r="M2296" i="1"/>
  <c r="O2295" i="1" a="1"/>
  <c r="N2295" i="1"/>
  <c r="M2295" i="1"/>
  <c r="O2294" i="1" a="1"/>
  <c r="N2294" i="1"/>
  <c r="M2294" i="1"/>
  <c r="O2293" i="1" a="1"/>
  <c r="N2293" i="1"/>
  <c r="M2293" i="1"/>
  <c r="O2292" i="1" a="1"/>
  <c r="N2292" i="1"/>
  <c r="M2292" i="1"/>
  <c r="O2291" i="1" a="1"/>
  <c r="N2291" i="1"/>
  <c r="M2291" i="1"/>
  <c r="O2290" i="1" a="1"/>
  <c r="N2290" i="1"/>
  <c r="M2290" i="1"/>
  <c r="O2289" i="1" a="1"/>
  <c r="N2289" i="1"/>
  <c r="M2289" i="1"/>
  <c r="O2288" i="1" a="1"/>
  <c r="N2288" i="1"/>
  <c r="M2288" i="1"/>
  <c r="O2287" i="1" a="1"/>
  <c r="N2287" i="1"/>
  <c r="M2287" i="1"/>
  <c r="O2286" i="1" a="1"/>
  <c r="N2286" i="1"/>
  <c r="M2286" i="1"/>
  <c r="O2285" i="1" a="1"/>
  <c r="N2285" i="1"/>
  <c r="M2285" i="1"/>
  <c r="O2284" i="1" a="1"/>
  <c r="N2284" i="1"/>
  <c r="M2284" i="1"/>
  <c r="O2283" i="1" a="1"/>
  <c r="N2283" i="1"/>
  <c r="M2283" i="1"/>
  <c r="O2282" i="1" a="1"/>
  <c r="N2282" i="1"/>
  <c r="M2282" i="1"/>
  <c r="O2281" i="1" a="1"/>
  <c r="N2281" i="1"/>
  <c r="M2281" i="1"/>
  <c r="O2280" i="1" a="1"/>
  <c r="N2280" i="1"/>
  <c r="M2280" i="1"/>
  <c r="O2279" i="1" a="1"/>
  <c r="N2279" i="1"/>
  <c r="M2279" i="1"/>
  <c r="O2278" i="1" a="1"/>
  <c r="N2278" i="1"/>
  <c r="M2278" i="1"/>
  <c r="O2277" i="1" a="1"/>
  <c r="N2277" i="1"/>
  <c r="M2277" i="1"/>
  <c r="O2276" i="1" a="1"/>
  <c r="N2276" i="1"/>
  <c r="M2276" i="1"/>
  <c r="O2275" i="1" a="1"/>
  <c r="N2275" i="1"/>
  <c r="M2275" i="1"/>
  <c r="O2274" i="1" a="1"/>
  <c r="N2274" i="1"/>
  <c r="M2274" i="1"/>
  <c r="O2273" i="1" a="1"/>
  <c r="N2273" i="1"/>
  <c r="M2273" i="1"/>
  <c r="O2272" i="1" a="1"/>
  <c r="N2272" i="1"/>
  <c r="M2272" i="1"/>
  <c r="O2271" i="1" a="1"/>
  <c r="N2271" i="1"/>
  <c r="M2271" i="1"/>
  <c r="O2270" i="1" a="1"/>
  <c r="N2270" i="1"/>
  <c r="M2270" i="1"/>
  <c r="O2269" i="1" a="1"/>
  <c r="N2269" i="1"/>
  <c r="M2269" i="1"/>
  <c r="O2268" i="1" a="1"/>
  <c r="N2268" i="1"/>
  <c r="M2268" i="1"/>
  <c r="O2267" i="1" a="1"/>
  <c r="N2267" i="1"/>
  <c r="M2267" i="1"/>
  <c r="O2266" i="1" a="1"/>
  <c r="N2266" i="1"/>
  <c r="M2266" i="1"/>
  <c r="O2265" i="1" a="1"/>
  <c r="N2265" i="1"/>
  <c r="M2265" i="1"/>
  <c r="O2264" i="1" a="1"/>
  <c r="N2264" i="1"/>
  <c r="M2264" i="1"/>
  <c r="O2263" i="1" a="1"/>
  <c r="N2263" i="1"/>
  <c r="M2263" i="1"/>
  <c r="O2262" i="1" a="1"/>
  <c r="N2262" i="1"/>
  <c r="M2262" i="1"/>
  <c r="O2261" i="1" a="1"/>
  <c r="N2261" i="1"/>
  <c r="M2261" i="1"/>
  <c r="O2260" i="1" a="1"/>
  <c r="N2260" i="1"/>
  <c r="M2260" i="1"/>
  <c r="O2259" i="1" a="1"/>
  <c r="N2259" i="1"/>
  <c r="M2259" i="1"/>
  <c r="O2258" i="1" a="1"/>
  <c r="N2258" i="1"/>
  <c r="M2258" i="1"/>
  <c r="O2257" i="1" a="1"/>
  <c r="N2257" i="1"/>
  <c r="M2257" i="1"/>
  <c r="O2256" i="1" a="1"/>
  <c r="N2256" i="1"/>
  <c r="M2256" i="1"/>
  <c r="O2255" i="1" a="1"/>
  <c r="N2255" i="1"/>
  <c r="M2255" i="1"/>
  <c r="O2254" i="1" a="1"/>
  <c r="N2254" i="1"/>
  <c r="M2254" i="1"/>
  <c r="O2253" i="1" a="1"/>
  <c r="N2253" i="1"/>
  <c r="M2253" i="1"/>
  <c r="O2252" i="1" a="1"/>
  <c r="N2252" i="1"/>
  <c r="M2252" i="1"/>
  <c r="O2251" i="1" a="1"/>
  <c r="N2251" i="1"/>
  <c r="M2251" i="1"/>
  <c r="O2250" i="1" a="1"/>
  <c r="N2250" i="1"/>
  <c r="M2250" i="1"/>
  <c r="O2249" i="1" a="1"/>
  <c r="N2249" i="1"/>
  <c r="M2249" i="1"/>
  <c r="O2248" i="1" a="1"/>
  <c r="N2248" i="1"/>
  <c r="M2248" i="1"/>
  <c r="O2247" i="1" a="1"/>
  <c r="N2247" i="1"/>
  <c r="M2247" i="1"/>
  <c r="O2246" i="1" a="1"/>
  <c r="N2246" i="1"/>
  <c r="M2246" i="1"/>
  <c r="O2245" i="1" a="1"/>
  <c r="N2245" i="1"/>
  <c r="M2245" i="1"/>
  <c r="O2244" i="1" a="1"/>
  <c r="N2244" i="1"/>
  <c r="M2244" i="1"/>
  <c r="O2243" i="1" a="1"/>
  <c r="N2243" i="1"/>
  <c r="M2243" i="1"/>
  <c r="O2242" i="1" a="1"/>
  <c r="N2242" i="1"/>
  <c r="M2242" i="1"/>
  <c r="O2241" i="1" a="1"/>
  <c r="N2241" i="1"/>
  <c r="M2241" i="1"/>
  <c r="O2240" i="1" a="1"/>
  <c r="N2240" i="1"/>
  <c r="M2240" i="1"/>
  <c r="O2239" i="1" a="1"/>
  <c r="N2239" i="1"/>
  <c r="M2239" i="1"/>
  <c r="O2238" i="1" a="1"/>
  <c r="N2238" i="1"/>
  <c r="M2238" i="1"/>
  <c r="O2237" i="1" a="1"/>
  <c r="N2237" i="1"/>
  <c r="M2237" i="1"/>
  <c r="O2236" i="1" a="1"/>
  <c r="N2236" i="1"/>
  <c r="M2236" i="1"/>
  <c r="O2235" i="1" a="1"/>
  <c r="N2235" i="1"/>
  <c r="M2235" i="1"/>
  <c r="O2234" i="1" a="1"/>
  <c r="N2234" i="1"/>
  <c r="M2234" i="1"/>
  <c r="O2233" i="1" a="1"/>
  <c r="N2233" i="1"/>
  <c r="M2233" i="1"/>
  <c r="O2232" i="1" a="1"/>
  <c r="N2232" i="1"/>
  <c r="M2232" i="1"/>
  <c r="O2231" i="1" a="1"/>
  <c r="N2231" i="1"/>
  <c r="M2231" i="1"/>
  <c r="O2230" i="1" a="1"/>
  <c r="N2230" i="1"/>
  <c r="M2230" i="1"/>
  <c r="O2229" i="1" a="1"/>
  <c r="N2229" i="1"/>
  <c r="M2229" i="1"/>
  <c r="O2228" i="1" a="1"/>
  <c r="N2228" i="1"/>
  <c r="M2228" i="1"/>
  <c r="O2227" i="1" a="1"/>
  <c r="N2227" i="1"/>
  <c r="M2227" i="1"/>
  <c r="O2226" i="1" a="1"/>
  <c r="N2226" i="1"/>
  <c r="M2226" i="1"/>
  <c r="O2225" i="1" a="1"/>
  <c r="N2225" i="1"/>
  <c r="M2225" i="1"/>
  <c r="O2224" i="1" a="1"/>
  <c r="N2224" i="1"/>
  <c r="M2224" i="1"/>
  <c r="O2223" i="1" a="1"/>
  <c r="N2223" i="1"/>
  <c r="M2223" i="1"/>
  <c r="O2222" i="1" a="1"/>
  <c r="N2222" i="1"/>
  <c r="M2222" i="1"/>
  <c r="O2221" i="1" a="1"/>
  <c r="N2221" i="1"/>
  <c r="M2221" i="1"/>
  <c r="O2220" i="1" a="1"/>
  <c r="N2220" i="1"/>
  <c r="M2220" i="1"/>
  <c r="O2219" i="1" a="1"/>
  <c r="N2219" i="1"/>
  <c r="M2219" i="1"/>
  <c r="O2218" i="1" a="1"/>
  <c r="N2218" i="1"/>
  <c r="M2218" i="1"/>
  <c r="O2217" i="1" a="1"/>
  <c r="N2217" i="1"/>
  <c r="M2217" i="1"/>
  <c r="O2216" i="1" a="1"/>
  <c r="N2216" i="1"/>
  <c r="M2216" i="1"/>
  <c r="O2215" i="1" a="1"/>
  <c r="N2215" i="1"/>
  <c r="M2215" i="1"/>
  <c r="O2214" i="1" a="1"/>
  <c r="N2214" i="1"/>
  <c r="M2214" i="1"/>
  <c r="O2213" i="1" a="1"/>
  <c r="N2213" i="1"/>
  <c r="M2213" i="1"/>
  <c r="O2212" i="1" a="1"/>
  <c r="N2212" i="1"/>
  <c r="M2212" i="1"/>
  <c r="O2211" i="1" a="1"/>
  <c r="N2211" i="1"/>
  <c r="M2211" i="1"/>
  <c r="O2210" i="1" a="1"/>
  <c r="N2210" i="1"/>
  <c r="M2210" i="1"/>
  <c r="O2209" i="1" a="1"/>
  <c r="N2209" i="1"/>
  <c r="M2209" i="1"/>
  <c r="O2208" i="1" a="1"/>
  <c r="N2208" i="1"/>
  <c r="M2208" i="1"/>
  <c r="O2207" i="1" a="1"/>
  <c r="N2207" i="1"/>
  <c r="M2207" i="1"/>
  <c r="O2206" i="1" a="1"/>
  <c r="N2206" i="1"/>
  <c r="M2206" i="1"/>
  <c r="O2205" i="1" a="1"/>
  <c r="N2205" i="1"/>
  <c r="M2205" i="1"/>
  <c r="O2204" i="1" a="1"/>
  <c r="N2204" i="1"/>
  <c r="M2204" i="1"/>
  <c r="O2203" i="1" a="1"/>
  <c r="N2203" i="1"/>
  <c r="M2203" i="1"/>
  <c r="O2202" i="1" a="1"/>
  <c r="N2202" i="1"/>
  <c r="M2202" i="1"/>
  <c r="O2201" i="1" a="1"/>
  <c r="N2201" i="1"/>
  <c r="M2201" i="1"/>
  <c r="O2200" i="1" a="1"/>
  <c r="N2200" i="1"/>
  <c r="M2200" i="1"/>
  <c r="O2199" i="1" a="1"/>
  <c r="N2199" i="1"/>
  <c r="M2199" i="1"/>
  <c r="O2198" i="1" a="1"/>
  <c r="N2198" i="1"/>
  <c r="M2198" i="1"/>
  <c r="O2197" i="1" a="1"/>
  <c r="N2197" i="1"/>
  <c r="M2197" i="1"/>
  <c r="O2196" i="1" a="1"/>
  <c r="N2196" i="1"/>
  <c r="M2196" i="1"/>
  <c r="O2195" i="1" a="1"/>
  <c r="N2195" i="1"/>
  <c r="M2195" i="1"/>
  <c r="O2194" i="1" a="1"/>
  <c r="N2194" i="1"/>
  <c r="M2194" i="1"/>
  <c r="O2193" i="1" a="1"/>
  <c r="N2193" i="1"/>
  <c r="M2193" i="1"/>
  <c r="O2192" i="1" a="1"/>
  <c r="N2192" i="1"/>
  <c r="M2192" i="1"/>
  <c r="O2191" i="1" a="1"/>
  <c r="N2191" i="1"/>
  <c r="M2191" i="1"/>
  <c r="O2190" i="1" a="1"/>
  <c r="N2190" i="1"/>
  <c r="M2190" i="1"/>
  <c r="O2189" i="1" a="1"/>
  <c r="N2189" i="1"/>
  <c r="M2189" i="1"/>
  <c r="O2188" i="1" a="1"/>
  <c r="N2188" i="1"/>
  <c r="M2188" i="1"/>
  <c r="O2187" i="1" a="1"/>
  <c r="N2187" i="1"/>
  <c r="M2187" i="1"/>
  <c r="O2186" i="1" a="1"/>
  <c r="N2186" i="1"/>
  <c r="M2186" i="1"/>
  <c r="O2185" i="1" a="1"/>
  <c r="N2185" i="1"/>
  <c r="M2185" i="1"/>
  <c r="O2184" i="1" a="1"/>
  <c r="N2184" i="1"/>
  <c r="M2184" i="1"/>
  <c r="O2183" i="1" a="1"/>
  <c r="N2183" i="1"/>
  <c r="M2183" i="1"/>
  <c r="O2182" i="1" a="1"/>
  <c r="N2182" i="1"/>
  <c r="M2182" i="1"/>
  <c r="O2181" i="1" a="1"/>
  <c r="N2181" i="1"/>
  <c r="M2181" i="1"/>
  <c r="O2180" i="1" a="1"/>
  <c r="N2180" i="1"/>
  <c r="M2180" i="1"/>
  <c r="O2179" i="1" a="1"/>
  <c r="N2179" i="1"/>
  <c r="M2179" i="1"/>
  <c r="O2178" i="1" a="1"/>
  <c r="N2178" i="1"/>
  <c r="M2178" i="1"/>
  <c r="O2177" i="1" a="1"/>
  <c r="N2177" i="1"/>
  <c r="M2177" i="1"/>
  <c r="O2176" i="1" a="1"/>
  <c r="N2176" i="1"/>
  <c r="M2176" i="1"/>
  <c r="O2175" i="1" a="1"/>
  <c r="N2175" i="1"/>
  <c r="M2175" i="1"/>
  <c r="O2174" i="1" a="1"/>
  <c r="N2174" i="1"/>
  <c r="M2174" i="1"/>
  <c r="O2173" i="1" a="1"/>
  <c r="N2173" i="1"/>
  <c r="M2173" i="1"/>
  <c r="O2172" i="1" a="1"/>
  <c r="N2172" i="1"/>
  <c r="M2172" i="1"/>
  <c r="O2171" i="1" a="1"/>
  <c r="N2171" i="1"/>
  <c r="M2171" i="1"/>
  <c r="O2170" i="1" a="1"/>
  <c r="N2170" i="1"/>
  <c r="M2170" i="1"/>
  <c r="O2169" i="1" a="1"/>
  <c r="N2169" i="1"/>
  <c r="M2169" i="1"/>
  <c r="O2168" i="1" a="1"/>
  <c r="N2168" i="1"/>
  <c r="M2168" i="1"/>
  <c r="O2167" i="1" a="1"/>
  <c r="N2167" i="1"/>
  <c r="M2167" i="1"/>
  <c r="O2166" i="1" a="1"/>
  <c r="N2166" i="1"/>
  <c r="M2166" i="1"/>
  <c r="O2165" i="1" a="1"/>
  <c r="N2165" i="1"/>
  <c r="M2165" i="1"/>
  <c r="O2164" i="1" a="1"/>
  <c r="N2164" i="1"/>
  <c r="M2164" i="1"/>
  <c r="O2163" i="1" a="1"/>
  <c r="N2163" i="1"/>
  <c r="M2163" i="1"/>
  <c r="O2162" i="1" a="1"/>
  <c r="N2162" i="1"/>
  <c r="M2162" i="1"/>
  <c r="O2161" i="1" a="1"/>
  <c r="N2161" i="1"/>
  <c r="M2161" i="1"/>
  <c r="O2160" i="1" a="1"/>
  <c r="N2160" i="1"/>
  <c r="M2160" i="1"/>
  <c r="O2159" i="1" a="1"/>
  <c r="N2159" i="1"/>
  <c r="M2159" i="1"/>
  <c r="O2158" i="1" a="1"/>
  <c r="N2158" i="1"/>
  <c r="M2158" i="1"/>
  <c r="O2157" i="1" a="1"/>
  <c r="N2157" i="1"/>
  <c r="M2157" i="1"/>
  <c r="O2156" i="1" a="1"/>
  <c r="N2156" i="1"/>
  <c r="M2156" i="1"/>
  <c r="O2155" i="1" a="1"/>
  <c r="N2155" i="1"/>
  <c r="M2155" i="1"/>
  <c r="O2154" i="1" a="1"/>
  <c r="N2154" i="1"/>
  <c r="M2154" i="1"/>
  <c r="O2153" i="1" a="1"/>
  <c r="N2153" i="1"/>
  <c r="M2153" i="1"/>
  <c r="O2152" i="1" a="1"/>
  <c r="N2152" i="1"/>
  <c r="M2152" i="1"/>
  <c r="O2151" i="1" a="1"/>
  <c r="N2151" i="1"/>
  <c r="M2151" i="1"/>
  <c r="O2150" i="1" a="1"/>
  <c r="N2150" i="1"/>
  <c r="M2150" i="1"/>
  <c r="O2149" i="1" a="1"/>
  <c r="N2149" i="1"/>
  <c r="M2149" i="1"/>
  <c r="O2148" i="1" a="1"/>
  <c r="N2148" i="1"/>
  <c r="M2148" i="1"/>
  <c r="O2147" i="1" a="1"/>
  <c r="N2147" i="1"/>
  <c r="M2147" i="1"/>
  <c r="O2146" i="1" a="1"/>
  <c r="N2146" i="1"/>
  <c r="M2146" i="1"/>
  <c r="O2145" i="1" a="1"/>
  <c r="N2145" i="1"/>
  <c r="M2145" i="1"/>
  <c r="O2144" i="1" a="1"/>
  <c r="N2144" i="1"/>
  <c r="M2144" i="1"/>
  <c r="O2143" i="1" a="1"/>
  <c r="N2143" i="1"/>
  <c r="M2143" i="1"/>
  <c r="O2142" i="1" a="1"/>
  <c r="N2142" i="1"/>
  <c r="M2142" i="1"/>
  <c r="O2141" i="1" a="1"/>
  <c r="N2141" i="1"/>
  <c r="M2141" i="1"/>
  <c r="O2140" i="1" a="1"/>
  <c r="N2140" i="1"/>
  <c r="M2140" i="1"/>
  <c r="O2139" i="1" a="1"/>
  <c r="N2139" i="1"/>
  <c r="M2139" i="1"/>
  <c r="O2138" i="1" a="1"/>
  <c r="N2138" i="1"/>
  <c r="M2138" i="1"/>
  <c r="O2137" i="1" a="1"/>
  <c r="N2137" i="1"/>
  <c r="M2137" i="1"/>
  <c r="O2136" i="1" a="1"/>
  <c r="N2136" i="1"/>
  <c r="M2136" i="1"/>
  <c r="O2135" i="1" a="1"/>
  <c r="N2135" i="1"/>
  <c r="M2135" i="1"/>
  <c r="O2134" i="1" a="1"/>
  <c r="N2134" i="1"/>
  <c r="M2134" i="1"/>
  <c r="O2133" i="1" a="1"/>
  <c r="N2133" i="1"/>
  <c r="M2133" i="1"/>
  <c r="O2132" i="1" a="1"/>
  <c r="N2132" i="1"/>
  <c r="M2132" i="1"/>
  <c r="O2131" i="1" a="1"/>
  <c r="N2131" i="1"/>
  <c r="M2131" i="1"/>
  <c r="O2130" i="1" a="1"/>
  <c r="N2130" i="1"/>
  <c r="M2130" i="1"/>
  <c r="O2129" i="1" a="1"/>
  <c r="N2129" i="1"/>
  <c r="M2129" i="1"/>
  <c r="O2128" i="1" a="1"/>
  <c r="N2128" i="1"/>
  <c r="M2128" i="1"/>
  <c r="O2127" i="1" a="1"/>
  <c r="N2127" i="1"/>
  <c r="M2127" i="1"/>
  <c r="O2126" i="1" a="1"/>
  <c r="N2126" i="1"/>
  <c r="M2126" i="1"/>
  <c r="O2125" i="1" a="1"/>
  <c r="N2125" i="1"/>
  <c r="M2125" i="1"/>
  <c r="O2124" i="1" a="1"/>
  <c r="N2124" i="1"/>
  <c r="M2124" i="1"/>
  <c r="O2123" i="1" a="1"/>
  <c r="N2123" i="1"/>
  <c r="M2123" i="1"/>
  <c r="O2122" i="1" a="1"/>
  <c r="N2122" i="1"/>
  <c r="M2122" i="1"/>
  <c r="O2121" i="1" a="1"/>
  <c r="N2121" i="1"/>
  <c r="M2121" i="1"/>
  <c r="O2120" i="1" a="1"/>
  <c r="N2120" i="1"/>
  <c r="M2120" i="1"/>
  <c r="O2119" i="1" a="1"/>
  <c r="N2119" i="1"/>
  <c r="M2119" i="1"/>
  <c r="O2118" i="1" a="1"/>
  <c r="N2118" i="1"/>
  <c r="M2118" i="1"/>
  <c r="O2117" i="1" a="1"/>
  <c r="N2117" i="1"/>
  <c r="M2117" i="1"/>
  <c r="O2116" i="1" a="1"/>
  <c r="N2116" i="1"/>
  <c r="M2116" i="1"/>
  <c r="O2115" i="1" a="1"/>
  <c r="N2115" i="1"/>
  <c r="M2115" i="1"/>
  <c r="O2114" i="1" a="1"/>
  <c r="N2114" i="1"/>
  <c r="M2114" i="1"/>
  <c r="O2113" i="1" a="1"/>
  <c r="N2113" i="1"/>
  <c r="M2113" i="1"/>
  <c r="O2112" i="1" a="1"/>
  <c r="N2112" i="1"/>
  <c r="M2112" i="1"/>
  <c r="O2111" i="1" a="1"/>
  <c r="N2111" i="1"/>
  <c r="M2111" i="1"/>
  <c r="O2110" i="1" a="1"/>
  <c r="N2110" i="1"/>
  <c r="M2110" i="1"/>
  <c r="O2109" i="1" a="1"/>
  <c r="N2109" i="1"/>
  <c r="M2109" i="1"/>
  <c r="O2108" i="1" a="1"/>
  <c r="N2108" i="1"/>
  <c r="M2108" i="1"/>
  <c r="O2107" i="1" a="1"/>
  <c r="N2107" i="1"/>
  <c r="M2107" i="1"/>
  <c r="O2106" i="1" a="1"/>
  <c r="N2106" i="1"/>
  <c r="M2106" i="1"/>
  <c r="O2105" i="1" a="1"/>
  <c r="N2105" i="1"/>
  <c r="M2105" i="1"/>
  <c r="O2104" i="1" a="1"/>
  <c r="N2104" i="1"/>
  <c r="M2104" i="1"/>
  <c r="O2103" i="1" a="1"/>
  <c r="N2103" i="1"/>
  <c r="M2103" i="1"/>
  <c r="O2102" i="1" a="1"/>
  <c r="N2102" i="1"/>
  <c r="M2102" i="1"/>
  <c r="O2101" i="1" a="1"/>
  <c r="N2101" i="1"/>
  <c r="M2101" i="1"/>
  <c r="O2100" i="1" a="1"/>
  <c r="N2100" i="1"/>
  <c r="M2100" i="1"/>
  <c r="O2099" i="1" a="1"/>
  <c r="N2099" i="1"/>
  <c r="M2099" i="1"/>
  <c r="O2098" i="1" a="1"/>
  <c r="N2098" i="1"/>
  <c r="M2098" i="1"/>
  <c r="O2097" i="1" a="1"/>
  <c r="N2097" i="1"/>
  <c r="M2097" i="1"/>
  <c r="O2096" i="1" a="1"/>
  <c r="N2096" i="1"/>
  <c r="M2096" i="1"/>
  <c r="O2095" i="1" a="1"/>
  <c r="N2095" i="1"/>
  <c r="M2095" i="1"/>
  <c r="O2094" i="1" a="1"/>
  <c r="N2094" i="1"/>
  <c r="M2094" i="1"/>
  <c r="O2093" i="1" a="1"/>
  <c r="N2093" i="1"/>
  <c r="M2093" i="1"/>
  <c r="O2092" i="1" a="1"/>
  <c r="N2092" i="1"/>
  <c r="M2092" i="1"/>
  <c r="O2091" i="1" a="1"/>
  <c r="N2091" i="1"/>
  <c r="M2091" i="1"/>
  <c r="O2090" i="1" a="1"/>
  <c r="N2090" i="1"/>
  <c r="M2090" i="1"/>
  <c r="O2089" i="1" a="1"/>
  <c r="N2089" i="1"/>
  <c r="M2089" i="1"/>
  <c r="O2088" i="1" a="1"/>
  <c r="N2088" i="1"/>
  <c r="M2088" i="1"/>
  <c r="O2087" i="1" a="1"/>
  <c r="N2087" i="1"/>
  <c r="M2087" i="1"/>
  <c r="O2086" i="1" a="1"/>
  <c r="N2086" i="1"/>
  <c r="M2086" i="1"/>
  <c r="O2085" i="1" a="1"/>
  <c r="N2085" i="1"/>
  <c r="M2085" i="1"/>
  <c r="O2084" i="1" a="1"/>
  <c r="N2084" i="1"/>
  <c r="M2084" i="1"/>
  <c r="O2083" i="1" a="1"/>
  <c r="N2083" i="1"/>
  <c r="M2083" i="1"/>
  <c r="O2082" i="1" a="1"/>
  <c r="N2082" i="1"/>
  <c r="M2082" i="1"/>
  <c r="O2081" i="1" a="1"/>
  <c r="N2081" i="1"/>
  <c r="M2081" i="1"/>
  <c r="O2080" i="1" a="1"/>
  <c r="N2080" i="1"/>
  <c r="M2080" i="1"/>
  <c r="O2079" i="1" a="1"/>
  <c r="N2079" i="1"/>
  <c r="M2079" i="1"/>
  <c r="O2078" i="1" a="1"/>
  <c r="N2078" i="1"/>
  <c r="M2078" i="1"/>
  <c r="O2077" i="1" a="1"/>
  <c r="N2077" i="1"/>
  <c r="M2077" i="1"/>
  <c r="O2076" i="1" a="1"/>
  <c r="N2076" i="1"/>
  <c r="M2076" i="1"/>
  <c r="O2075" i="1" a="1"/>
  <c r="N2075" i="1"/>
  <c r="M2075" i="1"/>
  <c r="O2074" i="1" a="1"/>
  <c r="N2074" i="1"/>
  <c r="M2074" i="1"/>
  <c r="O2073" i="1" a="1"/>
  <c r="N2073" i="1"/>
  <c r="M2073" i="1"/>
  <c r="O2072" i="1" a="1"/>
  <c r="N2072" i="1"/>
  <c r="M2072" i="1"/>
  <c r="O2071" i="1" a="1"/>
  <c r="N2071" i="1"/>
  <c r="M2071" i="1"/>
  <c r="O2070" i="1" a="1"/>
  <c r="N2070" i="1"/>
  <c r="M2070" i="1"/>
  <c r="O2069" i="1" a="1"/>
  <c r="N2069" i="1"/>
  <c r="M2069" i="1"/>
  <c r="O2068" i="1" a="1"/>
  <c r="N2068" i="1"/>
  <c r="M2068" i="1"/>
  <c r="O2067" i="1" a="1"/>
  <c r="N2067" i="1"/>
  <c r="M2067" i="1"/>
  <c r="O2066" i="1" a="1"/>
  <c r="N2066" i="1"/>
  <c r="M2066" i="1"/>
  <c r="O2065" i="1" a="1"/>
  <c r="N2065" i="1"/>
  <c r="M2065" i="1"/>
  <c r="O2064" i="1" a="1"/>
  <c r="N2064" i="1"/>
  <c r="M2064" i="1"/>
  <c r="O2063" i="1" a="1"/>
  <c r="N2063" i="1"/>
  <c r="M2063" i="1"/>
  <c r="O2062" i="1" a="1"/>
  <c r="N2062" i="1"/>
  <c r="M2062" i="1"/>
  <c r="O2061" i="1" a="1"/>
  <c r="N2061" i="1"/>
  <c r="M2061" i="1"/>
  <c r="O2060" i="1" a="1"/>
  <c r="N2060" i="1"/>
  <c r="M2060" i="1"/>
  <c r="O2059" i="1" a="1"/>
  <c r="N2059" i="1"/>
  <c r="M2059" i="1"/>
  <c r="O2058" i="1" a="1"/>
  <c r="N2058" i="1"/>
  <c r="M2058" i="1"/>
  <c r="O2057" i="1" a="1"/>
  <c r="N2057" i="1"/>
  <c r="M2057" i="1"/>
  <c r="O2056" i="1" a="1"/>
  <c r="N2056" i="1"/>
  <c r="M2056" i="1"/>
  <c r="O2055" i="1" a="1"/>
  <c r="N2055" i="1"/>
  <c r="M2055" i="1"/>
  <c r="O2054" i="1" a="1"/>
  <c r="N2054" i="1"/>
  <c r="M2054" i="1"/>
  <c r="O2053" i="1" a="1"/>
  <c r="N2053" i="1"/>
  <c r="M2053" i="1"/>
  <c r="O2052" i="1" a="1"/>
  <c r="N2052" i="1"/>
  <c r="M2052" i="1"/>
  <c r="O2051" i="1" a="1"/>
  <c r="N2051" i="1"/>
  <c r="M2051" i="1"/>
  <c r="O2050" i="1" a="1"/>
  <c r="N2050" i="1"/>
  <c r="M2050" i="1"/>
  <c r="O2049" i="1" a="1"/>
  <c r="N2049" i="1"/>
  <c r="M2049" i="1"/>
  <c r="O2048" i="1" a="1"/>
  <c r="N2048" i="1"/>
  <c r="M2048" i="1"/>
  <c r="O2047" i="1" a="1"/>
  <c r="N2047" i="1"/>
  <c r="M2047" i="1"/>
  <c r="O2046" i="1" a="1"/>
  <c r="N2046" i="1"/>
  <c r="M2046" i="1"/>
  <c r="O2045" i="1" a="1"/>
  <c r="N2045" i="1"/>
  <c r="M2045" i="1"/>
  <c r="O2044" i="1" a="1"/>
  <c r="N2044" i="1"/>
  <c r="M2044" i="1"/>
  <c r="O2043" i="1" a="1"/>
  <c r="N2043" i="1"/>
  <c r="M2043" i="1"/>
  <c r="O2042" i="1" a="1"/>
  <c r="N2042" i="1"/>
  <c r="M2042" i="1"/>
  <c r="O2041" i="1" a="1"/>
  <c r="N2041" i="1"/>
  <c r="M2041" i="1"/>
  <c r="O2040" i="1" a="1"/>
  <c r="N2040" i="1"/>
  <c r="M2040" i="1"/>
  <c r="O2039" i="1" a="1"/>
  <c r="N2039" i="1"/>
  <c r="M2039" i="1"/>
  <c r="O2038" i="1" a="1"/>
  <c r="N2038" i="1"/>
  <c r="M2038" i="1"/>
  <c r="O2037" i="1" a="1"/>
  <c r="N2037" i="1"/>
  <c r="M2037" i="1"/>
  <c r="O2036" i="1" a="1"/>
  <c r="N2036" i="1"/>
  <c r="M2036" i="1"/>
  <c r="O2035" i="1" a="1"/>
  <c r="N2035" i="1"/>
  <c r="M2035" i="1"/>
  <c r="O2034" i="1" a="1"/>
  <c r="N2034" i="1"/>
  <c r="M2034" i="1"/>
  <c r="O2033" i="1" a="1"/>
  <c r="N2033" i="1"/>
  <c r="M2033" i="1"/>
  <c r="O2032" i="1" a="1"/>
  <c r="N2032" i="1"/>
  <c r="M2032" i="1"/>
  <c r="O2031" i="1" a="1"/>
  <c r="N2031" i="1"/>
  <c r="M2031" i="1"/>
  <c r="O2030" i="1" a="1"/>
  <c r="N2030" i="1"/>
  <c r="M2030" i="1"/>
  <c r="O2029" i="1" a="1"/>
  <c r="N2029" i="1"/>
  <c r="M2029" i="1"/>
  <c r="O2028" i="1" a="1"/>
  <c r="N2028" i="1"/>
  <c r="M2028" i="1"/>
  <c r="O2027" i="1" a="1"/>
  <c r="N2027" i="1"/>
  <c r="M2027" i="1"/>
  <c r="O2026" i="1" a="1"/>
  <c r="N2026" i="1"/>
  <c r="M2026" i="1"/>
  <c r="O2025" i="1" a="1"/>
  <c r="N2025" i="1"/>
  <c r="M2025" i="1"/>
  <c r="O2024" i="1" a="1"/>
  <c r="N2024" i="1"/>
  <c r="M2024" i="1"/>
  <c r="O2023" i="1" a="1"/>
  <c r="N2023" i="1"/>
  <c r="M2023" i="1"/>
  <c r="O2022" i="1" a="1"/>
  <c r="N2022" i="1"/>
  <c r="M2022" i="1"/>
  <c r="O2021" i="1" a="1"/>
  <c r="N2021" i="1"/>
  <c r="M2021" i="1"/>
  <c r="O2020" i="1" a="1"/>
  <c r="N2020" i="1"/>
  <c r="M2020" i="1"/>
  <c r="O2019" i="1" a="1"/>
  <c r="N2019" i="1"/>
  <c r="M2019" i="1"/>
  <c r="O2018" i="1" a="1"/>
  <c r="N2018" i="1"/>
  <c r="M2018" i="1"/>
  <c r="O2017" i="1" a="1"/>
  <c r="N2017" i="1"/>
  <c r="M2017" i="1"/>
  <c r="O2016" i="1" a="1"/>
  <c r="N2016" i="1"/>
  <c r="M2016" i="1"/>
  <c r="O2015" i="1" a="1"/>
  <c r="N2015" i="1"/>
  <c r="M2015" i="1"/>
  <c r="O2014" i="1" a="1"/>
  <c r="N2014" i="1"/>
  <c r="M2014" i="1"/>
  <c r="O2013" i="1" a="1"/>
  <c r="N2013" i="1"/>
  <c r="M2013" i="1"/>
  <c r="O2012" i="1" a="1"/>
  <c r="N2012" i="1"/>
  <c r="M2012" i="1"/>
  <c r="O2011" i="1" a="1"/>
  <c r="N2011" i="1"/>
  <c r="M2011" i="1"/>
  <c r="O2010" i="1" a="1"/>
  <c r="N2010" i="1"/>
  <c r="M2010" i="1"/>
  <c r="O2009" i="1" a="1"/>
  <c r="N2009" i="1"/>
  <c r="M2009" i="1"/>
  <c r="O2008" i="1" a="1"/>
  <c r="N2008" i="1"/>
  <c r="M2008" i="1"/>
  <c r="O2007" i="1" a="1"/>
  <c r="N2007" i="1"/>
  <c r="M2007" i="1"/>
  <c r="O2006" i="1" a="1"/>
  <c r="N2006" i="1"/>
  <c r="M2006" i="1"/>
  <c r="O2005" i="1" a="1"/>
  <c r="N2005" i="1"/>
  <c r="M2005" i="1"/>
  <c r="O2004" i="1" a="1"/>
  <c r="N2004" i="1"/>
  <c r="M2004" i="1"/>
  <c r="O2003" i="1" a="1"/>
  <c r="N2003" i="1"/>
  <c r="M2003" i="1"/>
  <c r="O2002" i="1" a="1"/>
  <c r="N2002" i="1"/>
  <c r="M2002" i="1"/>
  <c r="O2001" i="1" a="1"/>
  <c r="N2001" i="1"/>
  <c r="M2001" i="1"/>
  <c r="O2000" i="1" a="1"/>
  <c r="N2000" i="1"/>
  <c r="M2000" i="1"/>
  <c r="O1999" i="1" a="1"/>
  <c r="N1999" i="1"/>
  <c r="M1999" i="1"/>
  <c r="O1998" i="1" a="1"/>
  <c r="N1998" i="1"/>
  <c r="M1998" i="1"/>
  <c r="O1997" i="1" a="1"/>
  <c r="N1997" i="1"/>
  <c r="M1997" i="1"/>
  <c r="O1996" i="1" a="1"/>
  <c r="N1996" i="1"/>
  <c r="M1996" i="1"/>
  <c r="O1995" i="1" a="1"/>
  <c r="N1995" i="1"/>
  <c r="M1995" i="1"/>
  <c r="O1994" i="1" a="1"/>
  <c r="N1994" i="1"/>
  <c r="M1994" i="1"/>
  <c r="O1993" i="1" a="1"/>
  <c r="N1993" i="1"/>
  <c r="M1993" i="1"/>
  <c r="O1992" i="1" a="1"/>
  <c r="N1992" i="1"/>
  <c r="M1992" i="1"/>
  <c r="O1991" i="1" a="1"/>
  <c r="N1991" i="1"/>
  <c r="M1991" i="1"/>
  <c r="O1990" i="1" a="1"/>
  <c r="N1990" i="1"/>
  <c r="M1990" i="1"/>
  <c r="O1989" i="1" a="1"/>
  <c r="N1989" i="1"/>
  <c r="M1989" i="1"/>
  <c r="O1988" i="1" a="1"/>
  <c r="N1988" i="1"/>
  <c r="M1988" i="1"/>
  <c r="O1987" i="1" a="1"/>
  <c r="N1987" i="1"/>
  <c r="M1987" i="1"/>
  <c r="O1986" i="1" a="1"/>
  <c r="N1986" i="1"/>
  <c r="M1986" i="1"/>
  <c r="O1985" i="1" a="1"/>
  <c r="N1985" i="1"/>
  <c r="M1985" i="1"/>
  <c r="O1984" i="1" a="1"/>
  <c r="N1984" i="1"/>
  <c r="M1984" i="1"/>
  <c r="O1983" i="1" a="1"/>
  <c r="N1983" i="1"/>
  <c r="M1983" i="1"/>
  <c r="O1982" i="1" a="1"/>
  <c r="N1982" i="1"/>
  <c r="M1982" i="1"/>
  <c r="O1981" i="1" a="1"/>
  <c r="N1981" i="1"/>
  <c r="M1981" i="1"/>
  <c r="O1980" i="1" a="1"/>
  <c r="N1980" i="1"/>
  <c r="M1980" i="1"/>
  <c r="O1979" i="1" a="1"/>
  <c r="N1979" i="1"/>
  <c r="M1979" i="1"/>
  <c r="O1978" i="1" a="1"/>
  <c r="N1978" i="1"/>
  <c r="M1978" i="1"/>
  <c r="O1977" i="1" a="1"/>
  <c r="N1977" i="1"/>
  <c r="M1977" i="1"/>
  <c r="O1976" i="1" a="1"/>
  <c r="N1976" i="1"/>
  <c r="M1976" i="1"/>
  <c r="O1975" i="1" a="1"/>
  <c r="N1975" i="1"/>
  <c r="M1975" i="1"/>
  <c r="O1974" i="1" a="1"/>
  <c r="N1974" i="1"/>
  <c r="M1974" i="1"/>
  <c r="O1973" i="1" a="1"/>
  <c r="N1973" i="1"/>
  <c r="M1973" i="1"/>
  <c r="O1972" i="1" a="1"/>
  <c r="N1972" i="1"/>
  <c r="M1972" i="1"/>
  <c r="O1971" i="1" a="1"/>
  <c r="N1971" i="1"/>
  <c r="M1971" i="1"/>
  <c r="O1970" i="1" a="1"/>
  <c r="N1970" i="1"/>
  <c r="M1970" i="1"/>
  <c r="O1969" i="1" a="1"/>
  <c r="N1969" i="1"/>
  <c r="M1969" i="1"/>
  <c r="O1968" i="1" a="1"/>
  <c r="N1968" i="1"/>
  <c r="M1968" i="1"/>
  <c r="O1967" i="1" a="1"/>
  <c r="N1967" i="1"/>
  <c r="M1967" i="1"/>
  <c r="O1966" i="1" a="1"/>
  <c r="N1966" i="1"/>
  <c r="M1966" i="1"/>
  <c r="O1965" i="1" a="1"/>
  <c r="N1965" i="1"/>
  <c r="M1965" i="1"/>
  <c r="O1964" i="1" a="1"/>
  <c r="N1964" i="1"/>
  <c r="M1964" i="1"/>
  <c r="O1963" i="1" a="1"/>
  <c r="N1963" i="1"/>
  <c r="M1963" i="1"/>
  <c r="O1962" i="1" a="1"/>
  <c r="N1962" i="1"/>
  <c r="M1962" i="1"/>
  <c r="O1961" i="1" a="1"/>
  <c r="N1961" i="1"/>
  <c r="M1961" i="1"/>
  <c r="O1960" i="1" a="1"/>
  <c r="N1960" i="1"/>
  <c r="M1960" i="1"/>
  <c r="O1959" i="1" a="1"/>
  <c r="N1959" i="1"/>
  <c r="M1959" i="1"/>
  <c r="O1958" i="1" a="1"/>
  <c r="N1958" i="1"/>
  <c r="M1958" i="1"/>
  <c r="O1957" i="1" a="1"/>
  <c r="N1957" i="1"/>
  <c r="M1957" i="1"/>
  <c r="O1956" i="1" a="1"/>
  <c r="N1956" i="1"/>
  <c r="M1956" i="1"/>
  <c r="O1955" i="1" a="1"/>
  <c r="N1955" i="1"/>
  <c r="M1955" i="1"/>
  <c r="O1954" i="1" a="1"/>
  <c r="N1954" i="1"/>
  <c r="M1954" i="1"/>
  <c r="O1953" i="1" a="1"/>
  <c r="N1953" i="1"/>
  <c r="M1953" i="1"/>
  <c r="O1952" i="1" a="1"/>
  <c r="N1952" i="1"/>
  <c r="M1952" i="1"/>
  <c r="O1951" i="1" a="1"/>
  <c r="N1951" i="1"/>
  <c r="M1951" i="1"/>
  <c r="O1950" i="1" a="1"/>
  <c r="N1950" i="1"/>
  <c r="M1950" i="1"/>
  <c r="O1949" i="1" a="1"/>
  <c r="N1949" i="1"/>
  <c r="M1949" i="1"/>
  <c r="O1948" i="1" a="1"/>
  <c r="N1948" i="1"/>
  <c r="M1948" i="1"/>
  <c r="O1947" i="1" a="1"/>
  <c r="N1947" i="1"/>
  <c r="M1947" i="1"/>
  <c r="O1946" i="1" a="1"/>
  <c r="N1946" i="1"/>
  <c r="M1946" i="1"/>
  <c r="O1945" i="1" a="1"/>
  <c r="N1945" i="1"/>
  <c r="M1945" i="1"/>
  <c r="O1944" i="1" a="1"/>
  <c r="N1944" i="1"/>
  <c r="M1944" i="1"/>
  <c r="O1943" i="1" a="1"/>
  <c r="N1943" i="1"/>
  <c r="M1943" i="1"/>
  <c r="O1942" i="1" a="1"/>
  <c r="N1942" i="1"/>
  <c r="M1942" i="1"/>
  <c r="O1941" i="1" a="1"/>
  <c r="N1941" i="1"/>
  <c r="M1941" i="1"/>
  <c r="O1940" i="1" a="1"/>
  <c r="N1940" i="1"/>
  <c r="M1940" i="1"/>
  <c r="O1939" i="1" a="1"/>
  <c r="N1939" i="1"/>
  <c r="M1939" i="1"/>
  <c r="O1938" i="1" a="1"/>
  <c r="N1938" i="1"/>
  <c r="M1938" i="1"/>
  <c r="O1937" i="1" a="1"/>
  <c r="N1937" i="1"/>
  <c r="M1937" i="1"/>
  <c r="O1936" i="1" a="1"/>
  <c r="N1936" i="1"/>
  <c r="M1936" i="1"/>
  <c r="O1935" i="1" a="1"/>
  <c r="N1935" i="1"/>
  <c r="M1935" i="1"/>
  <c r="O1934" i="1" a="1"/>
  <c r="N1934" i="1"/>
  <c r="M1934" i="1"/>
  <c r="O1933" i="1" a="1"/>
  <c r="N1933" i="1"/>
  <c r="M1933" i="1"/>
  <c r="O1932" i="1" a="1"/>
  <c r="N1932" i="1"/>
  <c r="M1932" i="1"/>
  <c r="O1931" i="1" a="1"/>
  <c r="N1931" i="1"/>
  <c r="M1931" i="1"/>
  <c r="O1930" i="1" a="1"/>
  <c r="N1930" i="1"/>
  <c r="M1930" i="1"/>
  <c r="O1929" i="1" a="1"/>
  <c r="N1929" i="1"/>
  <c r="M1929" i="1"/>
  <c r="O1928" i="1" a="1"/>
  <c r="N1928" i="1"/>
  <c r="M1928" i="1"/>
  <c r="O1927" i="1" a="1"/>
  <c r="N1927" i="1"/>
  <c r="M1927" i="1"/>
  <c r="O1926" i="1" a="1"/>
  <c r="N1926" i="1"/>
  <c r="M1926" i="1"/>
  <c r="O1925" i="1" a="1"/>
  <c r="N1925" i="1"/>
  <c r="M1925" i="1"/>
  <c r="O1924" i="1" a="1"/>
  <c r="N1924" i="1"/>
  <c r="M1924" i="1"/>
  <c r="O1923" i="1" a="1"/>
  <c r="N1923" i="1"/>
  <c r="M1923" i="1"/>
  <c r="O1922" i="1" a="1"/>
  <c r="N1922" i="1"/>
  <c r="M1922" i="1"/>
  <c r="O1921" i="1" a="1"/>
  <c r="N1921" i="1"/>
  <c r="M1921" i="1"/>
  <c r="O1920" i="1" a="1"/>
  <c r="N1920" i="1"/>
  <c r="M1920" i="1"/>
  <c r="O1919" i="1" a="1"/>
  <c r="N1919" i="1"/>
  <c r="M1919" i="1"/>
  <c r="O1918" i="1" a="1"/>
  <c r="N1918" i="1"/>
  <c r="M1918" i="1"/>
  <c r="O1917" i="1" a="1"/>
  <c r="N1917" i="1"/>
  <c r="M1917" i="1"/>
  <c r="O1916" i="1" a="1"/>
  <c r="N1916" i="1"/>
  <c r="M1916" i="1"/>
  <c r="O1915" i="1" a="1"/>
  <c r="N1915" i="1"/>
  <c r="M1915" i="1"/>
  <c r="O1914" i="1" a="1"/>
  <c r="N1914" i="1"/>
  <c r="M1914" i="1"/>
  <c r="O1913" i="1" a="1"/>
  <c r="N1913" i="1"/>
  <c r="M1913" i="1"/>
  <c r="O1912" i="1" a="1"/>
  <c r="N1912" i="1"/>
  <c r="M1912" i="1"/>
  <c r="O1911" i="1" a="1"/>
  <c r="N1911" i="1"/>
  <c r="M1911" i="1"/>
  <c r="O1910" i="1" a="1"/>
  <c r="N1910" i="1"/>
  <c r="M1910" i="1"/>
  <c r="O1909" i="1" a="1"/>
  <c r="N1909" i="1"/>
  <c r="M1909" i="1"/>
  <c r="O1908" i="1" a="1"/>
  <c r="N1908" i="1"/>
  <c r="M1908" i="1"/>
  <c r="O1907" i="1" a="1"/>
  <c r="N1907" i="1"/>
  <c r="M1907" i="1"/>
  <c r="O1906" i="1" a="1"/>
  <c r="N1906" i="1"/>
  <c r="M1906" i="1"/>
  <c r="O1905" i="1" a="1"/>
  <c r="N1905" i="1"/>
  <c r="M1905" i="1"/>
  <c r="O1904" i="1" a="1"/>
  <c r="N1904" i="1"/>
  <c r="M1904" i="1"/>
  <c r="O1903" i="1" a="1"/>
  <c r="N1903" i="1"/>
  <c r="M1903" i="1"/>
  <c r="O1902" i="1" a="1"/>
  <c r="N1902" i="1"/>
  <c r="M1902" i="1"/>
  <c r="O1901" i="1" a="1"/>
  <c r="N1901" i="1"/>
  <c r="M1901" i="1"/>
  <c r="O1900" i="1" a="1"/>
  <c r="N1900" i="1"/>
  <c r="M1900" i="1"/>
  <c r="O1899" i="1" a="1"/>
  <c r="N1899" i="1"/>
  <c r="M1899" i="1"/>
  <c r="O1898" i="1" a="1"/>
  <c r="N1898" i="1"/>
  <c r="M1898" i="1"/>
  <c r="O1897" i="1" a="1"/>
  <c r="N1897" i="1"/>
  <c r="M1897" i="1"/>
  <c r="O1896" i="1" a="1"/>
  <c r="N1896" i="1"/>
  <c r="M1896" i="1"/>
  <c r="O1895" i="1" a="1"/>
  <c r="N1895" i="1"/>
  <c r="M1895" i="1"/>
  <c r="O1894" i="1" a="1"/>
  <c r="N1894" i="1"/>
  <c r="M1894" i="1"/>
  <c r="O1893" i="1" a="1"/>
  <c r="N1893" i="1"/>
  <c r="M1893" i="1"/>
  <c r="O1892" i="1" a="1"/>
  <c r="N1892" i="1"/>
  <c r="M1892" i="1"/>
  <c r="O1891" i="1" a="1"/>
  <c r="N1891" i="1"/>
  <c r="M1891" i="1"/>
  <c r="O1890" i="1" a="1"/>
  <c r="N1890" i="1"/>
  <c r="M1890" i="1"/>
  <c r="O1889" i="1" a="1"/>
  <c r="N1889" i="1"/>
  <c r="M1889" i="1"/>
  <c r="O1888" i="1" a="1"/>
  <c r="N1888" i="1"/>
  <c r="M1888" i="1"/>
  <c r="O1887" i="1" a="1"/>
  <c r="N1887" i="1"/>
  <c r="M1887" i="1"/>
  <c r="O1886" i="1" a="1"/>
  <c r="N1886" i="1"/>
  <c r="M1886" i="1"/>
  <c r="O1885" i="1" a="1"/>
  <c r="N1885" i="1"/>
  <c r="M1885" i="1"/>
  <c r="O1884" i="1" a="1"/>
  <c r="N1884" i="1"/>
  <c r="M1884" i="1"/>
  <c r="O1883" i="1" a="1"/>
  <c r="N1883" i="1"/>
  <c r="M1883" i="1"/>
  <c r="O1882" i="1" a="1"/>
  <c r="N1882" i="1"/>
  <c r="M1882" i="1"/>
  <c r="O1881" i="1" a="1"/>
  <c r="N1881" i="1"/>
  <c r="M1881" i="1"/>
  <c r="O1880" i="1" a="1"/>
  <c r="N1880" i="1"/>
  <c r="M1880" i="1"/>
  <c r="O1879" i="1" a="1"/>
  <c r="N1879" i="1"/>
  <c r="M1879" i="1"/>
  <c r="O1878" i="1" a="1"/>
  <c r="N1878" i="1"/>
  <c r="M1878" i="1"/>
  <c r="O1877" i="1" a="1"/>
  <c r="N1877" i="1"/>
  <c r="M1877" i="1"/>
  <c r="O1876" i="1" a="1"/>
  <c r="N1876" i="1"/>
  <c r="M1876" i="1"/>
  <c r="O1875" i="1" a="1"/>
  <c r="N1875" i="1"/>
  <c r="M1875" i="1"/>
  <c r="O1874" i="1" a="1"/>
  <c r="N1874" i="1"/>
  <c r="M1874" i="1"/>
  <c r="O1873" i="1" a="1"/>
  <c r="N1873" i="1"/>
  <c r="M1873" i="1"/>
  <c r="O1872" i="1" a="1"/>
  <c r="N1872" i="1"/>
  <c r="M1872" i="1"/>
  <c r="O1871" i="1" a="1"/>
  <c r="N1871" i="1"/>
  <c r="M1871" i="1"/>
  <c r="O1870" i="1" a="1"/>
  <c r="N1870" i="1"/>
  <c r="M1870" i="1"/>
  <c r="O1869" i="1" a="1"/>
  <c r="N1869" i="1"/>
  <c r="M1869" i="1"/>
  <c r="O1868" i="1" a="1"/>
  <c r="N1868" i="1"/>
  <c r="M1868" i="1"/>
  <c r="O1867" i="1" a="1"/>
  <c r="N1867" i="1"/>
  <c r="M1867" i="1"/>
  <c r="O1866" i="1" a="1"/>
  <c r="N1866" i="1"/>
  <c r="M1866" i="1"/>
  <c r="O1865" i="1" a="1"/>
  <c r="N1865" i="1"/>
  <c r="M1865" i="1"/>
  <c r="O1864" i="1" a="1"/>
  <c r="N1864" i="1"/>
  <c r="M1864" i="1"/>
  <c r="O1863" i="1" a="1"/>
  <c r="N1863" i="1"/>
  <c r="M1863" i="1"/>
  <c r="O1862" i="1" a="1"/>
  <c r="N1862" i="1"/>
  <c r="M1862" i="1"/>
  <c r="O1861" i="1" a="1"/>
  <c r="N1861" i="1"/>
  <c r="M1861" i="1"/>
  <c r="O1860" i="1" a="1"/>
  <c r="N1860" i="1"/>
  <c r="M1860" i="1"/>
  <c r="O1859" i="1" a="1"/>
  <c r="N1859" i="1"/>
  <c r="M1859" i="1"/>
  <c r="O1858" i="1" a="1"/>
  <c r="N1858" i="1"/>
  <c r="M1858" i="1"/>
  <c r="O1857" i="1" a="1"/>
  <c r="N1857" i="1"/>
  <c r="M1857" i="1"/>
  <c r="O1856" i="1" a="1"/>
  <c r="N1856" i="1"/>
  <c r="M1856" i="1"/>
  <c r="O1855" i="1" a="1"/>
  <c r="N1855" i="1"/>
  <c r="M1855" i="1"/>
  <c r="O1854" i="1" a="1"/>
  <c r="N1854" i="1"/>
  <c r="M1854" i="1"/>
  <c r="O1853" i="1" a="1"/>
  <c r="N1853" i="1"/>
  <c r="M1853" i="1"/>
  <c r="O1852" i="1" a="1"/>
  <c r="N1852" i="1"/>
  <c r="M1852" i="1"/>
  <c r="O1851" i="1" a="1"/>
  <c r="N1851" i="1"/>
  <c r="M1851" i="1"/>
  <c r="O1850" i="1" a="1"/>
  <c r="N1850" i="1"/>
  <c r="M1850" i="1"/>
  <c r="O1849" i="1" a="1"/>
  <c r="N1849" i="1"/>
  <c r="M1849" i="1"/>
  <c r="O1848" i="1" a="1"/>
  <c r="N1848" i="1"/>
  <c r="M1848" i="1"/>
  <c r="O1847" i="1" a="1"/>
  <c r="N1847" i="1"/>
  <c r="M1847" i="1"/>
  <c r="O1846" i="1" a="1"/>
  <c r="N1846" i="1"/>
  <c r="M1846" i="1"/>
  <c r="O1845" i="1" a="1"/>
  <c r="N1845" i="1"/>
  <c r="M1845" i="1"/>
  <c r="O1844" i="1" a="1"/>
  <c r="N1844" i="1"/>
  <c r="M1844" i="1"/>
  <c r="O1843" i="1" a="1"/>
  <c r="N1843" i="1"/>
  <c r="M1843" i="1"/>
  <c r="O1842" i="1" a="1"/>
  <c r="N1842" i="1"/>
  <c r="M1842" i="1"/>
  <c r="O1841" i="1" a="1"/>
  <c r="N1841" i="1"/>
  <c r="M1841" i="1"/>
  <c r="O1840" i="1" a="1"/>
  <c r="N1840" i="1"/>
  <c r="M1840" i="1"/>
  <c r="O1839" i="1" a="1"/>
  <c r="N1839" i="1"/>
  <c r="M1839" i="1"/>
  <c r="O1838" i="1" a="1"/>
  <c r="N1838" i="1"/>
  <c r="M1838" i="1"/>
  <c r="O1837" i="1" a="1"/>
  <c r="N1837" i="1"/>
  <c r="M1837" i="1"/>
  <c r="O1836" i="1" a="1"/>
  <c r="N1836" i="1"/>
  <c r="M1836" i="1"/>
  <c r="O1835" i="1" a="1"/>
  <c r="N1835" i="1"/>
  <c r="M1835" i="1"/>
  <c r="O1834" i="1" a="1"/>
  <c r="N1834" i="1"/>
  <c r="M1834" i="1"/>
  <c r="O1833" i="1" a="1"/>
  <c r="N1833" i="1"/>
  <c r="M1833" i="1"/>
  <c r="O1832" i="1" a="1"/>
  <c r="N1832" i="1"/>
  <c r="M1832" i="1"/>
  <c r="O1831" i="1" a="1"/>
  <c r="N1831" i="1"/>
  <c r="M1831" i="1"/>
  <c r="O1830" i="1" a="1"/>
  <c r="N1830" i="1"/>
  <c r="M1830" i="1"/>
  <c r="O1829" i="1" a="1"/>
  <c r="N1829" i="1"/>
  <c r="M1829" i="1"/>
  <c r="O1828" i="1" a="1"/>
  <c r="N1828" i="1"/>
  <c r="M1828" i="1"/>
  <c r="O1827" i="1" a="1"/>
  <c r="N1827" i="1"/>
  <c r="M1827" i="1"/>
  <c r="O1826" i="1" a="1"/>
  <c r="N1826" i="1"/>
  <c r="M1826" i="1"/>
  <c r="O1825" i="1" a="1"/>
  <c r="N1825" i="1"/>
  <c r="M1825" i="1"/>
  <c r="O1824" i="1" a="1"/>
  <c r="N1824" i="1"/>
  <c r="M1824" i="1"/>
  <c r="O1823" i="1" a="1"/>
  <c r="N1823" i="1"/>
  <c r="M1823" i="1"/>
  <c r="O1822" i="1" a="1"/>
  <c r="N1822" i="1"/>
  <c r="M1822" i="1"/>
  <c r="O1821" i="1" a="1"/>
  <c r="N1821" i="1"/>
  <c r="M1821" i="1"/>
  <c r="O1820" i="1" a="1"/>
  <c r="N1820" i="1"/>
  <c r="M1820" i="1"/>
  <c r="O1819" i="1" a="1"/>
  <c r="N1819" i="1"/>
  <c r="M1819" i="1"/>
  <c r="O1818" i="1" a="1"/>
  <c r="N1818" i="1"/>
  <c r="M1818" i="1"/>
  <c r="O1817" i="1" a="1"/>
  <c r="N1817" i="1"/>
  <c r="M1817" i="1"/>
  <c r="O1816" i="1" a="1"/>
  <c r="N1816" i="1"/>
  <c r="M1816" i="1"/>
  <c r="O1815" i="1" a="1"/>
  <c r="N1815" i="1"/>
  <c r="M1815" i="1"/>
  <c r="O1814" i="1" a="1"/>
  <c r="N1814" i="1"/>
  <c r="M1814" i="1"/>
  <c r="O1813" i="1" a="1"/>
  <c r="N1813" i="1"/>
  <c r="M1813" i="1"/>
  <c r="O1812" i="1" a="1"/>
  <c r="N1812" i="1"/>
  <c r="M1812" i="1"/>
  <c r="O1811" i="1" a="1"/>
  <c r="N1811" i="1"/>
  <c r="M1811" i="1"/>
  <c r="O1810" i="1" a="1"/>
  <c r="N1810" i="1"/>
  <c r="M1810" i="1"/>
  <c r="O1809" i="1" a="1"/>
  <c r="N1809" i="1"/>
  <c r="M1809" i="1"/>
  <c r="O1808" i="1" a="1"/>
  <c r="N1808" i="1"/>
  <c r="M1808" i="1"/>
  <c r="O1807" i="1" a="1"/>
  <c r="N1807" i="1"/>
  <c r="M1807" i="1"/>
  <c r="O1806" i="1" a="1"/>
  <c r="N1806" i="1"/>
  <c r="M1806" i="1"/>
  <c r="O1805" i="1" a="1"/>
  <c r="N1805" i="1"/>
  <c r="M1805" i="1"/>
  <c r="O1804" i="1" a="1"/>
  <c r="N1804" i="1"/>
  <c r="M1804" i="1"/>
  <c r="O1803" i="1" a="1"/>
  <c r="N1803" i="1"/>
  <c r="M1803" i="1"/>
  <c r="O1802" i="1" a="1"/>
  <c r="N1802" i="1"/>
  <c r="M1802" i="1"/>
  <c r="O1801" i="1" a="1"/>
  <c r="N1801" i="1"/>
  <c r="M1801" i="1"/>
  <c r="O1800" i="1" a="1"/>
  <c r="N1800" i="1"/>
  <c r="M1800" i="1"/>
  <c r="O1799" i="1" a="1"/>
  <c r="N1799" i="1"/>
  <c r="M1799" i="1"/>
  <c r="O1798" i="1" a="1"/>
  <c r="N1798" i="1"/>
  <c r="M1798" i="1"/>
  <c r="O1797" i="1" a="1"/>
  <c r="N1797" i="1"/>
  <c r="M1797" i="1"/>
  <c r="O1796" i="1" a="1"/>
  <c r="N1796" i="1"/>
  <c r="M1796" i="1"/>
  <c r="O1795" i="1" a="1"/>
  <c r="N1795" i="1"/>
  <c r="M1795" i="1"/>
  <c r="O1794" i="1" a="1"/>
  <c r="N1794" i="1"/>
  <c r="M1794" i="1"/>
  <c r="O1793" i="1" a="1"/>
  <c r="N1793" i="1"/>
  <c r="M1793" i="1"/>
  <c r="O1792" i="1" a="1"/>
  <c r="N1792" i="1"/>
  <c r="M1792" i="1"/>
  <c r="O1791" i="1" a="1"/>
  <c r="N1791" i="1"/>
  <c r="M1791" i="1"/>
  <c r="O1790" i="1" a="1"/>
  <c r="N1790" i="1"/>
  <c r="M1790" i="1"/>
  <c r="O1789" i="1" a="1"/>
  <c r="N1789" i="1"/>
  <c r="M1789" i="1"/>
  <c r="O1788" i="1" a="1"/>
  <c r="N1788" i="1"/>
  <c r="M1788" i="1"/>
  <c r="O1787" i="1" a="1"/>
  <c r="N1787" i="1"/>
  <c r="M1787" i="1"/>
  <c r="O1786" i="1" a="1"/>
  <c r="N1786" i="1"/>
  <c r="M1786" i="1"/>
  <c r="O1785" i="1" a="1"/>
  <c r="N1785" i="1"/>
  <c r="M1785" i="1"/>
  <c r="O1784" i="1" a="1"/>
  <c r="N1784" i="1"/>
  <c r="M1784" i="1"/>
  <c r="O1783" i="1" a="1"/>
  <c r="N1783" i="1"/>
  <c r="M1783" i="1"/>
  <c r="O1782" i="1" a="1"/>
  <c r="N1782" i="1"/>
  <c r="M1782" i="1"/>
  <c r="O1781" i="1" a="1"/>
  <c r="N1781" i="1"/>
  <c r="M1781" i="1"/>
  <c r="O1780" i="1" a="1"/>
  <c r="N1780" i="1"/>
  <c r="M1780" i="1"/>
  <c r="O1779" i="1" a="1"/>
  <c r="N1779" i="1"/>
  <c r="M1779" i="1"/>
  <c r="O1778" i="1" a="1"/>
  <c r="N1778" i="1"/>
  <c r="M1778" i="1"/>
  <c r="O1777" i="1" a="1"/>
  <c r="N1777" i="1"/>
  <c r="M1777" i="1"/>
  <c r="O1776" i="1" a="1"/>
  <c r="N1776" i="1"/>
  <c r="M1776" i="1"/>
  <c r="O1775" i="1" a="1"/>
  <c r="N1775" i="1"/>
  <c r="M1775" i="1"/>
  <c r="O1774" i="1" a="1"/>
  <c r="N1774" i="1"/>
  <c r="M1774" i="1"/>
  <c r="O1773" i="1" a="1"/>
  <c r="N1773" i="1"/>
  <c r="M1773" i="1"/>
  <c r="O1772" i="1" a="1"/>
  <c r="N1772" i="1"/>
  <c r="M1772" i="1"/>
  <c r="O1771" i="1" a="1"/>
  <c r="N1771" i="1"/>
  <c r="M1771" i="1"/>
  <c r="O1770" i="1" a="1"/>
  <c r="N1770" i="1"/>
  <c r="M1770" i="1"/>
  <c r="O1769" i="1" a="1"/>
  <c r="N1769" i="1"/>
  <c r="M1769" i="1"/>
  <c r="O1768" i="1" a="1"/>
  <c r="N1768" i="1"/>
  <c r="M1768" i="1"/>
  <c r="O1767" i="1" a="1"/>
  <c r="N1767" i="1"/>
  <c r="M1767" i="1"/>
  <c r="O1766" i="1" a="1"/>
  <c r="N1766" i="1"/>
  <c r="M1766" i="1"/>
  <c r="O1765" i="1" a="1"/>
  <c r="N1765" i="1"/>
  <c r="M1765" i="1"/>
  <c r="O1764" i="1" a="1"/>
  <c r="N1764" i="1"/>
  <c r="M1764" i="1"/>
  <c r="O1763" i="1" a="1"/>
  <c r="N1763" i="1"/>
  <c r="M1763" i="1"/>
  <c r="O1762" i="1" a="1"/>
  <c r="N1762" i="1"/>
  <c r="M1762" i="1"/>
  <c r="O1761" i="1" a="1"/>
  <c r="N1761" i="1"/>
  <c r="M1761" i="1"/>
  <c r="O1760" i="1" a="1"/>
  <c r="N1760" i="1"/>
  <c r="M1760" i="1"/>
  <c r="O1759" i="1" a="1"/>
  <c r="N1759" i="1"/>
  <c r="M1759" i="1"/>
  <c r="O1758" i="1" a="1"/>
  <c r="N1758" i="1"/>
  <c r="M1758" i="1"/>
  <c r="O1757" i="1" a="1"/>
  <c r="N1757" i="1"/>
  <c r="M1757" i="1"/>
  <c r="O1756" i="1" a="1"/>
  <c r="N1756" i="1"/>
  <c r="M1756" i="1"/>
  <c r="O1755" i="1" a="1"/>
  <c r="N1755" i="1"/>
  <c r="M1755" i="1"/>
  <c r="O1754" i="1" a="1"/>
  <c r="N1754" i="1"/>
  <c r="M1754" i="1"/>
  <c r="O1753" i="1" a="1"/>
  <c r="N1753" i="1"/>
  <c r="M1753" i="1"/>
  <c r="O1752" i="1" a="1"/>
  <c r="N1752" i="1"/>
  <c r="M1752" i="1"/>
  <c r="O1751" i="1" a="1"/>
  <c r="N1751" i="1"/>
  <c r="M1751" i="1"/>
  <c r="O1750" i="1" a="1"/>
  <c r="N1750" i="1"/>
  <c r="M1750" i="1"/>
  <c r="O1749" i="1" a="1"/>
  <c r="N1749" i="1"/>
  <c r="M1749" i="1"/>
  <c r="O1748" i="1" a="1"/>
  <c r="N1748" i="1"/>
  <c r="M1748" i="1"/>
  <c r="O1747" i="1" a="1"/>
  <c r="N1747" i="1"/>
  <c r="M1747" i="1"/>
  <c r="O1746" i="1" a="1"/>
  <c r="N1746" i="1"/>
  <c r="M1746" i="1"/>
  <c r="O1745" i="1" a="1"/>
  <c r="N1745" i="1"/>
  <c r="M1745" i="1"/>
  <c r="O1744" i="1" a="1"/>
  <c r="N1744" i="1"/>
  <c r="M1744" i="1"/>
  <c r="O1743" i="1" a="1"/>
  <c r="N1743" i="1"/>
  <c r="M1743" i="1"/>
  <c r="O1742" i="1" a="1"/>
  <c r="N1742" i="1"/>
  <c r="M1742" i="1"/>
  <c r="O1741" i="1" a="1"/>
  <c r="N1741" i="1"/>
  <c r="M1741" i="1"/>
  <c r="O1740" i="1" a="1"/>
  <c r="N1740" i="1"/>
  <c r="M1740" i="1"/>
  <c r="O1739" i="1" a="1"/>
  <c r="N1739" i="1"/>
  <c r="M1739" i="1"/>
  <c r="O1738" i="1" a="1"/>
  <c r="N1738" i="1"/>
  <c r="M1738" i="1"/>
  <c r="O1737" i="1" a="1"/>
  <c r="N1737" i="1"/>
  <c r="M1737" i="1"/>
  <c r="O1736" i="1" a="1"/>
  <c r="N1736" i="1"/>
  <c r="M1736" i="1"/>
  <c r="O1735" i="1" a="1"/>
  <c r="N1735" i="1"/>
  <c r="M1735" i="1"/>
  <c r="O1734" i="1" a="1"/>
  <c r="N1734" i="1"/>
  <c r="M1734" i="1"/>
  <c r="O1733" i="1" a="1"/>
  <c r="N1733" i="1"/>
  <c r="M1733" i="1"/>
  <c r="O1732" i="1" a="1"/>
  <c r="N1732" i="1"/>
  <c r="M1732" i="1"/>
  <c r="O1731" i="1" a="1"/>
  <c r="N1731" i="1"/>
  <c r="M1731" i="1"/>
  <c r="O1730" i="1" a="1"/>
  <c r="N1730" i="1"/>
  <c r="M1730" i="1"/>
  <c r="O1729" i="1" a="1"/>
  <c r="N1729" i="1"/>
  <c r="M1729" i="1"/>
  <c r="O1728" i="1" a="1"/>
  <c r="N1728" i="1"/>
  <c r="M1728" i="1"/>
  <c r="O1727" i="1" a="1"/>
  <c r="N1727" i="1"/>
  <c r="M1727" i="1"/>
  <c r="O1726" i="1" a="1"/>
  <c r="N1726" i="1"/>
  <c r="M1726" i="1"/>
  <c r="O1725" i="1" a="1"/>
  <c r="N1725" i="1"/>
  <c r="M1725" i="1"/>
  <c r="O1724" i="1" a="1"/>
  <c r="N1724" i="1"/>
  <c r="M1724" i="1"/>
  <c r="O1723" i="1" a="1"/>
  <c r="N1723" i="1"/>
  <c r="M1723" i="1"/>
  <c r="O1722" i="1" a="1"/>
  <c r="N1722" i="1"/>
  <c r="M1722" i="1"/>
  <c r="O1721" i="1" a="1"/>
  <c r="N1721" i="1"/>
  <c r="M1721" i="1"/>
  <c r="O1720" i="1" a="1"/>
  <c r="N1720" i="1"/>
  <c r="M1720" i="1"/>
  <c r="O1719" i="1" a="1"/>
  <c r="N1719" i="1"/>
  <c r="M1719" i="1"/>
  <c r="O1718" i="1" a="1"/>
  <c r="N1718" i="1"/>
  <c r="M1718" i="1"/>
  <c r="O1717" i="1" a="1"/>
  <c r="N1717" i="1"/>
  <c r="M1717" i="1"/>
  <c r="O1716" i="1" a="1"/>
  <c r="N1716" i="1"/>
  <c r="M1716" i="1"/>
  <c r="O1715" i="1" a="1"/>
  <c r="N1715" i="1"/>
  <c r="M1715" i="1"/>
  <c r="O1714" i="1" a="1"/>
  <c r="N1714" i="1"/>
  <c r="M1714" i="1"/>
  <c r="O1713" i="1" a="1"/>
  <c r="N1713" i="1"/>
  <c r="M1713" i="1"/>
  <c r="O1712" i="1" a="1"/>
  <c r="N1712" i="1"/>
  <c r="M1712" i="1"/>
  <c r="O1711" i="1" a="1"/>
  <c r="N1711" i="1"/>
  <c r="M1711" i="1"/>
  <c r="O1710" i="1" a="1"/>
  <c r="N1710" i="1"/>
  <c r="M1710" i="1"/>
  <c r="O1709" i="1" a="1"/>
  <c r="N1709" i="1"/>
  <c r="M1709" i="1"/>
  <c r="O1708" i="1" a="1"/>
  <c r="N1708" i="1"/>
  <c r="M1708" i="1"/>
  <c r="O1707" i="1" a="1"/>
  <c r="N1707" i="1"/>
  <c r="M1707" i="1"/>
  <c r="O1706" i="1" a="1"/>
  <c r="N1706" i="1"/>
  <c r="M1706" i="1"/>
  <c r="O1705" i="1" a="1"/>
  <c r="N1705" i="1"/>
  <c r="M1705" i="1"/>
  <c r="O1704" i="1" a="1"/>
  <c r="N1704" i="1"/>
  <c r="M1704" i="1"/>
  <c r="O1703" i="1" a="1"/>
  <c r="N1703" i="1"/>
  <c r="M1703" i="1"/>
  <c r="O1702" i="1" a="1"/>
  <c r="N1702" i="1"/>
  <c r="M1702" i="1"/>
  <c r="O1701" i="1" a="1"/>
  <c r="N1701" i="1"/>
  <c r="M1701" i="1"/>
  <c r="O1700" i="1" a="1"/>
  <c r="N1700" i="1"/>
  <c r="M1700" i="1"/>
  <c r="O1699" i="1" a="1"/>
  <c r="N1699" i="1"/>
  <c r="M1699" i="1"/>
  <c r="O1698" i="1" a="1"/>
  <c r="N1698" i="1"/>
  <c r="M1698" i="1"/>
  <c r="O1697" i="1" a="1"/>
  <c r="N1697" i="1"/>
  <c r="M1697" i="1"/>
  <c r="O1696" i="1" a="1"/>
  <c r="N1696" i="1"/>
  <c r="M1696" i="1"/>
  <c r="O1695" i="1" a="1"/>
  <c r="N1695" i="1"/>
  <c r="M1695" i="1"/>
  <c r="O1694" i="1" a="1"/>
  <c r="N1694" i="1"/>
  <c r="M1694" i="1"/>
  <c r="O1693" i="1" a="1"/>
  <c r="N1693" i="1"/>
  <c r="M1693" i="1"/>
  <c r="O1692" i="1" a="1"/>
  <c r="N1692" i="1"/>
  <c r="M1692" i="1"/>
  <c r="O1691" i="1" a="1"/>
  <c r="N1691" i="1"/>
  <c r="M1691" i="1"/>
  <c r="O1690" i="1" a="1"/>
  <c r="N1690" i="1"/>
  <c r="M1690" i="1"/>
  <c r="O1689" i="1" a="1"/>
  <c r="N1689" i="1"/>
  <c r="M1689" i="1"/>
  <c r="O1688" i="1" a="1"/>
  <c r="N1688" i="1"/>
  <c r="M1688" i="1"/>
  <c r="O1687" i="1" a="1"/>
  <c r="N1687" i="1"/>
  <c r="M1687" i="1"/>
  <c r="O1686" i="1" a="1"/>
  <c r="N1686" i="1"/>
  <c r="M1686" i="1"/>
  <c r="O1685" i="1" a="1"/>
  <c r="N1685" i="1"/>
  <c r="M1685" i="1"/>
  <c r="O1684" i="1" a="1"/>
  <c r="N1684" i="1"/>
  <c r="M1684" i="1"/>
  <c r="O1683" i="1" a="1"/>
  <c r="N1683" i="1"/>
  <c r="M1683" i="1"/>
  <c r="O1682" i="1" a="1"/>
  <c r="N1682" i="1"/>
  <c r="M1682" i="1"/>
  <c r="O1681" i="1" a="1"/>
  <c r="N1681" i="1"/>
  <c r="M1681" i="1"/>
  <c r="O1680" i="1" a="1"/>
  <c r="N1680" i="1"/>
  <c r="M1680" i="1"/>
  <c r="O1679" i="1" a="1"/>
  <c r="N1679" i="1"/>
  <c r="M1679" i="1"/>
  <c r="O1678" i="1" a="1"/>
  <c r="N1678" i="1"/>
  <c r="M1678" i="1"/>
  <c r="O1677" i="1" a="1"/>
  <c r="N1677" i="1"/>
  <c r="M1677" i="1"/>
  <c r="O1676" i="1" a="1"/>
  <c r="N1676" i="1"/>
  <c r="M1676" i="1"/>
  <c r="O1675" i="1" a="1"/>
  <c r="N1675" i="1"/>
  <c r="M1675" i="1"/>
  <c r="O1674" i="1" a="1"/>
  <c r="N1674" i="1"/>
  <c r="M1674" i="1"/>
  <c r="O1673" i="1" a="1"/>
  <c r="N1673" i="1"/>
  <c r="M1673" i="1"/>
  <c r="O1672" i="1" a="1"/>
  <c r="N1672" i="1"/>
  <c r="M1672" i="1"/>
  <c r="O1671" i="1" a="1"/>
  <c r="N1671" i="1"/>
  <c r="M1671" i="1"/>
  <c r="O1670" i="1" a="1"/>
  <c r="N1670" i="1"/>
  <c r="M1670" i="1"/>
  <c r="O1669" i="1" a="1"/>
  <c r="N1669" i="1"/>
  <c r="M1669" i="1"/>
  <c r="O1668" i="1" a="1"/>
  <c r="N1668" i="1"/>
  <c r="M1668" i="1"/>
  <c r="O1667" i="1" a="1"/>
  <c r="N1667" i="1"/>
  <c r="M1667" i="1"/>
  <c r="O1666" i="1" a="1"/>
  <c r="N1666" i="1"/>
  <c r="M1666" i="1"/>
  <c r="O1665" i="1" a="1"/>
  <c r="N1665" i="1"/>
  <c r="M1665" i="1"/>
  <c r="O1664" i="1" a="1"/>
  <c r="N1664" i="1"/>
  <c r="M1664" i="1"/>
  <c r="O1663" i="1" a="1"/>
  <c r="N1663" i="1"/>
  <c r="M1663" i="1"/>
  <c r="O1662" i="1" a="1"/>
  <c r="N1662" i="1"/>
  <c r="M1662" i="1"/>
  <c r="O1661" i="1" a="1"/>
  <c r="N1661" i="1"/>
  <c r="M1661" i="1"/>
  <c r="O1660" i="1" a="1"/>
  <c r="N1660" i="1"/>
  <c r="M1660" i="1"/>
  <c r="O1659" i="1" a="1"/>
  <c r="N1659" i="1"/>
  <c r="M1659" i="1"/>
  <c r="O1658" i="1" a="1"/>
  <c r="N1658" i="1"/>
  <c r="M1658" i="1"/>
  <c r="O1657" i="1" a="1"/>
  <c r="N1657" i="1"/>
  <c r="M1657" i="1"/>
  <c r="O1656" i="1" a="1"/>
  <c r="N1656" i="1"/>
  <c r="M1656" i="1"/>
  <c r="O1655" i="1" a="1"/>
  <c r="N1655" i="1"/>
  <c r="M1655" i="1"/>
  <c r="O1654" i="1" a="1"/>
  <c r="N1654" i="1"/>
  <c r="M1654" i="1"/>
  <c r="O1653" i="1" a="1"/>
  <c r="N1653" i="1"/>
  <c r="M1653" i="1"/>
  <c r="O1652" i="1" a="1"/>
  <c r="N1652" i="1"/>
  <c r="M1652" i="1"/>
  <c r="O1651" i="1" a="1"/>
  <c r="N1651" i="1"/>
  <c r="M1651" i="1"/>
  <c r="O1650" i="1" a="1"/>
  <c r="N1650" i="1"/>
  <c r="M1650" i="1"/>
  <c r="O1649" i="1" a="1"/>
  <c r="N1649" i="1"/>
  <c r="M1649" i="1"/>
  <c r="O1648" i="1" a="1"/>
  <c r="N1648" i="1"/>
  <c r="M1648" i="1"/>
  <c r="O1647" i="1" a="1"/>
  <c r="N1647" i="1"/>
  <c r="M1647" i="1"/>
  <c r="O1646" i="1" a="1"/>
  <c r="N1646" i="1"/>
  <c r="M1646" i="1"/>
  <c r="O1645" i="1" a="1"/>
  <c r="N1645" i="1"/>
  <c r="M1645" i="1"/>
  <c r="O1644" i="1" a="1"/>
  <c r="N1644" i="1"/>
  <c r="M1644" i="1"/>
  <c r="O1643" i="1" a="1"/>
  <c r="N1643" i="1"/>
  <c r="M1643" i="1"/>
  <c r="O1642" i="1" a="1"/>
  <c r="N1642" i="1"/>
  <c r="M1642" i="1"/>
  <c r="O1641" i="1" a="1"/>
  <c r="N1641" i="1"/>
  <c r="M1641" i="1"/>
  <c r="O1640" i="1" a="1"/>
  <c r="N1640" i="1"/>
  <c r="M1640" i="1"/>
  <c r="O1639" i="1" a="1"/>
  <c r="N1639" i="1"/>
  <c r="M1639" i="1"/>
  <c r="O1638" i="1" a="1"/>
  <c r="N1638" i="1"/>
  <c r="M1638" i="1"/>
  <c r="O1637" i="1" a="1"/>
  <c r="N1637" i="1"/>
  <c r="M1637" i="1"/>
  <c r="O1636" i="1" a="1"/>
  <c r="N1636" i="1"/>
  <c r="M1636" i="1"/>
  <c r="O1635" i="1" a="1"/>
  <c r="N1635" i="1"/>
  <c r="M1635" i="1"/>
  <c r="O1634" i="1" a="1"/>
  <c r="N1634" i="1"/>
  <c r="M1634" i="1"/>
  <c r="O1633" i="1" a="1"/>
  <c r="N1633" i="1"/>
  <c r="M1633" i="1"/>
  <c r="O1632" i="1" a="1"/>
  <c r="N1632" i="1"/>
  <c r="M1632" i="1"/>
  <c r="O1631" i="1" a="1"/>
  <c r="N1631" i="1"/>
  <c r="M1631" i="1"/>
  <c r="O1630" i="1" a="1"/>
  <c r="N1630" i="1"/>
  <c r="M1630" i="1"/>
  <c r="O1629" i="1" a="1"/>
  <c r="N1629" i="1"/>
  <c r="M1629" i="1"/>
  <c r="O1628" i="1" a="1"/>
  <c r="N1628" i="1"/>
  <c r="M1628" i="1"/>
  <c r="O1627" i="1" a="1"/>
  <c r="N1627" i="1"/>
  <c r="M1627" i="1"/>
  <c r="O1626" i="1" a="1"/>
  <c r="N1626" i="1"/>
  <c r="M1626" i="1"/>
  <c r="O1625" i="1" a="1"/>
  <c r="N1625" i="1"/>
  <c r="M1625" i="1"/>
  <c r="O1624" i="1" a="1"/>
  <c r="N1624" i="1"/>
  <c r="M1624" i="1"/>
  <c r="O1623" i="1" a="1"/>
  <c r="N1623" i="1"/>
  <c r="M1623" i="1"/>
  <c r="O1622" i="1" a="1"/>
  <c r="N1622" i="1"/>
  <c r="M1622" i="1"/>
  <c r="O1621" i="1" a="1"/>
  <c r="N1621" i="1"/>
  <c r="M1621" i="1"/>
  <c r="O1620" i="1" a="1"/>
  <c r="N1620" i="1"/>
  <c r="M1620" i="1"/>
  <c r="O1619" i="1" a="1"/>
  <c r="N1619" i="1"/>
  <c r="M1619" i="1"/>
  <c r="O1618" i="1" a="1"/>
  <c r="N1618" i="1"/>
  <c r="M1618" i="1"/>
  <c r="O1617" i="1" a="1"/>
  <c r="N1617" i="1"/>
  <c r="M1617" i="1"/>
  <c r="O1616" i="1" a="1"/>
  <c r="N1616" i="1"/>
  <c r="M1616" i="1"/>
  <c r="O1615" i="1" a="1"/>
  <c r="N1615" i="1"/>
  <c r="M1615" i="1"/>
  <c r="O1614" i="1" a="1"/>
  <c r="N1614" i="1"/>
  <c r="M1614" i="1"/>
  <c r="O1613" i="1" a="1"/>
  <c r="N1613" i="1"/>
  <c r="M1613" i="1"/>
  <c r="O1612" i="1" a="1"/>
  <c r="N1612" i="1"/>
  <c r="M1612" i="1"/>
  <c r="O1611" i="1" a="1"/>
  <c r="N1611" i="1"/>
  <c r="M1611" i="1"/>
  <c r="O1610" i="1" a="1"/>
  <c r="N1610" i="1"/>
  <c r="M1610" i="1"/>
  <c r="O1609" i="1" a="1"/>
  <c r="N1609" i="1"/>
  <c r="M1609" i="1"/>
  <c r="O1608" i="1" a="1"/>
  <c r="N1608" i="1"/>
  <c r="M1608" i="1"/>
  <c r="O1607" i="1" a="1"/>
  <c r="N1607" i="1"/>
  <c r="M1607" i="1"/>
  <c r="O1606" i="1" a="1"/>
  <c r="N1606" i="1"/>
  <c r="M1606" i="1"/>
  <c r="O1605" i="1" a="1"/>
  <c r="N1605" i="1"/>
  <c r="M1605" i="1"/>
  <c r="O1604" i="1" a="1"/>
  <c r="N1604" i="1"/>
  <c r="M1604" i="1"/>
  <c r="O1603" i="1" a="1"/>
  <c r="N1603" i="1"/>
  <c r="M1603" i="1"/>
  <c r="O1602" i="1" a="1"/>
  <c r="N1602" i="1"/>
  <c r="M1602" i="1"/>
  <c r="O1601" i="1" a="1"/>
  <c r="N1601" i="1"/>
  <c r="M1601" i="1"/>
  <c r="O1600" i="1" a="1"/>
  <c r="N1600" i="1"/>
  <c r="M1600" i="1"/>
  <c r="O1599" i="1" a="1"/>
  <c r="N1599" i="1"/>
  <c r="M1599" i="1"/>
  <c r="O1598" i="1" a="1"/>
  <c r="N1598" i="1"/>
  <c r="M1598" i="1"/>
  <c r="O1597" i="1" a="1"/>
  <c r="N1597" i="1"/>
  <c r="M1597" i="1"/>
  <c r="O1596" i="1" a="1"/>
  <c r="N1596" i="1"/>
  <c r="M1596" i="1"/>
  <c r="O1595" i="1" a="1"/>
  <c r="N1595" i="1"/>
  <c r="M1595" i="1"/>
  <c r="O1594" i="1" a="1"/>
  <c r="N1594" i="1"/>
  <c r="M1594" i="1"/>
  <c r="O1593" i="1" a="1"/>
  <c r="N1593" i="1"/>
  <c r="M1593" i="1"/>
  <c r="O1592" i="1" a="1"/>
  <c r="N1592" i="1"/>
  <c r="M1592" i="1"/>
  <c r="O1591" i="1" a="1"/>
  <c r="N1591" i="1"/>
  <c r="M1591" i="1"/>
  <c r="O1590" i="1" a="1"/>
  <c r="N1590" i="1"/>
  <c r="M1590" i="1"/>
  <c r="O1589" i="1" a="1"/>
  <c r="N1589" i="1"/>
  <c r="M1589" i="1"/>
  <c r="O1588" i="1" a="1"/>
  <c r="N1588" i="1"/>
  <c r="M1588" i="1"/>
  <c r="O1587" i="1" a="1"/>
  <c r="N1587" i="1"/>
  <c r="M1587" i="1"/>
  <c r="O1586" i="1" a="1"/>
  <c r="N1586" i="1"/>
  <c r="M1586" i="1"/>
  <c r="O1585" i="1" a="1"/>
  <c r="N1585" i="1"/>
  <c r="M1585" i="1"/>
  <c r="O1584" i="1" a="1"/>
  <c r="N1584" i="1"/>
  <c r="M1584" i="1"/>
  <c r="O1583" i="1" a="1"/>
  <c r="N1583" i="1"/>
  <c r="M1583" i="1"/>
  <c r="O1582" i="1" a="1"/>
  <c r="N1582" i="1"/>
  <c r="M1582" i="1"/>
  <c r="O1581" i="1" a="1"/>
  <c r="N1581" i="1"/>
  <c r="M1581" i="1"/>
  <c r="O1580" i="1" a="1"/>
  <c r="N1580" i="1"/>
  <c r="M1580" i="1"/>
  <c r="O1579" i="1" a="1"/>
  <c r="N1579" i="1"/>
  <c r="M1579" i="1"/>
  <c r="O1578" i="1" a="1"/>
  <c r="N1578" i="1"/>
  <c r="M1578" i="1"/>
  <c r="O1577" i="1" a="1"/>
  <c r="N1577" i="1"/>
  <c r="M1577" i="1"/>
  <c r="O1576" i="1" a="1"/>
  <c r="N1576" i="1"/>
  <c r="M1576" i="1"/>
  <c r="O1575" i="1" a="1"/>
  <c r="N1575" i="1"/>
  <c r="M1575" i="1"/>
  <c r="O1574" i="1" a="1"/>
  <c r="N1574" i="1"/>
  <c r="M1574" i="1"/>
  <c r="O1573" i="1" a="1"/>
  <c r="N1573" i="1"/>
  <c r="M1573" i="1"/>
  <c r="O1572" i="1" a="1"/>
  <c r="N1572" i="1"/>
  <c r="M1572" i="1"/>
  <c r="O1571" i="1" a="1"/>
  <c r="N1571" i="1"/>
  <c r="M1571" i="1"/>
  <c r="O1570" i="1" a="1"/>
  <c r="N1570" i="1"/>
  <c r="M1570" i="1"/>
  <c r="O1569" i="1" a="1"/>
  <c r="N1569" i="1"/>
  <c r="M1569" i="1"/>
  <c r="O1568" i="1" a="1"/>
  <c r="N1568" i="1"/>
  <c r="M1568" i="1"/>
  <c r="O1567" i="1" a="1"/>
  <c r="N1567" i="1"/>
  <c r="M1567" i="1"/>
  <c r="O1566" i="1" a="1"/>
  <c r="N1566" i="1"/>
  <c r="M1566" i="1"/>
  <c r="O1565" i="1" a="1"/>
  <c r="N1565" i="1"/>
  <c r="M1565" i="1"/>
  <c r="O1564" i="1" a="1"/>
  <c r="N1564" i="1"/>
  <c r="M1564" i="1"/>
  <c r="O1563" i="1" a="1"/>
  <c r="N1563" i="1"/>
  <c r="M1563" i="1"/>
  <c r="O1562" i="1" a="1"/>
  <c r="N1562" i="1"/>
  <c r="M1562" i="1"/>
  <c r="O1561" i="1" a="1"/>
  <c r="N1561" i="1"/>
  <c r="M1561" i="1"/>
  <c r="O1560" i="1" a="1"/>
  <c r="N1560" i="1"/>
  <c r="M1560" i="1"/>
  <c r="O1559" i="1" a="1"/>
  <c r="N1559" i="1"/>
  <c r="M1559" i="1"/>
  <c r="O1558" i="1" a="1"/>
  <c r="N1558" i="1"/>
  <c r="M1558" i="1"/>
  <c r="O1557" i="1" a="1"/>
  <c r="N1557" i="1"/>
  <c r="M1557" i="1"/>
  <c r="O1556" i="1" a="1"/>
  <c r="N1556" i="1"/>
  <c r="M1556" i="1"/>
  <c r="O1555" i="1" a="1"/>
  <c r="N1555" i="1"/>
  <c r="M1555" i="1"/>
  <c r="O1554" i="1" a="1"/>
  <c r="N1554" i="1"/>
  <c r="M1554" i="1"/>
  <c r="O1553" i="1" a="1"/>
  <c r="N1553" i="1"/>
  <c r="M1553" i="1"/>
  <c r="O1552" i="1" a="1"/>
  <c r="N1552" i="1"/>
  <c r="M1552" i="1"/>
  <c r="O1551" i="1" a="1"/>
  <c r="N1551" i="1"/>
  <c r="M1551" i="1"/>
  <c r="O1550" i="1" a="1"/>
  <c r="N1550" i="1"/>
  <c r="M1550" i="1"/>
  <c r="O1549" i="1" a="1"/>
  <c r="N1549" i="1"/>
  <c r="M1549" i="1"/>
  <c r="O1548" i="1" a="1"/>
  <c r="N1548" i="1"/>
  <c r="M1548" i="1"/>
  <c r="O1547" i="1" a="1"/>
  <c r="N1547" i="1"/>
  <c r="M1547" i="1"/>
  <c r="O1546" i="1" a="1"/>
  <c r="N1546" i="1"/>
  <c r="M1546" i="1"/>
  <c r="O1545" i="1" a="1"/>
  <c r="N1545" i="1"/>
  <c r="M1545" i="1"/>
  <c r="O1544" i="1" a="1"/>
  <c r="N1544" i="1"/>
  <c r="M1544" i="1"/>
  <c r="O1543" i="1" a="1"/>
  <c r="N1543" i="1"/>
  <c r="M1543" i="1"/>
  <c r="O1542" i="1" a="1"/>
  <c r="N1542" i="1"/>
  <c r="M1542" i="1"/>
  <c r="O1541" i="1" a="1"/>
  <c r="N1541" i="1"/>
  <c r="M1541" i="1"/>
  <c r="O1540" i="1" a="1"/>
  <c r="N1540" i="1"/>
  <c r="M1540" i="1"/>
  <c r="O1539" i="1" a="1"/>
  <c r="N1539" i="1"/>
  <c r="M1539" i="1"/>
  <c r="O1538" i="1" a="1"/>
  <c r="N1538" i="1"/>
  <c r="M1538" i="1"/>
  <c r="O1537" i="1" a="1"/>
  <c r="N1537" i="1"/>
  <c r="M1537" i="1"/>
  <c r="O1536" i="1" a="1"/>
  <c r="N1536" i="1"/>
  <c r="M1536" i="1"/>
  <c r="O1535" i="1" a="1"/>
  <c r="N1535" i="1"/>
  <c r="M1535" i="1"/>
  <c r="O1534" i="1" a="1"/>
  <c r="N1534" i="1"/>
  <c r="M1534" i="1"/>
  <c r="O1533" i="1" a="1"/>
  <c r="N1533" i="1"/>
  <c r="M1533" i="1"/>
  <c r="O1532" i="1" a="1"/>
  <c r="N1532" i="1"/>
  <c r="M1532" i="1"/>
  <c r="O1531" i="1" a="1"/>
  <c r="N1531" i="1"/>
  <c r="M1531" i="1"/>
  <c r="O1530" i="1" a="1"/>
  <c r="N1530" i="1"/>
  <c r="M1530" i="1"/>
  <c r="O1529" i="1" a="1"/>
  <c r="N1529" i="1"/>
  <c r="M1529" i="1"/>
  <c r="O1528" i="1" a="1"/>
  <c r="N1528" i="1"/>
  <c r="M1528" i="1"/>
  <c r="O1527" i="1" a="1"/>
  <c r="N1527" i="1"/>
  <c r="M1527" i="1"/>
  <c r="O1526" i="1" a="1"/>
  <c r="N1526" i="1"/>
  <c r="M1526" i="1"/>
  <c r="O1525" i="1" a="1"/>
  <c r="N1525" i="1"/>
  <c r="M1525" i="1"/>
  <c r="O1524" i="1" a="1"/>
  <c r="N1524" i="1"/>
  <c r="M1524" i="1"/>
  <c r="O1523" i="1" a="1"/>
  <c r="N1523" i="1"/>
  <c r="M1523" i="1"/>
  <c r="O1522" i="1" a="1"/>
  <c r="N1522" i="1"/>
  <c r="M1522" i="1"/>
  <c r="O1521" i="1" a="1"/>
  <c r="N1521" i="1"/>
  <c r="M1521" i="1"/>
  <c r="O1520" i="1" a="1"/>
  <c r="N1520" i="1"/>
  <c r="M1520" i="1"/>
  <c r="O1519" i="1" a="1"/>
  <c r="N1519" i="1"/>
  <c r="M1519" i="1"/>
  <c r="O1518" i="1" a="1"/>
  <c r="N1518" i="1"/>
  <c r="M1518" i="1"/>
  <c r="O1517" i="1" a="1"/>
  <c r="N1517" i="1"/>
  <c r="M1517" i="1"/>
  <c r="O1516" i="1" a="1"/>
  <c r="N1516" i="1"/>
  <c r="M1516" i="1"/>
  <c r="O1515" i="1" a="1"/>
  <c r="N1515" i="1"/>
  <c r="M1515" i="1"/>
  <c r="O1514" i="1" a="1"/>
  <c r="N1514" i="1"/>
  <c r="M1514" i="1"/>
  <c r="O1513" i="1" a="1"/>
  <c r="N1513" i="1"/>
  <c r="M1513" i="1"/>
  <c r="O1512" i="1" a="1"/>
  <c r="N1512" i="1"/>
  <c r="M1512" i="1"/>
  <c r="O1511" i="1" a="1"/>
  <c r="N1511" i="1"/>
  <c r="M1511" i="1"/>
  <c r="O1510" i="1" a="1"/>
  <c r="N1510" i="1"/>
  <c r="M1510" i="1"/>
  <c r="O1509" i="1" a="1"/>
  <c r="N1509" i="1"/>
  <c r="M1509" i="1"/>
  <c r="O1508" i="1" a="1"/>
  <c r="N1508" i="1"/>
  <c r="M1508" i="1"/>
  <c r="O1507" i="1" a="1"/>
  <c r="N1507" i="1"/>
  <c r="M1507" i="1"/>
  <c r="O1506" i="1" a="1"/>
  <c r="N1506" i="1"/>
  <c r="M1506" i="1"/>
  <c r="O1505" i="1" a="1"/>
  <c r="N1505" i="1"/>
  <c r="M1505" i="1"/>
  <c r="O1504" i="1" a="1"/>
  <c r="N1504" i="1"/>
  <c r="M1504" i="1"/>
  <c r="O1503" i="1" a="1"/>
  <c r="N1503" i="1"/>
  <c r="M1503" i="1"/>
  <c r="O1502" i="1" a="1"/>
  <c r="N1502" i="1"/>
  <c r="M1502" i="1"/>
  <c r="O1501" i="1" a="1"/>
  <c r="N1501" i="1"/>
  <c r="M1501" i="1"/>
  <c r="O1500" i="1" a="1"/>
  <c r="N1500" i="1"/>
  <c r="M1500" i="1"/>
  <c r="O1499" i="1" a="1"/>
  <c r="N1499" i="1"/>
  <c r="M1499" i="1"/>
  <c r="O1498" i="1" a="1"/>
  <c r="N1498" i="1"/>
  <c r="M1498" i="1"/>
  <c r="O1497" i="1" a="1"/>
  <c r="N1497" i="1"/>
  <c r="M1497" i="1"/>
  <c r="O1496" i="1" a="1"/>
  <c r="N1496" i="1"/>
  <c r="M1496" i="1"/>
  <c r="O1495" i="1" a="1"/>
  <c r="N1495" i="1"/>
  <c r="M1495" i="1"/>
  <c r="O1494" i="1" a="1"/>
  <c r="N1494" i="1"/>
  <c r="M1494" i="1"/>
  <c r="O1493" i="1" a="1"/>
  <c r="N1493" i="1"/>
  <c r="M1493" i="1"/>
  <c r="O1492" i="1" a="1"/>
  <c r="N1492" i="1"/>
  <c r="M1492" i="1"/>
  <c r="O1491" i="1" a="1"/>
  <c r="N1491" i="1"/>
  <c r="M1491" i="1"/>
  <c r="O1490" i="1" a="1"/>
  <c r="N1490" i="1"/>
  <c r="M1490" i="1"/>
  <c r="O1489" i="1" a="1"/>
  <c r="N1489" i="1"/>
  <c r="M1489" i="1"/>
  <c r="O1488" i="1" a="1"/>
  <c r="N1488" i="1"/>
  <c r="M1488" i="1"/>
  <c r="O1487" i="1" a="1"/>
  <c r="N1487" i="1"/>
  <c r="M1487" i="1"/>
  <c r="O1486" i="1" a="1"/>
  <c r="N1486" i="1"/>
  <c r="M1486" i="1"/>
  <c r="O1485" i="1" a="1"/>
  <c r="N1485" i="1"/>
  <c r="M1485" i="1"/>
  <c r="O1484" i="1" a="1"/>
  <c r="N1484" i="1"/>
  <c r="M1484" i="1"/>
  <c r="O1483" i="1" a="1"/>
  <c r="N1483" i="1"/>
  <c r="M1483" i="1"/>
  <c r="O1482" i="1" a="1"/>
  <c r="N1482" i="1"/>
  <c r="M1482" i="1"/>
  <c r="O1481" i="1" a="1"/>
  <c r="N1481" i="1"/>
  <c r="M1481" i="1"/>
  <c r="O1480" i="1" a="1"/>
  <c r="N1480" i="1"/>
  <c r="M1480" i="1"/>
  <c r="O1479" i="1" a="1"/>
  <c r="N1479" i="1"/>
  <c r="M1479" i="1"/>
  <c r="O1478" i="1" a="1"/>
  <c r="N1478" i="1"/>
  <c r="M1478" i="1"/>
  <c r="O1477" i="1" a="1"/>
  <c r="N1477" i="1"/>
  <c r="M1477" i="1"/>
  <c r="O1476" i="1" a="1"/>
  <c r="N1476" i="1"/>
  <c r="M1476" i="1"/>
  <c r="O1475" i="1" a="1"/>
  <c r="N1475" i="1"/>
  <c r="M1475" i="1"/>
  <c r="O1474" i="1" a="1"/>
  <c r="N1474" i="1"/>
  <c r="M1474" i="1"/>
  <c r="O1473" i="1" a="1"/>
  <c r="N1473" i="1"/>
  <c r="M1473" i="1"/>
  <c r="O1472" i="1" a="1"/>
  <c r="N1472" i="1"/>
  <c r="M1472" i="1"/>
  <c r="O1471" i="1" a="1"/>
  <c r="N1471" i="1"/>
  <c r="M1471" i="1"/>
  <c r="O1470" i="1" a="1"/>
  <c r="N1470" i="1"/>
  <c r="M1470" i="1"/>
  <c r="O1469" i="1" a="1"/>
  <c r="N1469" i="1"/>
  <c r="M1469" i="1"/>
  <c r="O1468" i="1" a="1"/>
  <c r="N1468" i="1"/>
  <c r="M1468" i="1"/>
  <c r="O1467" i="1" a="1"/>
  <c r="N1467" i="1"/>
  <c r="M1467" i="1"/>
  <c r="O1466" i="1" a="1"/>
  <c r="N1466" i="1"/>
  <c r="M1466" i="1"/>
  <c r="O1465" i="1" a="1"/>
  <c r="N1465" i="1"/>
  <c r="M1465" i="1"/>
  <c r="O1464" i="1" a="1"/>
  <c r="N1464" i="1"/>
  <c r="M1464" i="1"/>
  <c r="O1463" i="1" a="1"/>
  <c r="N1463" i="1"/>
  <c r="M1463" i="1"/>
  <c r="O1462" i="1" a="1"/>
  <c r="N1462" i="1"/>
  <c r="M1462" i="1"/>
  <c r="O1461" i="1" a="1"/>
  <c r="N1461" i="1"/>
  <c r="M1461" i="1"/>
  <c r="O1460" i="1" a="1"/>
  <c r="N1460" i="1"/>
  <c r="M1460" i="1"/>
  <c r="O1459" i="1" a="1"/>
  <c r="N1459" i="1"/>
  <c r="M1459" i="1"/>
  <c r="O1458" i="1" a="1"/>
  <c r="N1458" i="1"/>
  <c r="M1458" i="1"/>
  <c r="O1457" i="1" a="1"/>
  <c r="N1457" i="1"/>
  <c r="M1457" i="1"/>
  <c r="O1456" i="1" a="1"/>
  <c r="N1456" i="1"/>
  <c r="M1456" i="1"/>
  <c r="O1455" i="1" a="1"/>
  <c r="N1455" i="1"/>
  <c r="M1455" i="1"/>
  <c r="O1454" i="1" a="1"/>
  <c r="N1454" i="1"/>
  <c r="M1454" i="1"/>
  <c r="O1453" i="1" a="1"/>
  <c r="N1453" i="1"/>
  <c r="M1453" i="1"/>
  <c r="O1452" i="1" a="1"/>
  <c r="N1452" i="1"/>
  <c r="M1452" i="1"/>
  <c r="O1451" i="1" a="1"/>
  <c r="N1451" i="1"/>
  <c r="M1451" i="1"/>
  <c r="O1450" i="1" a="1"/>
  <c r="N1450" i="1"/>
  <c r="M1450" i="1"/>
  <c r="O1449" i="1" a="1"/>
  <c r="N1449" i="1"/>
  <c r="M1449" i="1"/>
  <c r="O1448" i="1" a="1"/>
  <c r="N1448" i="1"/>
  <c r="M1448" i="1"/>
  <c r="O1447" i="1" a="1"/>
  <c r="N1447" i="1"/>
  <c r="M1447" i="1"/>
  <c r="O1446" i="1" a="1"/>
  <c r="N1446" i="1"/>
  <c r="M1446" i="1"/>
  <c r="O1445" i="1" a="1"/>
  <c r="N1445" i="1"/>
  <c r="M1445" i="1"/>
  <c r="O1444" i="1" a="1"/>
  <c r="N1444" i="1"/>
  <c r="M1444" i="1"/>
  <c r="O1443" i="1" a="1"/>
  <c r="N1443" i="1"/>
  <c r="M1443" i="1"/>
  <c r="O1442" i="1" a="1"/>
  <c r="N1442" i="1"/>
  <c r="M1442" i="1"/>
  <c r="O1441" i="1" a="1"/>
  <c r="N1441" i="1"/>
  <c r="M1441" i="1"/>
  <c r="O1440" i="1" a="1"/>
  <c r="N1440" i="1"/>
  <c r="M1440" i="1"/>
  <c r="O1439" i="1" a="1"/>
  <c r="N1439" i="1"/>
  <c r="M1439" i="1"/>
  <c r="O1438" i="1" a="1"/>
  <c r="N1438" i="1"/>
  <c r="M1438" i="1"/>
  <c r="O1437" i="1" a="1"/>
  <c r="N1437" i="1"/>
  <c r="M1437" i="1"/>
  <c r="O1436" i="1" a="1"/>
  <c r="N1436" i="1"/>
  <c r="M1436" i="1"/>
  <c r="O1435" i="1" a="1"/>
  <c r="N1435" i="1"/>
  <c r="M1435" i="1"/>
  <c r="O1434" i="1" a="1"/>
  <c r="N1434" i="1"/>
  <c r="M1434" i="1"/>
  <c r="O1433" i="1" a="1"/>
  <c r="N1433" i="1"/>
  <c r="M1433" i="1"/>
  <c r="O1432" i="1" a="1"/>
  <c r="N1432" i="1"/>
  <c r="M1432" i="1"/>
  <c r="O1431" i="1" a="1"/>
  <c r="N1431" i="1"/>
  <c r="M1431" i="1"/>
  <c r="O1430" i="1" a="1"/>
  <c r="N1430" i="1"/>
  <c r="M1430" i="1"/>
  <c r="O1429" i="1" a="1"/>
  <c r="N1429" i="1"/>
  <c r="M1429" i="1"/>
  <c r="O1428" i="1" a="1"/>
  <c r="N1428" i="1"/>
  <c r="M1428" i="1"/>
  <c r="O1427" i="1" a="1"/>
  <c r="N1427" i="1"/>
  <c r="M1427" i="1"/>
  <c r="O1426" i="1" a="1"/>
  <c r="N1426" i="1"/>
  <c r="M1426" i="1"/>
  <c r="O1425" i="1" a="1"/>
  <c r="N1425" i="1"/>
  <c r="M1425" i="1"/>
  <c r="O1424" i="1" a="1"/>
  <c r="N1424" i="1"/>
  <c r="M1424" i="1"/>
  <c r="O1423" i="1" a="1"/>
  <c r="N1423" i="1"/>
  <c r="M1423" i="1"/>
  <c r="O1422" i="1" a="1"/>
  <c r="N1422" i="1"/>
  <c r="M1422" i="1"/>
  <c r="O1421" i="1" a="1"/>
  <c r="N1421" i="1"/>
  <c r="M1421" i="1"/>
  <c r="O1420" i="1" a="1"/>
  <c r="N1420" i="1"/>
  <c r="M1420" i="1"/>
  <c r="O1419" i="1" a="1"/>
  <c r="N1419" i="1"/>
  <c r="M1419" i="1"/>
  <c r="O1418" i="1" a="1"/>
  <c r="N1418" i="1"/>
  <c r="M1418" i="1"/>
  <c r="O1417" i="1" a="1"/>
  <c r="N1417" i="1"/>
  <c r="M1417" i="1"/>
  <c r="O1416" i="1" a="1"/>
  <c r="N1416" i="1"/>
  <c r="M1416" i="1"/>
  <c r="O1415" i="1" a="1"/>
  <c r="N1415" i="1"/>
  <c r="M1415" i="1"/>
  <c r="O1414" i="1" a="1"/>
  <c r="N1414" i="1"/>
  <c r="M1414" i="1"/>
  <c r="O1413" i="1" a="1"/>
  <c r="N1413" i="1"/>
  <c r="M1413" i="1"/>
  <c r="O1412" i="1" a="1"/>
  <c r="N1412" i="1"/>
  <c r="M1412" i="1"/>
  <c r="O1411" i="1" a="1"/>
  <c r="N1411" i="1"/>
  <c r="M1411" i="1"/>
  <c r="O1410" i="1" a="1"/>
  <c r="N1410" i="1"/>
  <c r="M1410" i="1"/>
  <c r="O1409" i="1" a="1"/>
  <c r="N1409" i="1"/>
  <c r="M1409" i="1"/>
  <c r="O1408" i="1" a="1"/>
  <c r="N1408" i="1"/>
  <c r="M1408" i="1"/>
  <c r="O1407" i="1" a="1"/>
  <c r="N1407" i="1"/>
  <c r="M1407" i="1"/>
  <c r="O1406" i="1" a="1"/>
  <c r="N1406" i="1"/>
  <c r="M1406" i="1"/>
  <c r="O1405" i="1" a="1"/>
  <c r="N1405" i="1"/>
  <c r="M1405" i="1"/>
  <c r="O1404" i="1" a="1"/>
  <c r="N1404" i="1"/>
  <c r="M1404" i="1"/>
  <c r="O1403" i="1" a="1"/>
  <c r="N1403" i="1"/>
  <c r="M1403" i="1"/>
  <c r="O1402" i="1" a="1"/>
  <c r="N1402" i="1"/>
  <c r="M1402" i="1"/>
  <c r="O1401" i="1" a="1"/>
  <c r="N1401" i="1"/>
  <c r="M1401" i="1"/>
  <c r="O1400" i="1" a="1"/>
  <c r="N1400" i="1"/>
  <c r="M1400" i="1"/>
  <c r="O1399" i="1" a="1"/>
  <c r="N1399" i="1"/>
  <c r="M1399" i="1"/>
  <c r="O1398" i="1" a="1"/>
  <c r="N1398" i="1"/>
  <c r="M1398" i="1"/>
  <c r="O1397" i="1" a="1"/>
  <c r="N1397" i="1"/>
  <c r="M1397" i="1"/>
  <c r="O1396" i="1" a="1"/>
  <c r="N1396" i="1"/>
  <c r="M1396" i="1"/>
  <c r="O1395" i="1" a="1"/>
  <c r="N1395" i="1"/>
  <c r="M1395" i="1"/>
  <c r="O1394" i="1" a="1"/>
  <c r="N1394" i="1"/>
  <c r="M1394" i="1"/>
  <c r="O1393" i="1" a="1"/>
  <c r="N1393" i="1"/>
  <c r="M1393" i="1"/>
  <c r="O1392" i="1" a="1"/>
  <c r="N1392" i="1"/>
  <c r="M1392" i="1"/>
  <c r="O1391" i="1" a="1"/>
  <c r="N1391" i="1"/>
  <c r="M1391" i="1"/>
  <c r="O1390" i="1" a="1"/>
  <c r="N1390" i="1"/>
  <c r="M1390" i="1"/>
  <c r="O1389" i="1" a="1"/>
  <c r="N1389" i="1"/>
  <c r="M1389" i="1"/>
  <c r="O1388" i="1" a="1"/>
  <c r="N1388" i="1"/>
  <c r="M1388" i="1"/>
  <c r="O1387" i="1" a="1"/>
  <c r="N1387" i="1"/>
  <c r="M1387" i="1"/>
  <c r="O1386" i="1" a="1"/>
  <c r="N1386" i="1"/>
  <c r="M1386" i="1"/>
  <c r="O1385" i="1" a="1"/>
  <c r="N1385" i="1"/>
  <c r="M1385" i="1"/>
  <c r="O1384" i="1" a="1"/>
  <c r="N1384" i="1"/>
  <c r="M1384" i="1"/>
  <c r="O1383" i="1" a="1"/>
  <c r="N1383" i="1"/>
  <c r="M1383" i="1"/>
  <c r="O1382" i="1" a="1"/>
  <c r="N1382" i="1"/>
  <c r="M1382" i="1"/>
  <c r="O1381" i="1" a="1"/>
  <c r="N1381" i="1"/>
  <c r="M1381" i="1"/>
  <c r="O1380" i="1" a="1"/>
  <c r="N1380" i="1"/>
  <c r="M1380" i="1"/>
  <c r="O1379" i="1" a="1"/>
  <c r="N1379" i="1"/>
  <c r="M1379" i="1"/>
  <c r="O1378" i="1" a="1"/>
  <c r="N1378" i="1"/>
  <c r="M1378" i="1"/>
  <c r="O1377" i="1" a="1"/>
  <c r="N1377" i="1"/>
  <c r="M1377" i="1"/>
  <c r="O1376" i="1" a="1"/>
  <c r="N1376" i="1"/>
  <c r="M1376" i="1"/>
  <c r="O1375" i="1" a="1"/>
  <c r="N1375" i="1"/>
  <c r="M1375" i="1"/>
  <c r="O1374" i="1" a="1"/>
  <c r="N1374" i="1"/>
  <c r="M1374" i="1"/>
  <c r="O1373" i="1" a="1"/>
  <c r="N1373" i="1"/>
  <c r="M1373" i="1"/>
  <c r="O1372" i="1" a="1"/>
  <c r="N1372" i="1"/>
  <c r="M1372" i="1"/>
  <c r="O1371" i="1" a="1"/>
  <c r="N1371" i="1"/>
  <c r="M1371" i="1"/>
  <c r="O1370" i="1" a="1"/>
  <c r="N1370" i="1"/>
  <c r="M1370" i="1"/>
  <c r="O1369" i="1" a="1"/>
  <c r="N1369" i="1"/>
  <c r="M1369" i="1"/>
  <c r="O1368" i="1" a="1"/>
  <c r="N1368" i="1"/>
  <c r="M1368" i="1"/>
  <c r="O1367" i="1" a="1"/>
  <c r="N1367" i="1"/>
  <c r="M1367" i="1"/>
  <c r="O1366" i="1" a="1"/>
  <c r="N1366" i="1"/>
  <c r="M1366" i="1"/>
  <c r="O1365" i="1" a="1"/>
  <c r="N1365" i="1"/>
  <c r="M1365" i="1"/>
  <c r="O1364" i="1" a="1"/>
  <c r="N1364" i="1"/>
  <c r="M1364" i="1"/>
  <c r="O1363" i="1" a="1"/>
  <c r="N1363" i="1"/>
  <c r="M1363" i="1"/>
  <c r="O1362" i="1" a="1"/>
  <c r="N1362" i="1"/>
  <c r="M1362" i="1"/>
  <c r="O1361" i="1" a="1"/>
  <c r="N1361" i="1"/>
  <c r="M1361" i="1"/>
  <c r="O1360" i="1" a="1"/>
  <c r="N1360" i="1"/>
  <c r="M1360" i="1"/>
  <c r="O1359" i="1" a="1"/>
  <c r="N1359" i="1"/>
  <c r="M1359" i="1"/>
  <c r="O1358" i="1" a="1"/>
  <c r="N1358" i="1"/>
  <c r="M1358" i="1"/>
  <c r="O1357" i="1" a="1"/>
  <c r="N1357" i="1"/>
  <c r="M1357" i="1"/>
  <c r="O1356" i="1" a="1"/>
  <c r="N1356" i="1"/>
  <c r="M1356" i="1"/>
  <c r="O1355" i="1" a="1"/>
  <c r="N1355" i="1"/>
  <c r="M1355" i="1"/>
  <c r="O1354" i="1" a="1"/>
  <c r="N1354" i="1"/>
  <c r="M1354" i="1"/>
  <c r="O1353" i="1" a="1"/>
  <c r="N1353" i="1"/>
  <c r="M1353" i="1"/>
  <c r="O1352" i="1" a="1"/>
  <c r="N1352" i="1"/>
  <c r="M1352" i="1"/>
  <c r="O1351" i="1" a="1"/>
  <c r="N1351" i="1"/>
  <c r="M1351" i="1"/>
  <c r="O1350" i="1" a="1"/>
  <c r="N1350" i="1"/>
  <c r="M1350" i="1"/>
  <c r="O1349" i="1" a="1"/>
  <c r="N1349" i="1"/>
  <c r="M1349" i="1"/>
  <c r="O1348" i="1" a="1"/>
  <c r="N1348" i="1"/>
  <c r="M1348" i="1"/>
  <c r="O1347" i="1" a="1"/>
  <c r="N1347" i="1"/>
  <c r="M1347" i="1"/>
  <c r="O1346" i="1" a="1"/>
  <c r="N1346" i="1"/>
  <c r="M1346" i="1"/>
  <c r="O1345" i="1" a="1"/>
  <c r="N1345" i="1"/>
  <c r="M1345" i="1"/>
  <c r="O1344" i="1" a="1"/>
  <c r="N1344" i="1"/>
  <c r="M1344" i="1"/>
  <c r="O1343" i="1" a="1"/>
  <c r="N1343" i="1"/>
  <c r="M1343" i="1"/>
  <c r="O1342" i="1" a="1"/>
  <c r="N1342" i="1"/>
  <c r="M1342" i="1"/>
  <c r="O1341" i="1" a="1"/>
  <c r="N1341" i="1"/>
  <c r="M1341" i="1"/>
  <c r="O1340" i="1" a="1"/>
  <c r="N1340" i="1"/>
  <c r="M1340" i="1"/>
  <c r="O1339" i="1" a="1"/>
  <c r="N1339" i="1"/>
  <c r="M1339" i="1"/>
  <c r="O1338" i="1" a="1"/>
  <c r="N1338" i="1"/>
  <c r="M1338" i="1"/>
  <c r="O1337" i="1" a="1"/>
  <c r="N1337" i="1"/>
  <c r="M1337" i="1"/>
  <c r="O1336" i="1" a="1"/>
  <c r="N1336" i="1"/>
  <c r="M1336" i="1"/>
  <c r="O1335" i="1" a="1"/>
  <c r="N1335" i="1"/>
  <c r="M1335" i="1"/>
  <c r="O1334" i="1" a="1"/>
  <c r="N1334" i="1"/>
  <c r="M1334" i="1"/>
  <c r="O1333" i="1" a="1"/>
  <c r="N1333" i="1"/>
  <c r="M1333" i="1"/>
  <c r="O1332" i="1" a="1"/>
  <c r="N1332" i="1"/>
  <c r="M1332" i="1"/>
  <c r="O1331" i="1" a="1"/>
  <c r="N1331" i="1"/>
  <c r="M1331" i="1"/>
  <c r="O1330" i="1" a="1"/>
  <c r="N1330" i="1"/>
  <c r="M1330" i="1"/>
  <c r="O1329" i="1" a="1"/>
  <c r="N1329" i="1"/>
  <c r="M1329" i="1"/>
  <c r="O1328" i="1" a="1"/>
  <c r="N1328" i="1"/>
  <c r="M1328" i="1"/>
  <c r="O1327" i="1" a="1"/>
  <c r="N1327" i="1"/>
  <c r="M1327" i="1"/>
  <c r="O1326" i="1" a="1"/>
  <c r="N1326" i="1"/>
  <c r="M1326" i="1"/>
  <c r="O1325" i="1" a="1"/>
  <c r="N1325" i="1"/>
  <c r="M1325" i="1"/>
  <c r="O1324" i="1" a="1"/>
  <c r="N1324" i="1"/>
  <c r="M1324" i="1"/>
  <c r="O1323" i="1" a="1"/>
  <c r="N1323" i="1"/>
  <c r="M1323" i="1"/>
  <c r="O1322" i="1" a="1"/>
  <c r="N1322" i="1"/>
  <c r="M1322" i="1"/>
  <c r="O1321" i="1" a="1"/>
  <c r="N1321" i="1"/>
  <c r="M1321" i="1"/>
  <c r="O1320" i="1" a="1"/>
  <c r="N1320" i="1"/>
  <c r="M1320" i="1"/>
  <c r="O1319" i="1" a="1"/>
  <c r="N1319" i="1"/>
  <c r="M1319" i="1"/>
  <c r="O1318" i="1" a="1"/>
  <c r="N1318" i="1"/>
  <c r="M1318" i="1"/>
  <c r="O1317" i="1" a="1"/>
  <c r="N1317" i="1"/>
  <c r="M1317" i="1"/>
  <c r="O1316" i="1" a="1"/>
  <c r="N1316" i="1"/>
  <c r="M1316" i="1"/>
  <c r="O1315" i="1" a="1"/>
  <c r="N1315" i="1"/>
  <c r="M1315" i="1"/>
  <c r="O1314" i="1" a="1"/>
  <c r="N1314" i="1"/>
  <c r="M1314" i="1"/>
  <c r="O1313" i="1" a="1"/>
  <c r="N1313" i="1"/>
  <c r="M1313" i="1"/>
  <c r="O1312" i="1" a="1"/>
  <c r="N1312" i="1"/>
  <c r="M1312" i="1"/>
  <c r="O1311" i="1" a="1"/>
  <c r="N1311" i="1"/>
  <c r="M1311" i="1"/>
  <c r="O1310" i="1" a="1"/>
  <c r="N1310" i="1"/>
  <c r="M1310" i="1"/>
  <c r="O1309" i="1" a="1"/>
  <c r="N1309" i="1"/>
  <c r="M1309" i="1"/>
  <c r="O1308" i="1" a="1"/>
  <c r="N1308" i="1"/>
  <c r="M1308" i="1"/>
  <c r="O1307" i="1" a="1"/>
  <c r="N1307" i="1"/>
  <c r="M1307" i="1"/>
  <c r="O1306" i="1" a="1"/>
  <c r="N1306" i="1"/>
  <c r="M1306" i="1"/>
  <c r="O1305" i="1" a="1"/>
  <c r="N1305" i="1"/>
  <c r="M1305" i="1"/>
  <c r="O1304" i="1" a="1"/>
  <c r="N1304" i="1"/>
  <c r="M1304" i="1"/>
  <c r="O1303" i="1" a="1"/>
  <c r="N1303" i="1"/>
  <c r="M1303" i="1"/>
  <c r="O1302" i="1" a="1"/>
  <c r="N1302" i="1"/>
  <c r="M1302" i="1"/>
  <c r="O1301" i="1" a="1"/>
  <c r="N1301" i="1"/>
  <c r="M1301" i="1"/>
  <c r="O1300" i="1" a="1"/>
  <c r="N1300" i="1"/>
  <c r="M1300" i="1"/>
  <c r="O1299" i="1" a="1"/>
  <c r="N1299" i="1"/>
  <c r="M1299" i="1"/>
  <c r="O1298" i="1" a="1"/>
  <c r="N1298" i="1"/>
  <c r="M1298" i="1"/>
  <c r="O1297" i="1" a="1"/>
  <c r="N1297" i="1"/>
  <c r="M1297" i="1"/>
  <c r="O1296" i="1" a="1"/>
  <c r="N1296" i="1"/>
  <c r="M1296" i="1"/>
  <c r="O1295" i="1" a="1"/>
  <c r="N1295" i="1"/>
  <c r="M1295" i="1"/>
  <c r="O1294" i="1" a="1"/>
  <c r="N1294" i="1"/>
  <c r="M1294" i="1"/>
  <c r="O1293" i="1" a="1"/>
  <c r="N1293" i="1"/>
  <c r="M1293" i="1"/>
  <c r="O1292" i="1" a="1"/>
  <c r="N1292" i="1"/>
  <c r="M1292" i="1"/>
  <c r="O1291" i="1" a="1"/>
  <c r="N1291" i="1"/>
  <c r="M1291" i="1"/>
  <c r="O1290" i="1" a="1"/>
  <c r="N1290" i="1"/>
  <c r="M1290" i="1"/>
  <c r="O1289" i="1" a="1"/>
  <c r="N1289" i="1"/>
  <c r="M1289" i="1"/>
  <c r="O1288" i="1" a="1"/>
  <c r="N1288" i="1"/>
  <c r="M1288" i="1"/>
  <c r="O1287" i="1" a="1"/>
  <c r="N1287" i="1"/>
  <c r="M1287" i="1"/>
  <c r="O1286" i="1" a="1"/>
  <c r="N1286" i="1"/>
  <c r="M1286" i="1"/>
  <c r="O1285" i="1" a="1"/>
  <c r="N1285" i="1"/>
  <c r="M1285" i="1"/>
  <c r="O1284" i="1" a="1"/>
  <c r="N1284" i="1"/>
  <c r="M1284" i="1"/>
  <c r="O1283" i="1" a="1"/>
  <c r="N1283" i="1"/>
  <c r="M1283" i="1"/>
  <c r="O1282" i="1" a="1"/>
  <c r="N1282" i="1"/>
  <c r="M1282" i="1"/>
  <c r="O1281" i="1" a="1"/>
  <c r="N1281" i="1"/>
  <c r="M1281" i="1"/>
  <c r="O1280" i="1" a="1"/>
  <c r="N1280" i="1"/>
  <c r="M1280" i="1"/>
  <c r="O1279" i="1" a="1"/>
  <c r="N1279" i="1"/>
  <c r="M1279" i="1"/>
  <c r="O1278" i="1" a="1"/>
  <c r="N1278" i="1"/>
  <c r="M1278" i="1"/>
  <c r="O1277" i="1" a="1"/>
  <c r="N1277" i="1"/>
  <c r="M1277" i="1"/>
  <c r="O1276" i="1" a="1"/>
  <c r="N1276" i="1"/>
  <c r="M1276" i="1"/>
  <c r="O1275" i="1" a="1"/>
  <c r="N1275" i="1"/>
  <c r="M1275" i="1"/>
  <c r="O1274" i="1" a="1"/>
  <c r="N1274" i="1"/>
  <c r="M1274" i="1"/>
  <c r="O1273" i="1" a="1"/>
  <c r="N1273" i="1"/>
  <c r="M1273" i="1"/>
  <c r="O1272" i="1" a="1"/>
  <c r="N1272" i="1"/>
  <c r="M1272" i="1"/>
  <c r="O1271" i="1" a="1"/>
  <c r="N1271" i="1"/>
  <c r="M1271" i="1"/>
  <c r="O1270" i="1" a="1"/>
  <c r="N1270" i="1"/>
  <c r="M1270" i="1"/>
  <c r="O1269" i="1" a="1"/>
  <c r="N1269" i="1"/>
  <c r="M1269" i="1"/>
  <c r="O1268" i="1" a="1"/>
  <c r="N1268" i="1"/>
  <c r="M1268" i="1"/>
  <c r="O1267" i="1" a="1"/>
  <c r="N1267" i="1"/>
  <c r="M1267" i="1"/>
  <c r="O1266" i="1" a="1"/>
  <c r="N1266" i="1"/>
  <c r="M1266" i="1"/>
  <c r="O1265" i="1" a="1"/>
  <c r="N1265" i="1"/>
  <c r="M1265" i="1"/>
  <c r="O1264" i="1" a="1"/>
  <c r="N1264" i="1"/>
  <c r="M1264" i="1"/>
  <c r="O1263" i="1" a="1"/>
  <c r="N1263" i="1"/>
  <c r="M1263" i="1"/>
  <c r="O1262" i="1" a="1"/>
  <c r="N1262" i="1"/>
  <c r="M1262" i="1"/>
  <c r="O1261" i="1" a="1"/>
  <c r="N1261" i="1"/>
  <c r="M1261" i="1"/>
  <c r="O1260" i="1" a="1"/>
  <c r="N1260" i="1"/>
  <c r="M1260" i="1"/>
  <c r="O1259" i="1" a="1"/>
  <c r="N1259" i="1"/>
  <c r="M1259" i="1"/>
  <c r="O1258" i="1" a="1"/>
  <c r="N1258" i="1"/>
  <c r="M1258" i="1"/>
  <c r="O1257" i="1" a="1"/>
  <c r="N1257" i="1"/>
  <c r="M1257" i="1"/>
  <c r="O1256" i="1" a="1"/>
  <c r="N1256" i="1"/>
  <c r="M1256" i="1"/>
  <c r="O1255" i="1" a="1"/>
  <c r="N1255" i="1"/>
  <c r="M1255" i="1"/>
  <c r="O1254" i="1" a="1"/>
  <c r="N1254" i="1"/>
  <c r="M1254" i="1"/>
  <c r="O1253" i="1" a="1"/>
  <c r="N1253" i="1"/>
  <c r="M1253" i="1"/>
  <c r="O1252" i="1" a="1"/>
  <c r="N1252" i="1"/>
  <c r="M1252" i="1"/>
  <c r="O1251" i="1" a="1"/>
  <c r="N1251" i="1"/>
  <c r="M1251" i="1"/>
  <c r="O1250" i="1" a="1"/>
  <c r="N1250" i="1"/>
  <c r="M1250" i="1"/>
  <c r="O1249" i="1" a="1"/>
  <c r="N1249" i="1"/>
  <c r="M1249" i="1"/>
  <c r="O1248" i="1" a="1"/>
  <c r="N1248" i="1"/>
  <c r="M1248" i="1"/>
  <c r="O1247" i="1" a="1"/>
  <c r="N1247" i="1"/>
  <c r="M1247" i="1"/>
  <c r="O1246" i="1" a="1"/>
  <c r="N1246" i="1"/>
  <c r="M1246" i="1"/>
  <c r="O1245" i="1" a="1"/>
  <c r="N1245" i="1"/>
  <c r="M1245" i="1"/>
  <c r="O1244" i="1" a="1"/>
  <c r="N1244" i="1"/>
  <c r="M1244" i="1"/>
  <c r="O1243" i="1" a="1"/>
  <c r="N1243" i="1"/>
  <c r="M1243" i="1"/>
  <c r="O1242" i="1" a="1"/>
  <c r="N1242" i="1"/>
  <c r="M1242" i="1"/>
  <c r="O1241" i="1" a="1"/>
  <c r="N1241" i="1"/>
  <c r="M1241" i="1"/>
  <c r="O1240" i="1" a="1"/>
  <c r="N1240" i="1"/>
  <c r="M1240" i="1"/>
  <c r="O1239" i="1" a="1"/>
  <c r="N1239" i="1"/>
  <c r="M1239" i="1"/>
  <c r="O1238" i="1" a="1"/>
  <c r="N1238" i="1"/>
  <c r="M1238" i="1"/>
  <c r="O1237" i="1" a="1"/>
  <c r="N1237" i="1"/>
  <c r="M1237" i="1"/>
  <c r="O1236" i="1" a="1"/>
  <c r="N1236" i="1"/>
  <c r="M1236" i="1"/>
  <c r="O1235" i="1" a="1"/>
  <c r="N1235" i="1"/>
  <c r="M1235" i="1"/>
  <c r="O1234" i="1" a="1"/>
  <c r="N1234" i="1"/>
  <c r="M1234" i="1"/>
  <c r="O1233" i="1" a="1"/>
  <c r="N1233" i="1"/>
  <c r="M1233" i="1"/>
  <c r="O1232" i="1" a="1"/>
  <c r="N1232" i="1"/>
  <c r="M1232" i="1"/>
  <c r="O1231" i="1" a="1"/>
  <c r="N1231" i="1"/>
  <c r="M1231" i="1"/>
  <c r="O1230" i="1" a="1"/>
  <c r="N1230" i="1"/>
  <c r="M1230" i="1"/>
  <c r="O1229" i="1" a="1"/>
  <c r="N1229" i="1"/>
  <c r="M1229" i="1"/>
  <c r="O1228" i="1" a="1"/>
  <c r="N1228" i="1"/>
  <c r="M1228" i="1"/>
  <c r="O1227" i="1" a="1"/>
  <c r="N1227" i="1"/>
  <c r="M1227" i="1"/>
  <c r="O1226" i="1" a="1"/>
  <c r="N1226" i="1"/>
  <c r="M1226" i="1"/>
  <c r="O1225" i="1" a="1"/>
  <c r="N1225" i="1"/>
  <c r="M1225" i="1"/>
  <c r="O1224" i="1" a="1"/>
  <c r="N1224" i="1"/>
  <c r="M1224" i="1"/>
  <c r="O1223" i="1" a="1"/>
  <c r="N1223" i="1"/>
  <c r="M1223" i="1"/>
  <c r="O1222" i="1" a="1"/>
  <c r="N1222" i="1"/>
  <c r="M1222" i="1"/>
  <c r="O1221" i="1" a="1"/>
  <c r="N1221" i="1"/>
  <c r="M1221" i="1"/>
  <c r="O1220" i="1" a="1"/>
  <c r="N1220" i="1"/>
  <c r="M1220" i="1"/>
  <c r="O1219" i="1" a="1"/>
  <c r="N1219" i="1"/>
  <c r="M1219" i="1"/>
  <c r="O1218" i="1" a="1"/>
  <c r="N1218" i="1"/>
  <c r="M1218" i="1"/>
  <c r="O1217" i="1" a="1"/>
  <c r="N1217" i="1"/>
  <c r="M1217" i="1"/>
  <c r="O1216" i="1" a="1"/>
  <c r="N1216" i="1"/>
  <c r="M1216" i="1"/>
  <c r="O1215" i="1" a="1"/>
  <c r="N1215" i="1"/>
  <c r="M1215" i="1"/>
  <c r="O1214" i="1" a="1"/>
  <c r="N1214" i="1"/>
  <c r="M1214" i="1"/>
  <c r="O1213" i="1" a="1"/>
  <c r="N1213" i="1"/>
  <c r="M1213" i="1"/>
  <c r="O1212" i="1" a="1"/>
  <c r="N1212" i="1"/>
  <c r="M1212" i="1"/>
  <c r="O1211" i="1" a="1"/>
  <c r="N1211" i="1"/>
  <c r="M1211" i="1"/>
  <c r="O1210" i="1" a="1"/>
  <c r="N1210" i="1"/>
  <c r="M1210" i="1"/>
  <c r="O1209" i="1" a="1"/>
  <c r="N1209" i="1"/>
  <c r="M1209" i="1"/>
  <c r="O1208" i="1" a="1"/>
  <c r="N1208" i="1"/>
  <c r="M1208" i="1"/>
  <c r="O1207" i="1" a="1"/>
  <c r="N1207" i="1"/>
  <c r="M1207" i="1"/>
  <c r="O1206" i="1" a="1"/>
  <c r="N1206" i="1"/>
  <c r="M1206" i="1"/>
  <c r="O1205" i="1" a="1"/>
  <c r="N1205" i="1"/>
  <c r="M1205" i="1"/>
  <c r="O1204" i="1" a="1"/>
  <c r="N1204" i="1"/>
  <c r="M1204" i="1"/>
  <c r="O1203" i="1" a="1"/>
  <c r="N1203" i="1"/>
  <c r="M1203" i="1"/>
  <c r="O1202" i="1" a="1"/>
  <c r="N1202" i="1"/>
  <c r="M1202" i="1"/>
  <c r="O1201" i="1" a="1"/>
  <c r="N1201" i="1"/>
  <c r="M1201" i="1"/>
  <c r="O1200" i="1" a="1"/>
  <c r="N1200" i="1"/>
  <c r="M1200" i="1"/>
  <c r="O1199" i="1" a="1"/>
  <c r="N1199" i="1"/>
  <c r="M1199" i="1"/>
  <c r="O1198" i="1" a="1"/>
  <c r="N1198" i="1"/>
  <c r="M1198" i="1"/>
  <c r="O1197" i="1" a="1"/>
  <c r="N1197" i="1"/>
  <c r="M1197" i="1"/>
  <c r="O1196" i="1" a="1"/>
  <c r="N1196" i="1"/>
  <c r="M1196" i="1"/>
  <c r="O1195" i="1" a="1"/>
  <c r="N1195" i="1"/>
  <c r="M1195" i="1"/>
  <c r="O1194" i="1" a="1"/>
  <c r="N1194" i="1"/>
  <c r="M1194" i="1"/>
  <c r="O1193" i="1" a="1"/>
  <c r="N1193" i="1"/>
  <c r="M1193" i="1"/>
  <c r="O1192" i="1" a="1"/>
  <c r="N1192" i="1"/>
  <c r="M1192" i="1"/>
  <c r="O1191" i="1" a="1"/>
  <c r="N1191" i="1"/>
  <c r="M1191" i="1"/>
  <c r="O1190" i="1" a="1"/>
  <c r="N1190" i="1"/>
  <c r="M1190" i="1"/>
  <c r="O1189" i="1" a="1"/>
  <c r="N1189" i="1"/>
  <c r="M1189" i="1"/>
  <c r="O1188" i="1" a="1"/>
  <c r="N1188" i="1"/>
  <c r="M1188" i="1"/>
  <c r="O1187" i="1" a="1"/>
  <c r="N1187" i="1"/>
  <c r="M1187" i="1"/>
  <c r="O1186" i="1" a="1"/>
  <c r="N1186" i="1"/>
  <c r="M1186" i="1"/>
  <c r="O1185" i="1" a="1"/>
  <c r="N1185" i="1"/>
  <c r="M1185" i="1"/>
  <c r="O1184" i="1" a="1"/>
  <c r="N1184" i="1"/>
  <c r="M1184" i="1"/>
  <c r="O1183" i="1" a="1"/>
  <c r="N1183" i="1"/>
  <c r="M1183" i="1"/>
  <c r="O1182" i="1" a="1"/>
  <c r="N1182" i="1"/>
  <c r="M1182" i="1"/>
  <c r="O1181" i="1" a="1"/>
  <c r="N1181" i="1"/>
  <c r="M1181" i="1"/>
  <c r="O1180" i="1" a="1"/>
  <c r="N1180" i="1"/>
  <c r="M1180" i="1"/>
  <c r="O1179" i="1" a="1"/>
  <c r="N1179" i="1"/>
  <c r="M1179" i="1"/>
  <c r="O1178" i="1" a="1"/>
  <c r="N1178" i="1"/>
  <c r="M1178" i="1"/>
  <c r="O1177" i="1" a="1"/>
  <c r="N1177" i="1"/>
  <c r="M1177" i="1"/>
  <c r="O1176" i="1" a="1"/>
  <c r="N1176" i="1"/>
  <c r="M1176" i="1"/>
  <c r="O1175" i="1" a="1"/>
  <c r="N1175" i="1"/>
  <c r="M1175" i="1"/>
  <c r="O1174" i="1" a="1"/>
  <c r="N1174" i="1"/>
  <c r="M1174" i="1"/>
  <c r="O1173" i="1" a="1"/>
  <c r="N1173" i="1"/>
  <c r="M1173" i="1"/>
  <c r="O1172" i="1" a="1"/>
  <c r="N1172" i="1"/>
  <c r="M1172" i="1"/>
  <c r="O1171" i="1" a="1"/>
  <c r="N1171" i="1"/>
  <c r="M1171" i="1"/>
  <c r="O1170" i="1" a="1"/>
  <c r="N1170" i="1"/>
  <c r="M1170" i="1"/>
  <c r="O1169" i="1" a="1"/>
  <c r="N1169" i="1"/>
  <c r="M1169" i="1"/>
  <c r="O1168" i="1" a="1"/>
  <c r="N1168" i="1"/>
  <c r="M1168" i="1"/>
  <c r="O1167" i="1" a="1"/>
  <c r="N1167" i="1"/>
  <c r="M1167" i="1"/>
  <c r="O1166" i="1" a="1"/>
  <c r="N1166" i="1"/>
  <c r="M1166" i="1"/>
  <c r="O1165" i="1" a="1"/>
  <c r="N1165" i="1"/>
  <c r="M1165" i="1"/>
  <c r="O1164" i="1" a="1"/>
  <c r="N1164" i="1"/>
  <c r="M1164" i="1"/>
  <c r="O1163" i="1" a="1"/>
  <c r="N1163" i="1"/>
  <c r="M1163" i="1"/>
  <c r="O1162" i="1" a="1"/>
  <c r="N1162" i="1"/>
  <c r="M1162" i="1"/>
  <c r="O1161" i="1" a="1"/>
  <c r="N1161" i="1"/>
  <c r="M1161" i="1"/>
  <c r="O1160" i="1" a="1"/>
  <c r="N1160" i="1"/>
  <c r="M1160" i="1"/>
  <c r="O1159" i="1" a="1"/>
  <c r="N1159" i="1"/>
  <c r="M1159" i="1"/>
  <c r="O1158" i="1" a="1"/>
  <c r="N1158" i="1"/>
  <c r="M1158" i="1"/>
  <c r="O1157" i="1" a="1"/>
  <c r="N1157" i="1"/>
  <c r="M1157" i="1"/>
  <c r="O1156" i="1" a="1"/>
  <c r="N1156" i="1"/>
  <c r="M1156" i="1"/>
  <c r="O1155" i="1" a="1"/>
  <c r="N1155" i="1"/>
  <c r="M1155" i="1"/>
  <c r="O1154" i="1" a="1"/>
  <c r="N1154" i="1"/>
  <c r="M1154" i="1"/>
  <c r="O1153" i="1" a="1"/>
  <c r="N1153" i="1"/>
  <c r="M1153" i="1"/>
  <c r="O1152" i="1" a="1"/>
  <c r="N1152" i="1"/>
  <c r="M1152" i="1"/>
  <c r="O1151" i="1" a="1"/>
  <c r="N1151" i="1"/>
  <c r="M1151" i="1"/>
  <c r="O1150" i="1" a="1"/>
  <c r="N1150" i="1"/>
  <c r="M1150" i="1"/>
  <c r="O1149" i="1" a="1"/>
  <c r="N1149" i="1"/>
  <c r="M1149" i="1"/>
  <c r="O1148" i="1" a="1"/>
  <c r="N1148" i="1"/>
  <c r="M1148" i="1"/>
  <c r="O1147" i="1" a="1"/>
  <c r="N1147" i="1"/>
  <c r="M1147" i="1"/>
  <c r="O1146" i="1" a="1"/>
  <c r="N1146" i="1"/>
  <c r="M1146" i="1"/>
  <c r="O1145" i="1" a="1"/>
  <c r="N1145" i="1"/>
  <c r="M1145" i="1"/>
  <c r="O1144" i="1" a="1"/>
  <c r="N1144" i="1"/>
  <c r="M1144" i="1"/>
  <c r="O1143" i="1" a="1"/>
  <c r="N1143" i="1"/>
  <c r="M1143" i="1"/>
  <c r="O1142" i="1" a="1"/>
  <c r="N1142" i="1"/>
  <c r="M1142" i="1"/>
  <c r="O1141" i="1" a="1"/>
  <c r="N1141" i="1"/>
  <c r="M1141" i="1"/>
  <c r="O1140" i="1" a="1"/>
  <c r="N1140" i="1"/>
  <c r="M1140" i="1"/>
  <c r="O1139" i="1" a="1"/>
  <c r="N1139" i="1"/>
  <c r="M1139" i="1"/>
  <c r="O1138" i="1" a="1"/>
  <c r="N1138" i="1"/>
  <c r="M1138" i="1"/>
  <c r="O1137" i="1" a="1"/>
  <c r="N1137" i="1"/>
  <c r="M1137" i="1"/>
  <c r="O1136" i="1" a="1"/>
  <c r="N1136" i="1"/>
  <c r="M1136" i="1"/>
  <c r="O1135" i="1" a="1"/>
  <c r="N1135" i="1"/>
  <c r="M1135" i="1"/>
  <c r="O1134" i="1" a="1"/>
  <c r="N1134" i="1"/>
  <c r="M1134" i="1"/>
  <c r="O1133" i="1" a="1"/>
  <c r="N1133" i="1"/>
  <c r="M1133" i="1"/>
  <c r="O1132" i="1" a="1"/>
  <c r="N1132" i="1"/>
  <c r="M1132" i="1"/>
  <c r="O1131" i="1" a="1"/>
  <c r="N1131" i="1"/>
  <c r="M1131" i="1"/>
  <c r="O1130" i="1" a="1"/>
  <c r="N1130" i="1"/>
  <c r="M1130" i="1"/>
  <c r="O1129" i="1" a="1"/>
  <c r="N1129" i="1"/>
  <c r="M1129" i="1"/>
  <c r="O1128" i="1" a="1"/>
  <c r="N1128" i="1"/>
  <c r="M1128" i="1"/>
  <c r="O1127" i="1" a="1"/>
  <c r="N1127" i="1"/>
  <c r="M1127" i="1"/>
  <c r="O1126" i="1" a="1"/>
  <c r="N1126" i="1"/>
  <c r="M1126" i="1"/>
  <c r="O1125" i="1" a="1"/>
  <c r="N1125" i="1"/>
  <c r="M1125" i="1"/>
  <c r="O1124" i="1" a="1"/>
  <c r="N1124" i="1"/>
  <c r="M1124" i="1"/>
  <c r="O1123" i="1" a="1"/>
  <c r="N1123" i="1"/>
  <c r="M1123" i="1"/>
  <c r="O1122" i="1" a="1"/>
  <c r="N1122" i="1"/>
  <c r="M1122" i="1"/>
  <c r="O1121" i="1" a="1"/>
  <c r="N1121" i="1"/>
  <c r="M1121" i="1"/>
  <c r="O1120" i="1" a="1"/>
  <c r="N1120" i="1"/>
  <c r="M1120" i="1"/>
  <c r="O1119" i="1" a="1"/>
  <c r="N1119" i="1"/>
  <c r="M1119" i="1"/>
  <c r="O1118" i="1" a="1"/>
  <c r="N1118" i="1"/>
  <c r="M1118" i="1"/>
  <c r="O1117" i="1" a="1"/>
  <c r="N1117" i="1"/>
  <c r="M1117" i="1"/>
  <c r="O1116" i="1" a="1"/>
  <c r="N1116" i="1"/>
  <c r="M1116" i="1"/>
  <c r="O1115" i="1" a="1"/>
  <c r="N1115" i="1"/>
  <c r="M1115" i="1"/>
  <c r="O1114" i="1" a="1"/>
  <c r="N1114" i="1"/>
  <c r="M1114" i="1"/>
  <c r="O1113" i="1" a="1"/>
  <c r="N1113" i="1"/>
  <c r="M1113" i="1"/>
  <c r="O1112" i="1" a="1"/>
  <c r="N1112" i="1"/>
  <c r="M1112" i="1"/>
  <c r="O1111" i="1" a="1"/>
  <c r="N1111" i="1"/>
  <c r="M1111" i="1"/>
  <c r="O1110" i="1" a="1"/>
  <c r="N1110" i="1"/>
  <c r="M1110" i="1"/>
  <c r="O1109" i="1" a="1"/>
  <c r="N1109" i="1"/>
  <c r="M1109" i="1"/>
  <c r="O1108" i="1" a="1"/>
  <c r="N1108" i="1"/>
  <c r="M1108" i="1"/>
  <c r="O1107" i="1" a="1"/>
  <c r="N1107" i="1"/>
  <c r="M1107" i="1"/>
  <c r="O1106" i="1" a="1"/>
  <c r="N1106" i="1"/>
  <c r="M1106" i="1"/>
  <c r="O1105" i="1" a="1"/>
  <c r="N1105" i="1"/>
  <c r="M1105" i="1"/>
  <c r="O1104" i="1" a="1"/>
  <c r="N1104" i="1"/>
  <c r="M1104" i="1"/>
  <c r="O1103" i="1" a="1"/>
  <c r="N1103" i="1"/>
  <c r="M1103" i="1"/>
  <c r="O1102" i="1" a="1"/>
  <c r="N1102" i="1"/>
  <c r="M1102" i="1"/>
  <c r="O1101" i="1" a="1"/>
  <c r="N1101" i="1"/>
  <c r="M1101" i="1"/>
  <c r="O1100" i="1" a="1"/>
  <c r="N1100" i="1"/>
  <c r="M1100" i="1"/>
  <c r="O1099" i="1" a="1"/>
  <c r="N1099" i="1"/>
  <c r="M1099" i="1"/>
  <c r="O1098" i="1" a="1"/>
  <c r="N1098" i="1"/>
  <c r="M1098" i="1"/>
  <c r="O1097" i="1" a="1"/>
  <c r="N1097" i="1"/>
  <c r="M1097" i="1"/>
  <c r="O1096" i="1" a="1"/>
  <c r="N1096" i="1"/>
  <c r="M1096" i="1"/>
  <c r="O1095" i="1" a="1"/>
  <c r="N1095" i="1"/>
  <c r="M1095" i="1"/>
  <c r="O1094" i="1" a="1"/>
  <c r="N1094" i="1"/>
  <c r="M1094" i="1"/>
  <c r="O1093" i="1" a="1"/>
  <c r="N1093" i="1"/>
  <c r="M1093" i="1"/>
  <c r="O1092" i="1" a="1"/>
  <c r="N1092" i="1"/>
  <c r="M1092" i="1"/>
  <c r="O1091" i="1" a="1"/>
  <c r="N1091" i="1"/>
  <c r="M1091" i="1"/>
  <c r="O1090" i="1" a="1"/>
  <c r="N1090" i="1"/>
  <c r="M1090" i="1"/>
  <c r="O1089" i="1" a="1"/>
  <c r="N1089" i="1"/>
  <c r="M1089" i="1"/>
  <c r="O1088" i="1" a="1"/>
  <c r="N1088" i="1"/>
  <c r="M1088" i="1"/>
  <c r="O1087" i="1" a="1"/>
  <c r="N1087" i="1"/>
  <c r="M1087" i="1"/>
  <c r="O1086" i="1" a="1"/>
  <c r="N1086" i="1"/>
  <c r="M1086" i="1"/>
  <c r="O1085" i="1" a="1"/>
  <c r="N1085" i="1"/>
  <c r="M1085" i="1"/>
  <c r="O1084" i="1" a="1"/>
  <c r="N1084" i="1"/>
  <c r="M1084" i="1"/>
  <c r="O1083" i="1" a="1"/>
  <c r="N1083" i="1"/>
  <c r="M1083" i="1"/>
  <c r="O1082" i="1" a="1"/>
  <c r="N1082" i="1"/>
  <c r="M1082" i="1"/>
  <c r="O1081" i="1" a="1"/>
  <c r="N1081" i="1"/>
  <c r="M1081" i="1"/>
  <c r="O1080" i="1" a="1"/>
  <c r="N1080" i="1"/>
  <c r="M1080" i="1"/>
  <c r="O1079" i="1" a="1"/>
  <c r="N1079" i="1"/>
  <c r="M1079" i="1"/>
  <c r="O1078" i="1" a="1"/>
  <c r="N1078" i="1"/>
  <c r="M1078" i="1"/>
  <c r="O1077" i="1" a="1"/>
  <c r="N1077" i="1"/>
  <c r="M1077" i="1"/>
  <c r="O1076" i="1" a="1"/>
  <c r="N1076" i="1"/>
  <c r="M1076" i="1"/>
  <c r="O1075" i="1" a="1"/>
  <c r="N1075" i="1"/>
  <c r="M1075" i="1"/>
  <c r="O1074" i="1" a="1"/>
  <c r="N1074" i="1"/>
  <c r="M1074" i="1"/>
  <c r="O1073" i="1" a="1"/>
  <c r="N1073" i="1"/>
  <c r="M1073" i="1"/>
  <c r="O1072" i="1" a="1"/>
  <c r="N1072" i="1"/>
  <c r="M1072" i="1"/>
  <c r="O1071" i="1" a="1"/>
  <c r="N1071" i="1"/>
  <c r="M1071" i="1"/>
  <c r="O1070" i="1" a="1"/>
  <c r="N1070" i="1"/>
  <c r="M1070" i="1"/>
  <c r="O1069" i="1" a="1"/>
  <c r="N1069" i="1"/>
  <c r="M1069" i="1"/>
  <c r="O1068" i="1" a="1"/>
  <c r="N1068" i="1"/>
  <c r="M1068" i="1"/>
  <c r="O1067" i="1" a="1"/>
  <c r="N1067" i="1"/>
  <c r="M1067" i="1"/>
  <c r="O1066" i="1" a="1"/>
  <c r="N1066" i="1"/>
  <c r="M1066" i="1"/>
  <c r="O1065" i="1" a="1"/>
  <c r="N1065" i="1"/>
  <c r="M1065" i="1"/>
  <c r="O1064" i="1" a="1"/>
  <c r="N1064" i="1"/>
  <c r="M1064" i="1"/>
  <c r="O1063" i="1" a="1"/>
  <c r="N1063" i="1"/>
  <c r="M1063" i="1"/>
  <c r="O1062" i="1" a="1"/>
  <c r="N1062" i="1"/>
  <c r="M1062" i="1"/>
  <c r="O1061" i="1" a="1"/>
  <c r="N1061" i="1"/>
  <c r="M1061" i="1"/>
  <c r="O1060" i="1" a="1"/>
  <c r="N1060" i="1"/>
  <c r="M1060" i="1"/>
  <c r="O1059" i="1" a="1"/>
  <c r="N1059" i="1"/>
  <c r="M1059" i="1"/>
  <c r="O1058" i="1" a="1"/>
  <c r="N1058" i="1"/>
  <c r="M1058" i="1"/>
  <c r="O1057" i="1" a="1"/>
  <c r="N1057" i="1"/>
  <c r="M1057" i="1"/>
  <c r="O1056" i="1" a="1"/>
  <c r="N1056" i="1"/>
  <c r="M1056" i="1"/>
  <c r="O1055" i="1" a="1"/>
  <c r="N1055" i="1"/>
  <c r="M1055" i="1"/>
  <c r="O1054" i="1" a="1"/>
  <c r="N1054" i="1"/>
  <c r="M1054" i="1"/>
  <c r="O1053" i="1" a="1"/>
  <c r="N1053" i="1"/>
  <c r="M1053" i="1"/>
  <c r="O1052" i="1" a="1"/>
  <c r="N1052" i="1"/>
  <c r="M1052" i="1"/>
  <c r="O1051" i="1" a="1"/>
  <c r="N1051" i="1"/>
  <c r="M1051" i="1"/>
  <c r="O1050" i="1" a="1"/>
  <c r="N1050" i="1"/>
  <c r="M1050" i="1"/>
  <c r="O1049" i="1" a="1"/>
  <c r="N1049" i="1"/>
  <c r="M1049" i="1"/>
  <c r="O1048" i="1" a="1"/>
  <c r="N1048" i="1"/>
  <c r="M1048" i="1"/>
  <c r="O1047" i="1" a="1"/>
  <c r="N1047" i="1"/>
  <c r="M1047" i="1"/>
  <c r="O1046" i="1" a="1"/>
  <c r="N1046" i="1"/>
  <c r="M1046" i="1"/>
  <c r="O1045" i="1" a="1"/>
  <c r="N1045" i="1"/>
  <c r="M1045" i="1"/>
  <c r="O1044" i="1" a="1"/>
  <c r="N1044" i="1"/>
  <c r="M1044" i="1"/>
  <c r="O1043" i="1" a="1"/>
  <c r="N1043" i="1"/>
  <c r="M1043" i="1"/>
  <c r="O1042" i="1" a="1"/>
  <c r="N1042" i="1"/>
  <c r="M1042" i="1"/>
  <c r="O1041" i="1" a="1"/>
  <c r="N1041" i="1"/>
  <c r="M1041" i="1"/>
  <c r="O1040" i="1" a="1"/>
  <c r="N1040" i="1"/>
  <c r="M1040" i="1"/>
  <c r="O1039" i="1" a="1"/>
  <c r="N1039" i="1"/>
  <c r="M1039" i="1"/>
  <c r="O1038" i="1" a="1"/>
  <c r="N1038" i="1"/>
  <c r="M1038" i="1"/>
  <c r="O1037" i="1" a="1"/>
  <c r="N1037" i="1"/>
  <c r="M1037" i="1"/>
  <c r="O1036" i="1" a="1"/>
  <c r="N1036" i="1"/>
  <c r="M1036" i="1"/>
  <c r="O1035" i="1" a="1"/>
  <c r="N1035" i="1"/>
  <c r="M1035" i="1"/>
  <c r="O1034" i="1" a="1"/>
  <c r="N1034" i="1"/>
  <c r="M1034" i="1"/>
  <c r="O1033" i="1" a="1"/>
  <c r="N1033" i="1"/>
  <c r="M1033" i="1"/>
  <c r="O1032" i="1" a="1"/>
  <c r="N1032" i="1"/>
  <c r="M1032" i="1"/>
  <c r="O1031" i="1" a="1"/>
  <c r="N1031" i="1"/>
  <c r="M1031" i="1"/>
  <c r="O1030" i="1" a="1"/>
  <c r="N1030" i="1"/>
  <c r="M1030" i="1"/>
  <c r="O1029" i="1" a="1"/>
  <c r="N1029" i="1"/>
  <c r="M1029" i="1"/>
  <c r="O1028" i="1" a="1"/>
  <c r="N1028" i="1"/>
  <c r="M1028" i="1"/>
  <c r="O1027" i="1" a="1"/>
  <c r="N1027" i="1"/>
  <c r="M1027" i="1"/>
  <c r="O1026" i="1" a="1"/>
  <c r="N1026" i="1"/>
  <c r="M1026" i="1"/>
  <c r="O1025" i="1" a="1"/>
  <c r="N1025" i="1"/>
  <c r="M1025" i="1"/>
  <c r="O1024" i="1" a="1"/>
  <c r="N1024" i="1"/>
  <c r="M1024" i="1"/>
  <c r="O1023" i="1" a="1"/>
  <c r="N1023" i="1"/>
  <c r="M1023" i="1"/>
  <c r="O1022" i="1" a="1"/>
  <c r="N1022" i="1"/>
  <c r="M1022" i="1"/>
  <c r="O1021" i="1" a="1"/>
  <c r="N1021" i="1"/>
  <c r="M1021" i="1"/>
  <c r="O1020" i="1" a="1"/>
  <c r="N1020" i="1"/>
  <c r="M1020" i="1"/>
  <c r="O1019" i="1" a="1"/>
  <c r="N1019" i="1"/>
  <c r="M1019" i="1"/>
  <c r="O1018" i="1" a="1"/>
  <c r="N1018" i="1"/>
  <c r="M1018" i="1"/>
  <c r="O1017" i="1" a="1"/>
  <c r="N1017" i="1"/>
  <c r="M1017" i="1"/>
  <c r="O1016" i="1" a="1"/>
  <c r="N1016" i="1"/>
  <c r="M1016" i="1"/>
  <c r="O1015" i="1" a="1"/>
  <c r="N1015" i="1"/>
  <c r="M1015" i="1"/>
  <c r="O1014" i="1" a="1"/>
  <c r="N1014" i="1"/>
  <c r="M1014" i="1"/>
  <c r="O1013" i="1" a="1"/>
  <c r="N1013" i="1"/>
  <c r="M1013" i="1"/>
  <c r="O1012" i="1" a="1"/>
  <c r="N1012" i="1"/>
  <c r="M1012" i="1"/>
  <c r="O1011" i="1" a="1"/>
  <c r="N1011" i="1"/>
  <c r="M1011" i="1"/>
  <c r="O1010" i="1" a="1"/>
  <c r="N1010" i="1"/>
  <c r="M1010" i="1"/>
  <c r="O1009" i="1" a="1"/>
  <c r="N1009" i="1"/>
  <c r="M1009" i="1"/>
  <c r="O1008" i="1" a="1"/>
  <c r="N1008" i="1"/>
  <c r="M1008" i="1"/>
  <c r="O1007" i="1" a="1"/>
  <c r="N1007" i="1"/>
  <c r="M1007" i="1"/>
  <c r="O1006" i="1" a="1"/>
  <c r="N1006" i="1"/>
  <c r="M1006" i="1"/>
  <c r="O1005" i="1" a="1"/>
  <c r="N1005" i="1"/>
  <c r="M1005" i="1"/>
  <c r="O1004" i="1" a="1"/>
  <c r="N1004" i="1"/>
  <c r="M1004" i="1"/>
  <c r="O1003" i="1" a="1"/>
  <c r="N1003" i="1"/>
  <c r="M1003" i="1"/>
  <c r="O1002" i="1" a="1"/>
  <c r="N1002" i="1"/>
  <c r="M1002" i="1"/>
  <c r="O1001" i="1" a="1"/>
  <c r="N1001" i="1"/>
  <c r="M1001" i="1"/>
  <c r="O1000" i="1" a="1"/>
  <c r="N1000" i="1"/>
  <c r="M1000" i="1"/>
  <c r="O999" i="1" a="1"/>
  <c r="N999" i="1"/>
  <c r="M999" i="1"/>
  <c r="O998" i="1" a="1"/>
  <c r="N998" i="1"/>
  <c r="M998" i="1"/>
  <c r="O997" i="1" a="1"/>
  <c r="N997" i="1"/>
  <c r="M997" i="1"/>
  <c r="O996" i="1" a="1"/>
  <c r="N996" i="1"/>
  <c r="M996" i="1"/>
  <c r="O995" i="1" a="1"/>
  <c r="N995" i="1"/>
  <c r="M995" i="1"/>
  <c r="O994" i="1" a="1"/>
  <c r="N994" i="1"/>
  <c r="M994" i="1"/>
  <c r="O993" i="1" a="1"/>
  <c r="N993" i="1"/>
  <c r="M993" i="1"/>
  <c r="O992" i="1" a="1"/>
  <c r="N992" i="1"/>
  <c r="M992" i="1"/>
  <c r="O991" i="1" a="1"/>
  <c r="N991" i="1"/>
  <c r="M991" i="1"/>
  <c r="O990" i="1" a="1"/>
  <c r="N990" i="1"/>
  <c r="M990" i="1"/>
  <c r="O989" i="1" a="1"/>
  <c r="N989" i="1"/>
  <c r="M989" i="1"/>
  <c r="O988" i="1" a="1"/>
  <c r="N988" i="1"/>
  <c r="M988" i="1"/>
  <c r="O987" i="1" a="1"/>
  <c r="N987" i="1"/>
  <c r="M987" i="1"/>
  <c r="O986" i="1" a="1"/>
  <c r="N986" i="1"/>
  <c r="M986" i="1"/>
  <c r="O985" i="1" a="1"/>
  <c r="N985" i="1"/>
  <c r="M985" i="1"/>
  <c r="O984" i="1" a="1"/>
  <c r="N984" i="1"/>
  <c r="M984" i="1"/>
  <c r="O983" i="1" a="1"/>
  <c r="N983" i="1"/>
  <c r="M983" i="1"/>
  <c r="O982" i="1" a="1"/>
  <c r="N982" i="1"/>
  <c r="M982" i="1"/>
  <c r="O981" i="1" a="1"/>
  <c r="N981" i="1"/>
  <c r="M981" i="1"/>
  <c r="O980" i="1" a="1"/>
  <c r="N980" i="1"/>
  <c r="M980" i="1"/>
  <c r="O979" i="1" a="1"/>
  <c r="N979" i="1"/>
  <c r="M979" i="1"/>
  <c r="O978" i="1" a="1"/>
  <c r="N978" i="1"/>
  <c r="M978" i="1"/>
  <c r="O977" i="1" a="1"/>
  <c r="N977" i="1"/>
  <c r="M977" i="1"/>
  <c r="O976" i="1" a="1"/>
  <c r="N976" i="1"/>
  <c r="M976" i="1"/>
  <c r="O975" i="1" a="1"/>
  <c r="N975" i="1"/>
  <c r="M975" i="1"/>
  <c r="O974" i="1" a="1"/>
  <c r="N974" i="1"/>
  <c r="M974" i="1"/>
  <c r="O973" i="1" a="1"/>
  <c r="N973" i="1"/>
  <c r="M973" i="1"/>
  <c r="O972" i="1" a="1"/>
  <c r="N972" i="1"/>
  <c r="M972" i="1"/>
  <c r="O971" i="1" a="1"/>
  <c r="N971" i="1"/>
  <c r="M971" i="1"/>
  <c r="O970" i="1" a="1"/>
  <c r="N970" i="1"/>
  <c r="M970" i="1"/>
  <c r="O969" i="1" a="1"/>
  <c r="N969" i="1"/>
  <c r="M969" i="1"/>
  <c r="O968" i="1" a="1"/>
  <c r="N968" i="1"/>
  <c r="M968" i="1"/>
  <c r="O967" i="1" a="1"/>
  <c r="N967" i="1"/>
  <c r="M967" i="1"/>
  <c r="O966" i="1" a="1"/>
  <c r="N966" i="1"/>
  <c r="M966" i="1"/>
  <c r="O965" i="1" a="1"/>
  <c r="N965" i="1"/>
  <c r="M965" i="1"/>
  <c r="O964" i="1" a="1"/>
  <c r="N964" i="1"/>
  <c r="M964" i="1"/>
  <c r="O963" i="1" a="1"/>
  <c r="N963" i="1"/>
  <c r="M963" i="1"/>
  <c r="O962" i="1" a="1"/>
  <c r="N962" i="1"/>
  <c r="M962" i="1"/>
  <c r="O961" i="1" a="1"/>
  <c r="N961" i="1"/>
  <c r="M961" i="1"/>
  <c r="O960" i="1" a="1"/>
  <c r="N960" i="1"/>
  <c r="M960" i="1"/>
  <c r="O959" i="1" a="1"/>
  <c r="N959" i="1"/>
  <c r="M959" i="1"/>
  <c r="O958" i="1" a="1"/>
  <c r="N958" i="1"/>
  <c r="M958" i="1"/>
  <c r="O957" i="1" a="1"/>
  <c r="N957" i="1"/>
  <c r="M957" i="1"/>
  <c r="O956" i="1" a="1"/>
  <c r="N956" i="1"/>
  <c r="M956" i="1"/>
  <c r="O955" i="1" a="1"/>
  <c r="N955" i="1"/>
  <c r="M955" i="1"/>
  <c r="O954" i="1" a="1"/>
  <c r="N954" i="1"/>
  <c r="M954" i="1"/>
  <c r="O953" i="1" a="1"/>
  <c r="N953" i="1"/>
  <c r="M953" i="1"/>
  <c r="O952" i="1" a="1"/>
  <c r="N952" i="1"/>
  <c r="M952" i="1"/>
  <c r="O951" i="1" a="1"/>
  <c r="N951" i="1"/>
  <c r="M951" i="1"/>
  <c r="O950" i="1" a="1"/>
  <c r="N950" i="1"/>
  <c r="M950" i="1"/>
  <c r="O949" i="1" a="1"/>
  <c r="N949" i="1"/>
  <c r="M949" i="1"/>
  <c r="O948" i="1" a="1"/>
  <c r="N948" i="1"/>
  <c r="M948" i="1"/>
  <c r="O947" i="1" a="1"/>
  <c r="N947" i="1"/>
  <c r="M947" i="1"/>
  <c r="O946" i="1" a="1"/>
  <c r="N946" i="1"/>
  <c r="M946" i="1"/>
  <c r="O945" i="1" a="1"/>
  <c r="N945" i="1"/>
  <c r="M945" i="1"/>
  <c r="O944" i="1" a="1"/>
  <c r="N944" i="1"/>
  <c r="M944" i="1"/>
  <c r="O943" i="1" a="1"/>
  <c r="N943" i="1"/>
  <c r="M943" i="1"/>
  <c r="O942" i="1" a="1"/>
  <c r="N942" i="1"/>
  <c r="M942" i="1"/>
  <c r="O941" i="1" a="1"/>
  <c r="N941" i="1"/>
  <c r="M941" i="1"/>
  <c r="O940" i="1" a="1"/>
  <c r="N940" i="1"/>
  <c r="M940" i="1"/>
  <c r="O939" i="1" a="1"/>
  <c r="N939" i="1"/>
  <c r="M939" i="1"/>
  <c r="O938" i="1" a="1"/>
  <c r="N938" i="1"/>
  <c r="M938" i="1"/>
  <c r="O937" i="1" a="1"/>
  <c r="N937" i="1"/>
  <c r="M937" i="1"/>
  <c r="O936" i="1" a="1"/>
  <c r="N936" i="1"/>
  <c r="M936" i="1"/>
  <c r="O935" i="1" a="1"/>
  <c r="N935" i="1"/>
  <c r="M935" i="1"/>
  <c r="O934" i="1" a="1"/>
  <c r="N934" i="1"/>
  <c r="M934" i="1"/>
  <c r="O933" i="1" a="1"/>
  <c r="N933" i="1"/>
  <c r="M933" i="1"/>
  <c r="O932" i="1" a="1"/>
  <c r="N932" i="1"/>
  <c r="M932" i="1"/>
  <c r="O931" i="1" a="1"/>
  <c r="N931" i="1"/>
  <c r="M931" i="1"/>
  <c r="O930" i="1" a="1"/>
  <c r="N930" i="1"/>
  <c r="M930" i="1"/>
  <c r="O929" i="1" a="1"/>
  <c r="N929" i="1"/>
  <c r="M929" i="1"/>
  <c r="O928" i="1" a="1"/>
  <c r="N928" i="1"/>
  <c r="M928" i="1"/>
  <c r="O927" i="1" a="1"/>
  <c r="N927" i="1"/>
  <c r="M927" i="1"/>
  <c r="O926" i="1" a="1"/>
  <c r="N926" i="1"/>
  <c r="M926" i="1"/>
  <c r="O925" i="1" a="1"/>
  <c r="N925" i="1"/>
  <c r="M925" i="1"/>
  <c r="O924" i="1" a="1"/>
  <c r="N924" i="1"/>
  <c r="M924" i="1"/>
  <c r="O923" i="1" a="1"/>
  <c r="N923" i="1"/>
  <c r="M923" i="1"/>
  <c r="O922" i="1" a="1"/>
  <c r="N922" i="1"/>
  <c r="M922" i="1"/>
  <c r="O921" i="1" a="1"/>
  <c r="N921" i="1"/>
  <c r="M921" i="1"/>
  <c r="O920" i="1" a="1"/>
  <c r="N920" i="1"/>
  <c r="M920" i="1"/>
  <c r="O919" i="1" a="1"/>
  <c r="N919" i="1"/>
  <c r="M919" i="1"/>
  <c r="O918" i="1" a="1"/>
  <c r="N918" i="1"/>
  <c r="M918" i="1"/>
  <c r="O917" i="1" a="1"/>
  <c r="N917" i="1"/>
  <c r="M917" i="1"/>
  <c r="O916" i="1" a="1"/>
  <c r="N916" i="1"/>
  <c r="M916" i="1"/>
  <c r="O915" i="1" a="1"/>
  <c r="N915" i="1"/>
  <c r="M915" i="1"/>
  <c r="O914" i="1" a="1"/>
  <c r="N914" i="1"/>
  <c r="M914" i="1"/>
  <c r="O913" i="1" a="1"/>
  <c r="N913" i="1"/>
  <c r="M913" i="1"/>
  <c r="O912" i="1" a="1"/>
  <c r="N912" i="1"/>
  <c r="M912" i="1"/>
  <c r="O911" i="1" a="1"/>
  <c r="N911" i="1"/>
  <c r="M911" i="1"/>
  <c r="O910" i="1" a="1"/>
  <c r="N910" i="1"/>
  <c r="M910" i="1"/>
  <c r="O909" i="1" a="1"/>
  <c r="N909" i="1"/>
  <c r="M909" i="1"/>
  <c r="O908" i="1" a="1"/>
  <c r="N908" i="1"/>
  <c r="M908" i="1"/>
  <c r="O907" i="1" a="1"/>
  <c r="N907" i="1"/>
  <c r="M907" i="1"/>
  <c r="O906" i="1" a="1"/>
  <c r="N906" i="1"/>
  <c r="M906" i="1"/>
  <c r="O905" i="1" a="1"/>
  <c r="N905" i="1"/>
  <c r="M905" i="1"/>
  <c r="O904" i="1" a="1"/>
  <c r="N904" i="1"/>
  <c r="M904" i="1"/>
  <c r="O903" i="1" a="1"/>
  <c r="N903" i="1"/>
  <c r="M903" i="1"/>
  <c r="O902" i="1" a="1"/>
  <c r="N902" i="1"/>
  <c r="M902" i="1"/>
  <c r="O901" i="1" a="1"/>
  <c r="N901" i="1"/>
  <c r="M901" i="1"/>
  <c r="O900" i="1" a="1"/>
  <c r="N900" i="1"/>
  <c r="M900" i="1"/>
  <c r="O899" i="1" a="1"/>
  <c r="N899" i="1"/>
  <c r="M899" i="1"/>
  <c r="O898" i="1" a="1"/>
  <c r="N898" i="1"/>
  <c r="M898" i="1"/>
  <c r="O897" i="1" a="1"/>
  <c r="N897" i="1"/>
  <c r="M897" i="1"/>
  <c r="O896" i="1" a="1"/>
  <c r="N896" i="1"/>
  <c r="M896" i="1"/>
  <c r="O895" i="1" a="1"/>
  <c r="N895" i="1"/>
  <c r="M895" i="1"/>
  <c r="O894" i="1" a="1"/>
  <c r="N894" i="1"/>
  <c r="M894" i="1"/>
  <c r="O893" i="1" a="1"/>
  <c r="N893" i="1"/>
  <c r="M893" i="1"/>
  <c r="O892" i="1" a="1"/>
  <c r="N892" i="1"/>
  <c r="M892" i="1"/>
  <c r="O891" i="1" a="1"/>
  <c r="N891" i="1"/>
  <c r="M891" i="1"/>
  <c r="O890" i="1" a="1"/>
  <c r="N890" i="1"/>
  <c r="M890" i="1"/>
  <c r="O889" i="1" a="1"/>
  <c r="N889" i="1"/>
  <c r="M889" i="1"/>
  <c r="O888" i="1" a="1"/>
  <c r="N888" i="1"/>
  <c r="M888" i="1"/>
  <c r="O887" i="1" a="1"/>
  <c r="N887" i="1"/>
  <c r="M887" i="1"/>
  <c r="O886" i="1" a="1"/>
  <c r="N886" i="1"/>
  <c r="M886" i="1"/>
  <c r="O885" i="1" a="1"/>
  <c r="N885" i="1"/>
  <c r="M885" i="1"/>
  <c r="O884" i="1" a="1"/>
  <c r="N884" i="1"/>
  <c r="M884" i="1"/>
  <c r="O883" i="1" a="1"/>
  <c r="N883" i="1"/>
  <c r="M883" i="1"/>
  <c r="O882" i="1" a="1"/>
  <c r="N882" i="1"/>
  <c r="M882" i="1"/>
  <c r="O881" i="1" a="1"/>
  <c r="N881" i="1"/>
  <c r="M881" i="1"/>
  <c r="O880" i="1" a="1"/>
  <c r="N880" i="1"/>
  <c r="M880" i="1"/>
  <c r="O879" i="1" a="1"/>
  <c r="N879" i="1"/>
  <c r="M879" i="1"/>
  <c r="O878" i="1" a="1"/>
  <c r="N878" i="1"/>
  <c r="M878" i="1"/>
  <c r="O877" i="1" a="1"/>
  <c r="N877" i="1"/>
  <c r="M877" i="1"/>
  <c r="O876" i="1" a="1"/>
  <c r="N876" i="1"/>
  <c r="M876" i="1"/>
  <c r="O875" i="1" a="1"/>
  <c r="N875" i="1"/>
  <c r="M875" i="1"/>
  <c r="O874" i="1" a="1"/>
  <c r="N874" i="1"/>
  <c r="M874" i="1"/>
  <c r="O873" i="1" a="1"/>
  <c r="N873" i="1"/>
  <c r="M873" i="1"/>
  <c r="O872" i="1" a="1"/>
  <c r="N872" i="1"/>
  <c r="M872" i="1"/>
  <c r="O871" i="1" a="1"/>
  <c r="N871" i="1"/>
  <c r="M871" i="1"/>
  <c r="O870" i="1" a="1"/>
  <c r="N870" i="1"/>
  <c r="M870" i="1"/>
  <c r="O869" i="1" a="1"/>
  <c r="N869" i="1"/>
  <c r="M869" i="1"/>
  <c r="O868" i="1" a="1"/>
  <c r="N868" i="1"/>
  <c r="M868" i="1"/>
  <c r="O867" i="1" a="1"/>
  <c r="N867" i="1"/>
  <c r="M867" i="1"/>
  <c r="O866" i="1" a="1"/>
  <c r="N866" i="1"/>
  <c r="M866" i="1"/>
  <c r="O865" i="1" a="1"/>
  <c r="N865" i="1"/>
  <c r="M865" i="1"/>
  <c r="O864" i="1" a="1"/>
  <c r="N864" i="1"/>
  <c r="M864" i="1"/>
  <c r="O863" i="1" a="1"/>
  <c r="N863" i="1"/>
  <c r="M863" i="1"/>
  <c r="O862" i="1" a="1"/>
  <c r="N862" i="1"/>
  <c r="M862" i="1"/>
  <c r="O861" i="1" a="1"/>
  <c r="N861" i="1"/>
  <c r="M861" i="1"/>
  <c r="O860" i="1" a="1"/>
  <c r="N860" i="1"/>
  <c r="M860" i="1"/>
  <c r="O859" i="1" a="1"/>
  <c r="N859" i="1"/>
  <c r="M859" i="1"/>
  <c r="O858" i="1" a="1"/>
  <c r="N858" i="1"/>
  <c r="M858" i="1"/>
  <c r="O857" i="1" a="1"/>
  <c r="N857" i="1"/>
  <c r="M857" i="1"/>
  <c r="O856" i="1" a="1"/>
  <c r="N856" i="1"/>
  <c r="M856" i="1"/>
  <c r="O855" i="1" a="1"/>
  <c r="N855" i="1"/>
  <c r="M855" i="1"/>
  <c r="O854" i="1" a="1"/>
  <c r="N854" i="1"/>
  <c r="M854" i="1"/>
  <c r="O853" i="1" a="1"/>
  <c r="N853" i="1"/>
  <c r="M853" i="1"/>
  <c r="O852" i="1" a="1"/>
  <c r="N852" i="1"/>
  <c r="M852" i="1"/>
  <c r="O851" i="1" a="1"/>
  <c r="N851" i="1"/>
  <c r="M851" i="1"/>
  <c r="O850" i="1" a="1"/>
  <c r="N850" i="1"/>
  <c r="M850" i="1"/>
  <c r="O849" i="1" a="1"/>
  <c r="N849" i="1"/>
  <c r="M849" i="1"/>
  <c r="O848" i="1" a="1"/>
  <c r="N848" i="1"/>
  <c r="M848" i="1"/>
  <c r="O847" i="1" a="1"/>
  <c r="N847" i="1"/>
  <c r="M847" i="1"/>
  <c r="O846" i="1" a="1"/>
  <c r="N846" i="1"/>
  <c r="M846" i="1"/>
  <c r="O845" i="1" a="1"/>
  <c r="N845" i="1"/>
  <c r="M845" i="1"/>
  <c r="O844" i="1" a="1"/>
  <c r="N844" i="1"/>
  <c r="M844" i="1"/>
  <c r="O843" i="1" a="1"/>
  <c r="N843" i="1"/>
  <c r="M843" i="1"/>
  <c r="O842" i="1" a="1"/>
  <c r="N842" i="1"/>
  <c r="M842" i="1"/>
  <c r="O841" i="1" a="1"/>
  <c r="N841" i="1"/>
  <c r="M841" i="1"/>
  <c r="O840" i="1" a="1"/>
  <c r="N840" i="1"/>
  <c r="M840" i="1"/>
  <c r="O839" i="1" a="1"/>
  <c r="N839" i="1"/>
  <c r="M839" i="1"/>
  <c r="O838" i="1" a="1"/>
  <c r="N838" i="1"/>
  <c r="M838" i="1"/>
  <c r="O837" i="1" a="1"/>
  <c r="N837" i="1"/>
  <c r="M837" i="1"/>
  <c r="O836" i="1" a="1"/>
  <c r="N836" i="1"/>
  <c r="M836" i="1"/>
  <c r="O835" i="1" a="1"/>
  <c r="N835" i="1"/>
  <c r="M835" i="1"/>
  <c r="O834" i="1" a="1"/>
  <c r="N834" i="1"/>
  <c r="M834" i="1"/>
  <c r="O833" i="1" a="1"/>
  <c r="N833" i="1"/>
  <c r="M833" i="1"/>
  <c r="O832" i="1" a="1"/>
  <c r="N832" i="1"/>
  <c r="M832" i="1"/>
  <c r="O831" i="1" a="1"/>
  <c r="N831" i="1"/>
  <c r="M831" i="1"/>
  <c r="O830" i="1" a="1"/>
  <c r="N830" i="1"/>
  <c r="M830" i="1"/>
  <c r="O829" i="1" a="1"/>
  <c r="N829" i="1"/>
  <c r="M829" i="1"/>
  <c r="O828" i="1" a="1"/>
  <c r="N828" i="1"/>
  <c r="M828" i="1"/>
  <c r="O827" i="1" a="1"/>
  <c r="N827" i="1"/>
  <c r="M827" i="1"/>
  <c r="O826" i="1" a="1"/>
  <c r="N826" i="1"/>
  <c r="M826" i="1"/>
  <c r="O825" i="1" a="1"/>
  <c r="N825" i="1"/>
  <c r="M825" i="1"/>
  <c r="O824" i="1" a="1"/>
  <c r="N824" i="1"/>
  <c r="M824" i="1"/>
  <c r="O823" i="1" a="1"/>
  <c r="N823" i="1"/>
  <c r="M823" i="1"/>
  <c r="O822" i="1" a="1"/>
  <c r="N822" i="1"/>
  <c r="M822" i="1"/>
  <c r="O821" i="1" a="1"/>
  <c r="N821" i="1"/>
  <c r="M821" i="1"/>
  <c r="O820" i="1" a="1"/>
  <c r="N820" i="1"/>
  <c r="M820" i="1"/>
  <c r="O819" i="1" a="1"/>
  <c r="N819" i="1"/>
  <c r="M819" i="1"/>
  <c r="O818" i="1" a="1"/>
  <c r="N818" i="1"/>
  <c r="M818" i="1"/>
  <c r="O817" i="1" a="1"/>
  <c r="N817" i="1"/>
  <c r="M817" i="1"/>
  <c r="O816" i="1" a="1"/>
  <c r="N816" i="1"/>
  <c r="M816" i="1"/>
  <c r="O815" i="1" a="1"/>
  <c r="N815" i="1"/>
  <c r="M815" i="1"/>
  <c r="O814" i="1" a="1"/>
  <c r="N814" i="1"/>
  <c r="M814" i="1"/>
  <c r="O813" i="1" a="1"/>
  <c r="N813" i="1"/>
  <c r="M813" i="1"/>
  <c r="O812" i="1" a="1"/>
  <c r="N812" i="1"/>
  <c r="M812" i="1"/>
  <c r="O811" i="1" a="1"/>
  <c r="N811" i="1"/>
  <c r="M811" i="1"/>
  <c r="O810" i="1" a="1"/>
  <c r="N810" i="1"/>
  <c r="M810" i="1"/>
  <c r="O809" i="1" a="1"/>
  <c r="N809" i="1"/>
  <c r="M809" i="1"/>
  <c r="O808" i="1" a="1"/>
  <c r="N808" i="1"/>
  <c r="M808" i="1"/>
  <c r="O807" i="1" a="1"/>
  <c r="N807" i="1"/>
  <c r="M807" i="1"/>
  <c r="O806" i="1" a="1"/>
  <c r="N806" i="1"/>
  <c r="M806" i="1"/>
  <c r="O805" i="1" a="1"/>
  <c r="N805" i="1"/>
  <c r="M805" i="1"/>
  <c r="O804" i="1" a="1"/>
  <c r="N804" i="1"/>
  <c r="M804" i="1"/>
  <c r="O803" i="1" a="1"/>
  <c r="N803" i="1"/>
  <c r="M803" i="1"/>
  <c r="O802" i="1" a="1"/>
  <c r="N802" i="1"/>
  <c r="M802" i="1"/>
  <c r="O801" i="1" a="1"/>
  <c r="N801" i="1"/>
  <c r="M801" i="1"/>
  <c r="O800" i="1" a="1"/>
  <c r="N800" i="1"/>
  <c r="M800" i="1"/>
  <c r="O799" i="1" a="1"/>
  <c r="N799" i="1"/>
  <c r="M799" i="1"/>
  <c r="O798" i="1" a="1"/>
  <c r="N798" i="1"/>
  <c r="M798" i="1"/>
  <c r="O797" i="1" a="1"/>
  <c r="N797" i="1"/>
  <c r="M797" i="1"/>
  <c r="O796" i="1" a="1"/>
  <c r="N796" i="1"/>
  <c r="M796" i="1"/>
  <c r="O795" i="1" a="1"/>
  <c r="N795" i="1"/>
  <c r="M795" i="1"/>
  <c r="O794" i="1" a="1"/>
  <c r="N794" i="1"/>
  <c r="M794" i="1"/>
  <c r="O793" i="1" a="1"/>
  <c r="N793" i="1"/>
  <c r="M793" i="1"/>
  <c r="O792" i="1" a="1"/>
  <c r="N792" i="1"/>
  <c r="M792" i="1"/>
  <c r="O791" i="1" a="1"/>
  <c r="N791" i="1"/>
  <c r="M791" i="1"/>
  <c r="O790" i="1" a="1"/>
  <c r="N790" i="1"/>
  <c r="M790" i="1"/>
  <c r="O789" i="1" a="1"/>
  <c r="N789" i="1"/>
  <c r="M789" i="1"/>
  <c r="O788" i="1" a="1"/>
  <c r="N788" i="1"/>
  <c r="M788" i="1"/>
  <c r="O787" i="1" a="1"/>
  <c r="N787" i="1"/>
  <c r="M787" i="1"/>
  <c r="O786" i="1" a="1"/>
  <c r="N786" i="1"/>
  <c r="M786" i="1"/>
  <c r="O785" i="1" a="1"/>
  <c r="N785" i="1"/>
  <c r="M785" i="1"/>
  <c r="O784" i="1" a="1"/>
  <c r="N784" i="1"/>
  <c r="M784" i="1"/>
  <c r="O783" i="1" a="1"/>
  <c r="N783" i="1"/>
  <c r="M783" i="1"/>
  <c r="O782" i="1" a="1"/>
  <c r="N782" i="1"/>
  <c r="M782" i="1"/>
  <c r="O781" i="1" a="1"/>
  <c r="N781" i="1"/>
  <c r="M781" i="1"/>
  <c r="O780" i="1" a="1"/>
  <c r="N780" i="1"/>
  <c r="M780" i="1"/>
  <c r="O779" i="1" a="1"/>
  <c r="N779" i="1"/>
  <c r="M779" i="1"/>
  <c r="O778" i="1" a="1"/>
  <c r="N778" i="1"/>
  <c r="M778" i="1"/>
  <c r="O777" i="1" a="1"/>
  <c r="N777" i="1"/>
  <c r="M777" i="1"/>
  <c r="O776" i="1" a="1"/>
  <c r="N776" i="1"/>
  <c r="M776" i="1"/>
  <c r="O775" i="1" a="1"/>
  <c r="N775" i="1"/>
  <c r="M775" i="1"/>
  <c r="O774" i="1" a="1"/>
  <c r="N774" i="1"/>
  <c r="M774" i="1"/>
  <c r="O773" i="1" a="1"/>
  <c r="N773" i="1"/>
  <c r="M773" i="1"/>
  <c r="O772" i="1" a="1"/>
  <c r="N772" i="1"/>
  <c r="M772" i="1"/>
  <c r="O771" i="1" a="1"/>
  <c r="N771" i="1"/>
  <c r="M771" i="1"/>
  <c r="O770" i="1" a="1"/>
  <c r="N770" i="1"/>
  <c r="M770" i="1"/>
  <c r="O769" i="1" a="1"/>
  <c r="N769" i="1"/>
  <c r="M769" i="1"/>
  <c r="O768" i="1" a="1"/>
  <c r="N768" i="1"/>
  <c r="M768" i="1"/>
  <c r="O767" i="1" a="1"/>
  <c r="N767" i="1"/>
  <c r="M767" i="1"/>
  <c r="O766" i="1" a="1"/>
  <c r="N766" i="1"/>
  <c r="M766" i="1"/>
  <c r="O765" i="1" a="1"/>
  <c r="N765" i="1"/>
  <c r="M765" i="1"/>
  <c r="O764" i="1" a="1"/>
  <c r="N764" i="1"/>
  <c r="M764" i="1"/>
  <c r="O763" i="1" a="1"/>
  <c r="N763" i="1"/>
  <c r="M763" i="1"/>
  <c r="O762" i="1" a="1"/>
  <c r="N762" i="1"/>
  <c r="M762" i="1"/>
  <c r="O761" i="1" a="1"/>
  <c r="N761" i="1"/>
  <c r="M761" i="1"/>
  <c r="O760" i="1" a="1"/>
  <c r="N760" i="1"/>
  <c r="M760" i="1"/>
  <c r="O759" i="1" a="1"/>
  <c r="N759" i="1"/>
  <c r="M759" i="1"/>
  <c r="O758" i="1" a="1"/>
  <c r="N758" i="1"/>
  <c r="M758" i="1"/>
  <c r="O757" i="1" a="1"/>
  <c r="N757" i="1"/>
  <c r="M757" i="1"/>
  <c r="O756" i="1" a="1"/>
  <c r="N756" i="1"/>
  <c r="M756" i="1"/>
  <c r="O755" i="1" a="1"/>
  <c r="N755" i="1"/>
  <c r="M755" i="1"/>
  <c r="O754" i="1" a="1"/>
  <c r="N754" i="1"/>
  <c r="M754" i="1"/>
  <c r="O753" i="1" a="1"/>
  <c r="N753" i="1"/>
  <c r="M753" i="1"/>
  <c r="O752" i="1" a="1"/>
  <c r="N752" i="1"/>
  <c r="M752" i="1"/>
  <c r="O751" i="1" a="1"/>
  <c r="N751" i="1"/>
  <c r="M751" i="1"/>
  <c r="O750" i="1" a="1"/>
  <c r="N750" i="1"/>
  <c r="M750" i="1"/>
  <c r="O749" i="1" a="1"/>
  <c r="N749" i="1"/>
  <c r="M749" i="1"/>
  <c r="O748" i="1" a="1"/>
  <c r="N748" i="1"/>
  <c r="M748" i="1"/>
  <c r="O747" i="1" a="1"/>
  <c r="N747" i="1"/>
  <c r="M747" i="1"/>
  <c r="O746" i="1" a="1"/>
  <c r="N746" i="1"/>
  <c r="M746" i="1"/>
  <c r="O745" i="1" a="1"/>
  <c r="N745" i="1"/>
  <c r="M745" i="1"/>
  <c r="O744" i="1" a="1"/>
  <c r="N744" i="1"/>
  <c r="M744" i="1"/>
  <c r="O743" i="1" a="1"/>
  <c r="N743" i="1"/>
  <c r="M743" i="1"/>
  <c r="O742" i="1" a="1"/>
  <c r="N742" i="1"/>
  <c r="M742" i="1"/>
  <c r="O741" i="1" a="1"/>
  <c r="N741" i="1"/>
  <c r="M741" i="1"/>
  <c r="O740" i="1" a="1"/>
  <c r="N740" i="1"/>
  <c r="M740" i="1"/>
  <c r="O739" i="1" a="1"/>
  <c r="N739" i="1"/>
  <c r="M739" i="1"/>
  <c r="O738" i="1" a="1"/>
  <c r="N738" i="1"/>
  <c r="M738" i="1"/>
  <c r="O737" i="1" a="1"/>
  <c r="N737" i="1"/>
  <c r="M737" i="1"/>
  <c r="O736" i="1" a="1"/>
  <c r="N736" i="1"/>
  <c r="M736" i="1"/>
  <c r="O735" i="1" a="1"/>
  <c r="N735" i="1"/>
  <c r="M735" i="1"/>
  <c r="O734" i="1" a="1"/>
  <c r="N734" i="1"/>
  <c r="M734" i="1"/>
  <c r="O733" i="1" a="1"/>
  <c r="N733" i="1"/>
  <c r="M733" i="1"/>
  <c r="O732" i="1" a="1"/>
  <c r="N732" i="1"/>
  <c r="M732" i="1"/>
  <c r="O731" i="1" a="1"/>
  <c r="N731" i="1"/>
  <c r="M731" i="1"/>
  <c r="O730" i="1" a="1"/>
  <c r="N730" i="1"/>
  <c r="M730" i="1"/>
  <c r="O729" i="1" a="1"/>
  <c r="N729" i="1"/>
  <c r="M729" i="1"/>
  <c r="O728" i="1" a="1"/>
  <c r="N728" i="1"/>
  <c r="M728" i="1"/>
  <c r="O727" i="1" a="1"/>
  <c r="N727" i="1"/>
  <c r="M727" i="1"/>
  <c r="O726" i="1" a="1"/>
  <c r="N726" i="1"/>
  <c r="M726" i="1"/>
  <c r="O725" i="1" a="1"/>
  <c r="N725" i="1"/>
  <c r="M725" i="1"/>
  <c r="O724" i="1" a="1"/>
  <c r="N724" i="1"/>
  <c r="M724" i="1"/>
  <c r="O723" i="1" a="1"/>
  <c r="N723" i="1"/>
  <c r="M723" i="1"/>
  <c r="O722" i="1" a="1"/>
  <c r="N722" i="1"/>
  <c r="M722" i="1"/>
  <c r="O721" i="1" a="1"/>
  <c r="N721" i="1"/>
  <c r="M721" i="1"/>
  <c r="O720" i="1" a="1"/>
  <c r="N720" i="1"/>
  <c r="M720" i="1"/>
  <c r="O719" i="1" a="1"/>
  <c r="N719" i="1"/>
  <c r="M719" i="1"/>
  <c r="O718" i="1" a="1"/>
  <c r="N718" i="1"/>
  <c r="M718" i="1"/>
  <c r="O717" i="1" a="1"/>
  <c r="N717" i="1"/>
  <c r="M717" i="1"/>
  <c r="O716" i="1" a="1"/>
  <c r="N716" i="1"/>
  <c r="M716" i="1"/>
  <c r="O715" i="1" a="1"/>
  <c r="N715" i="1"/>
  <c r="M715" i="1"/>
  <c r="O714" i="1" a="1"/>
  <c r="N714" i="1"/>
  <c r="M714" i="1"/>
  <c r="O713" i="1" a="1"/>
  <c r="N713" i="1"/>
  <c r="M713" i="1"/>
  <c r="O712" i="1" a="1"/>
  <c r="N712" i="1"/>
  <c r="M712" i="1"/>
  <c r="O711" i="1" a="1"/>
  <c r="N711" i="1"/>
  <c r="M711" i="1"/>
  <c r="O710" i="1" a="1"/>
  <c r="N710" i="1"/>
  <c r="M710" i="1"/>
  <c r="O709" i="1" a="1"/>
  <c r="N709" i="1"/>
  <c r="M709" i="1"/>
  <c r="O708" i="1" a="1"/>
  <c r="N708" i="1"/>
  <c r="M708" i="1"/>
  <c r="O707" i="1" a="1"/>
  <c r="N707" i="1"/>
  <c r="M707" i="1"/>
  <c r="O706" i="1" a="1"/>
  <c r="N706" i="1"/>
  <c r="M706" i="1"/>
  <c r="O705" i="1" a="1"/>
  <c r="N705" i="1"/>
  <c r="M705" i="1"/>
  <c r="O704" i="1" a="1"/>
  <c r="N704" i="1"/>
  <c r="M704" i="1"/>
  <c r="O703" i="1" a="1"/>
  <c r="N703" i="1"/>
  <c r="M703" i="1"/>
  <c r="O702" i="1" a="1"/>
  <c r="N702" i="1"/>
  <c r="M702" i="1"/>
  <c r="O701" i="1" a="1"/>
  <c r="N701" i="1"/>
  <c r="M701" i="1"/>
  <c r="O700" i="1" a="1"/>
  <c r="N700" i="1"/>
  <c r="M700" i="1"/>
  <c r="O699" i="1" a="1"/>
  <c r="N699" i="1"/>
  <c r="M699" i="1"/>
  <c r="O698" i="1" a="1"/>
  <c r="N698" i="1"/>
  <c r="M698" i="1"/>
  <c r="O697" i="1" a="1"/>
  <c r="N697" i="1"/>
  <c r="M697" i="1"/>
  <c r="O696" i="1" a="1"/>
  <c r="N696" i="1"/>
  <c r="M696" i="1"/>
  <c r="O695" i="1" a="1"/>
  <c r="N695" i="1"/>
  <c r="M695" i="1"/>
  <c r="O694" i="1" a="1"/>
  <c r="N694" i="1"/>
  <c r="M694" i="1"/>
  <c r="O693" i="1" a="1"/>
  <c r="N693" i="1"/>
  <c r="M693" i="1"/>
  <c r="O692" i="1" a="1"/>
  <c r="N692" i="1"/>
  <c r="M692" i="1"/>
  <c r="O691" i="1" a="1"/>
  <c r="N691" i="1"/>
  <c r="M691" i="1"/>
  <c r="O690" i="1" a="1"/>
  <c r="N690" i="1"/>
  <c r="M690" i="1"/>
  <c r="O689" i="1" a="1"/>
  <c r="N689" i="1"/>
  <c r="M689" i="1"/>
  <c r="O688" i="1" a="1"/>
  <c r="N688" i="1"/>
  <c r="M688" i="1"/>
  <c r="O687" i="1" a="1"/>
  <c r="N687" i="1"/>
  <c r="M687" i="1"/>
  <c r="O686" i="1" a="1"/>
  <c r="N686" i="1"/>
  <c r="M686" i="1"/>
  <c r="O685" i="1" a="1"/>
  <c r="N685" i="1"/>
  <c r="M685" i="1"/>
  <c r="O684" i="1" a="1"/>
  <c r="N684" i="1"/>
  <c r="M684" i="1"/>
  <c r="O683" i="1" a="1"/>
  <c r="N683" i="1"/>
  <c r="M683" i="1"/>
  <c r="O682" i="1" a="1"/>
  <c r="N682" i="1"/>
  <c r="M682" i="1"/>
  <c r="O681" i="1" a="1"/>
  <c r="N681" i="1"/>
  <c r="M681" i="1"/>
  <c r="O680" i="1" a="1"/>
  <c r="N680" i="1"/>
  <c r="M680" i="1"/>
  <c r="O679" i="1" a="1"/>
  <c r="N679" i="1"/>
  <c r="M679" i="1"/>
  <c r="O678" i="1" a="1"/>
  <c r="N678" i="1"/>
  <c r="M678" i="1"/>
  <c r="O677" i="1" a="1"/>
  <c r="N677" i="1"/>
  <c r="M677" i="1"/>
  <c r="O676" i="1" a="1"/>
  <c r="N676" i="1"/>
  <c r="M676" i="1"/>
  <c r="O675" i="1" a="1"/>
  <c r="N675" i="1"/>
  <c r="M675" i="1"/>
  <c r="O674" i="1" a="1"/>
  <c r="N674" i="1"/>
  <c r="M674" i="1"/>
  <c r="O673" i="1" a="1"/>
  <c r="N673" i="1"/>
  <c r="M673" i="1"/>
  <c r="O672" i="1" a="1"/>
  <c r="N672" i="1"/>
  <c r="M672" i="1"/>
  <c r="O671" i="1" a="1"/>
  <c r="N671" i="1"/>
  <c r="M671" i="1"/>
  <c r="O670" i="1" a="1"/>
  <c r="N670" i="1"/>
  <c r="M670" i="1"/>
  <c r="O669" i="1" a="1"/>
  <c r="N669" i="1"/>
  <c r="M669" i="1"/>
  <c r="O668" i="1" a="1"/>
  <c r="N668" i="1"/>
  <c r="M668" i="1"/>
  <c r="O667" i="1" a="1"/>
  <c r="N667" i="1"/>
  <c r="M667" i="1"/>
  <c r="O666" i="1" a="1"/>
  <c r="N666" i="1"/>
  <c r="M666" i="1"/>
  <c r="O665" i="1" a="1"/>
  <c r="N665" i="1"/>
  <c r="M665" i="1"/>
  <c r="O664" i="1" a="1"/>
  <c r="N664" i="1"/>
  <c r="M664" i="1"/>
  <c r="O663" i="1" a="1"/>
  <c r="N663" i="1"/>
  <c r="M663" i="1"/>
  <c r="O662" i="1" a="1"/>
  <c r="N662" i="1"/>
  <c r="M662" i="1"/>
  <c r="O661" i="1" a="1"/>
  <c r="N661" i="1"/>
  <c r="M661" i="1"/>
  <c r="O660" i="1" a="1"/>
  <c r="N660" i="1"/>
  <c r="M660" i="1"/>
  <c r="O659" i="1" a="1"/>
  <c r="N659" i="1"/>
  <c r="M659" i="1"/>
  <c r="O658" i="1" a="1"/>
  <c r="N658" i="1"/>
  <c r="M658" i="1"/>
  <c r="O657" i="1" a="1"/>
  <c r="N657" i="1"/>
  <c r="M657" i="1"/>
  <c r="O656" i="1" a="1"/>
  <c r="N656" i="1"/>
  <c r="M656" i="1"/>
  <c r="O655" i="1" a="1"/>
  <c r="N655" i="1"/>
  <c r="M655" i="1"/>
  <c r="O654" i="1" a="1"/>
  <c r="N654" i="1"/>
  <c r="M654" i="1"/>
  <c r="O653" i="1" a="1"/>
  <c r="N653" i="1"/>
  <c r="M653" i="1"/>
  <c r="O652" i="1" a="1"/>
  <c r="N652" i="1"/>
  <c r="M652" i="1"/>
  <c r="O651" i="1" a="1"/>
  <c r="N651" i="1"/>
  <c r="M651" i="1"/>
  <c r="O650" i="1" a="1"/>
  <c r="N650" i="1"/>
  <c r="M650" i="1"/>
  <c r="O649" i="1" a="1"/>
  <c r="N649" i="1"/>
  <c r="M649" i="1"/>
  <c r="O648" i="1" a="1"/>
  <c r="N648" i="1"/>
  <c r="M648" i="1"/>
  <c r="O647" i="1" a="1"/>
  <c r="N647" i="1"/>
  <c r="M647" i="1"/>
  <c r="O646" i="1" a="1"/>
  <c r="N646" i="1"/>
  <c r="M646" i="1"/>
  <c r="O645" i="1" a="1"/>
  <c r="N645" i="1"/>
  <c r="M645" i="1"/>
  <c r="O644" i="1" a="1"/>
  <c r="N644" i="1"/>
  <c r="M644" i="1"/>
  <c r="O643" i="1" a="1"/>
  <c r="N643" i="1"/>
  <c r="M643" i="1"/>
  <c r="O642" i="1" a="1"/>
  <c r="N642" i="1"/>
  <c r="M642" i="1"/>
  <c r="O641" i="1" a="1"/>
  <c r="N641" i="1"/>
  <c r="M641" i="1"/>
  <c r="O640" i="1" a="1"/>
  <c r="N640" i="1"/>
  <c r="M640" i="1"/>
  <c r="O639" i="1" a="1"/>
  <c r="N639" i="1"/>
  <c r="M639" i="1"/>
  <c r="O638" i="1" a="1"/>
  <c r="N638" i="1"/>
  <c r="M638" i="1"/>
  <c r="O637" i="1" a="1"/>
  <c r="N637" i="1"/>
  <c r="M637" i="1"/>
  <c r="O636" i="1" a="1"/>
  <c r="N636" i="1"/>
  <c r="M636" i="1"/>
  <c r="O635" i="1" a="1"/>
  <c r="N635" i="1"/>
  <c r="M635" i="1"/>
  <c r="O634" i="1" a="1"/>
  <c r="N634" i="1"/>
  <c r="M634" i="1"/>
  <c r="O633" i="1" a="1"/>
  <c r="N633" i="1"/>
  <c r="M633" i="1"/>
  <c r="O632" i="1" a="1"/>
  <c r="N632" i="1"/>
  <c r="M632" i="1"/>
  <c r="O631" i="1" a="1"/>
  <c r="N631" i="1"/>
  <c r="M631" i="1"/>
  <c r="O630" i="1" a="1"/>
  <c r="N630" i="1"/>
  <c r="M630" i="1"/>
  <c r="O629" i="1" a="1"/>
  <c r="N629" i="1"/>
  <c r="M629" i="1"/>
  <c r="O628" i="1" a="1"/>
  <c r="N628" i="1"/>
  <c r="M628" i="1"/>
  <c r="O627" i="1" a="1"/>
  <c r="N627" i="1"/>
  <c r="M627" i="1"/>
  <c r="O626" i="1" a="1"/>
  <c r="N626" i="1"/>
  <c r="M626" i="1"/>
  <c r="O625" i="1" a="1"/>
  <c r="N625" i="1"/>
  <c r="M625" i="1"/>
  <c r="O624" i="1" a="1"/>
  <c r="N624" i="1"/>
  <c r="M624" i="1"/>
  <c r="O623" i="1" a="1"/>
  <c r="N623" i="1"/>
  <c r="M623" i="1"/>
  <c r="O622" i="1" a="1"/>
  <c r="N622" i="1"/>
  <c r="M622" i="1"/>
  <c r="O621" i="1" a="1"/>
  <c r="N621" i="1"/>
  <c r="M621" i="1"/>
  <c r="O620" i="1" a="1"/>
  <c r="N620" i="1"/>
  <c r="M620" i="1"/>
  <c r="O619" i="1" a="1"/>
  <c r="N619" i="1"/>
  <c r="M619" i="1"/>
  <c r="O618" i="1" a="1"/>
  <c r="N618" i="1"/>
  <c r="M618" i="1"/>
  <c r="O617" i="1" a="1"/>
  <c r="N617" i="1"/>
  <c r="M617" i="1"/>
  <c r="O616" i="1" a="1"/>
  <c r="N616" i="1"/>
  <c r="M616" i="1"/>
  <c r="O615" i="1" a="1"/>
  <c r="N615" i="1"/>
  <c r="M615" i="1"/>
  <c r="O614" i="1" a="1"/>
  <c r="N614" i="1"/>
  <c r="M614" i="1"/>
  <c r="O613" i="1" a="1"/>
  <c r="N613" i="1"/>
  <c r="M613" i="1"/>
  <c r="O612" i="1" a="1"/>
  <c r="N612" i="1"/>
  <c r="M612" i="1"/>
  <c r="O611" i="1" a="1"/>
  <c r="N611" i="1"/>
  <c r="M611" i="1"/>
  <c r="O610" i="1" a="1"/>
  <c r="N610" i="1"/>
  <c r="M610" i="1"/>
  <c r="O609" i="1" a="1"/>
  <c r="N609" i="1"/>
  <c r="M609" i="1"/>
  <c r="O608" i="1" a="1"/>
  <c r="N608" i="1"/>
  <c r="M608" i="1"/>
  <c r="O607" i="1" a="1"/>
  <c r="N607" i="1"/>
  <c r="M607" i="1"/>
  <c r="O606" i="1" a="1"/>
  <c r="N606" i="1"/>
  <c r="M606" i="1"/>
  <c r="O605" i="1" a="1"/>
  <c r="N605" i="1"/>
  <c r="M605" i="1"/>
  <c r="O604" i="1" a="1"/>
  <c r="N604" i="1"/>
  <c r="M604" i="1"/>
  <c r="O603" i="1" a="1"/>
  <c r="N603" i="1"/>
  <c r="M603" i="1"/>
  <c r="O602" i="1" a="1"/>
  <c r="N602" i="1"/>
  <c r="M602" i="1"/>
  <c r="O601" i="1" a="1"/>
  <c r="N601" i="1"/>
  <c r="M601" i="1"/>
  <c r="O600" i="1" a="1"/>
  <c r="N600" i="1"/>
  <c r="M600" i="1"/>
  <c r="O599" i="1" a="1"/>
  <c r="N599" i="1"/>
  <c r="M599" i="1"/>
  <c r="O598" i="1" a="1"/>
  <c r="N598" i="1"/>
  <c r="M598" i="1"/>
  <c r="O597" i="1" a="1"/>
  <c r="N597" i="1"/>
  <c r="M597" i="1"/>
  <c r="O596" i="1" a="1"/>
  <c r="N596" i="1"/>
  <c r="M596" i="1"/>
  <c r="O595" i="1" a="1"/>
  <c r="N595" i="1"/>
  <c r="M595" i="1"/>
  <c r="O594" i="1" a="1"/>
  <c r="N594" i="1"/>
  <c r="M594" i="1"/>
  <c r="O593" i="1" a="1"/>
  <c r="N593" i="1"/>
  <c r="M593" i="1"/>
  <c r="O592" i="1" a="1"/>
  <c r="N592" i="1"/>
  <c r="M592" i="1"/>
  <c r="O591" i="1" a="1"/>
  <c r="N591" i="1"/>
  <c r="M591" i="1"/>
  <c r="O590" i="1" a="1"/>
  <c r="N590" i="1"/>
  <c r="M590" i="1"/>
  <c r="O589" i="1" a="1"/>
  <c r="N589" i="1"/>
  <c r="M589" i="1"/>
  <c r="O588" i="1" a="1"/>
  <c r="N588" i="1"/>
  <c r="M588" i="1"/>
  <c r="O587" i="1" a="1"/>
  <c r="N587" i="1"/>
  <c r="M587" i="1"/>
  <c r="O586" i="1" a="1"/>
  <c r="N586" i="1"/>
  <c r="M586" i="1"/>
  <c r="O585" i="1" a="1"/>
  <c r="N585" i="1"/>
  <c r="M585" i="1"/>
  <c r="O584" i="1" a="1"/>
  <c r="N584" i="1"/>
  <c r="M584" i="1"/>
  <c r="O583" i="1" a="1"/>
  <c r="N583" i="1"/>
  <c r="M583" i="1"/>
  <c r="O582" i="1" a="1"/>
  <c r="N582" i="1"/>
  <c r="M582" i="1"/>
  <c r="O581" i="1" a="1"/>
  <c r="N581" i="1"/>
  <c r="M581" i="1"/>
  <c r="O580" i="1" a="1"/>
  <c r="N580" i="1"/>
  <c r="M580" i="1"/>
  <c r="O579" i="1" a="1"/>
  <c r="N579" i="1"/>
  <c r="M579" i="1"/>
  <c r="O578" i="1" a="1"/>
  <c r="N578" i="1"/>
  <c r="M578" i="1"/>
  <c r="O577" i="1" a="1"/>
  <c r="N577" i="1"/>
  <c r="M577" i="1"/>
  <c r="O576" i="1" a="1"/>
  <c r="N576" i="1"/>
  <c r="M576" i="1"/>
  <c r="O575" i="1" a="1"/>
  <c r="N575" i="1"/>
  <c r="M575" i="1"/>
  <c r="O574" i="1" a="1"/>
  <c r="N574" i="1"/>
  <c r="M574" i="1"/>
  <c r="O573" i="1" a="1"/>
  <c r="N573" i="1"/>
  <c r="M573" i="1"/>
  <c r="O572" i="1" a="1"/>
  <c r="N572" i="1"/>
  <c r="M572" i="1"/>
  <c r="O571" i="1" a="1"/>
  <c r="N571" i="1"/>
  <c r="M571" i="1"/>
  <c r="O570" i="1" a="1"/>
  <c r="N570" i="1"/>
  <c r="M570" i="1"/>
  <c r="O569" i="1" a="1"/>
  <c r="N569" i="1"/>
  <c r="M569" i="1"/>
  <c r="O568" i="1" a="1"/>
  <c r="N568" i="1"/>
  <c r="M568" i="1"/>
  <c r="O567" i="1" a="1"/>
  <c r="N567" i="1"/>
  <c r="M567" i="1"/>
  <c r="O566" i="1" a="1"/>
  <c r="N566" i="1"/>
  <c r="M566" i="1"/>
  <c r="O565" i="1" a="1"/>
  <c r="N565" i="1"/>
  <c r="M565" i="1"/>
  <c r="O564" i="1" a="1"/>
  <c r="N564" i="1"/>
  <c r="M564" i="1"/>
  <c r="O563" i="1" a="1"/>
  <c r="N563" i="1"/>
  <c r="M563" i="1"/>
  <c r="O562" i="1" a="1"/>
  <c r="N562" i="1"/>
  <c r="M562" i="1"/>
  <c r="O561" i="1" a="1"/>
  <c r="N561" i="1"/>
  <c r="M561" i="1"/>
  <c r="O560" i="1" a="1"/>
  <c r="N560" i="1"/>
  <c r="M560" i="1"/>
  <c r="O559" i="1" a="1"/>
  <c r="N559" i="1"/>
  <c r="M559" i="1"/>
  <c r="O558" i="1" a="1"/>
  <c r="N558" i="1"/>
  <c r="M558" i="1"/>
  <c r="O557" i="1" a="1"/>
  <c r="N557" i="1"/>
  <c r="M557" i="1"/>
  <c r="O556" i="1" a="1"/>
  <c r="N556" i="1"/>
  <c r="M556" i="1"/>
  <c r="O555" i="1" a="1"/>
  <c r="N555" i="1"/>
  <c r="M555" i="1"/>
  <c r="O554" i="1" a="1"/>
  <c r="N554" i="1"/>
  <c r="M554" i="1"/>
  <c r="O553" i="1" a="1"/>
  <c r="N553" i="1"/>
  <c r="M553" i="1"/>
  <c r="O552" i="1" a="1"/>
  <c r="N552" i="1"/>
  <c r="M552" i="1"/>
  <c r="O551" i="1" a="1"/>
  <c r="N551" i="1"/>
  <c r="M551" i="1"/>
  <c r="O550" i="1" a="1"/>
  <c r="N550" i="1"/>
  <c r="M550" i="1"/>
  <c r="O549" i="1" a="1"/>
  <c r="N549" i="1"/>
  <c r="M549" i="1"/>
  <c r="O548" i="1" a="1"/>
  <c r="N548" i="1"/>
  <c r="M548" i="1"/>
  <c r="O547" i="1" a="1"/>
  <c r="N547" i="1"/>
  <c r="M547" i="1"/>
  <c r="O546" i="1" a="1"/>
  <c r="N546" i="1"/>
  <c r="M546" i="1"/>
  <c r="O545" i="1" a="1"/>
  <c r="N545" i="1"/>
  <c r="M545" i="1"/>
  <c r="O544" i="1" a="1"/>
  <c r="N544" i="1"/>
  <c r="M544" i="1"/>
  <c r="O543" i="1" a="1"/>
  <c r="N543" i="1"/>
  <c r="M543" i="1"/>
  <c r="O542" i="1" a="1"/>
  <c r="N542" i="1"/>
  <c r="M542" i="1"/>
  <c r="O541" i="1" a="1"/>
  <c r="N541" i="1"/>
  <c r="M541" i="1"/>
  <c r="O540" i="1" a="1"/>
  <c r="N540" i="1"/>
  <c r="M540" i="1"/>
  <c r="O539" i="1" a="1"/>
  <c r="N539" i="1"/>
  <c r="M539" i="1"/>
  <c r="O538" i="1" a="1"/>
  <c r="N538" i="1"/>
  <c r="M538" i="1"/>
  <c r="O537" i="1" a="1"/>
  <c r="N537" i="1"/>
  <c r="M537" i="1"/>
  <c r="O536" i="1" a="1"/>
  <c r="N536" i="1"/>
  <c r="M536" i="1"/>
  <c r="O535" i="1" a="1"/>
  <c r="N535" i="1"/>
  <c r="M535" i="1"/>
  <c r="O534" i="1" a="1"/>
  <c r="N534" i="1"/>
  <c r="M534" i="1"/>
  <c r="O533" i="1" a="1"/>
  <c r="N533" i="1"/>
  <c r="M533" i="1"/>
  <c r="O532" i="1" a="1"/>
  <c r="N532" i="1"/>
  <c r="M532" i="1"/>
  <c r="O531" i="1" a="1"/>
  <c r="N531" i="1"/>
  <c r="M531" i="1"/>
  <c r="O530" i="1" a="1"/>
  <c r="N530" i="1"/>
  <c r="M530" i="1"/>
  <c r="O529" i="1" a="1"/>
  <c r="N529" i="1"/>
  <c r="M529" i="1"/>
  <c r="O528" i="1" a="1"/>
  <c r="N528" i="1"/>
  <c r="M528" i="1"/>
  <c r="O527" i="1" a="1"/>
  <c r="N527" i="1"/>
  <c r="M527" i="1"/>
  <c r="O526" i="1" a="1"/>
  <c r="N526" i="1"/>
  <c r="M526" i="1"/>
  <c r="O525" i="1" a="1"/>
  <c r="N525" i="1"/>
  <c r="M525" i="1"/>
  <c r="O524" i="1" a="1"/>
  <c r="N524" i="1"/>
  <c r="M524" i="1"/>
  <c r="O523" i="1" a="1"/>
  <c r="N523" i="1"/>
  <c r="M523" i="1"/>
  <c r="O522" i="1" a="1"/>
  <c r="N522" i="1"/>
  <c r="M522" i="1"/>
  <c r="O521" i="1" a="1"/>
  <c r="N521" i="1"/>
  <c r="M521" i="1"/>
  <c r="O520" i="1" a="1"/>
  <c r="N520" i="1"/>
  <c r="M520" i="1"/>
  <c r="O519" i="1" a="1"/>
  <c r="N519" i="1"/>
  <c r="M519" i="1"/>
  <c r="O518" i="1" a="1"/>
  <c r="N518" i="1"/>
  <c r="M518" i="1"/>
  <c r="O517" i="1" a="1"/>
  <c r="N517" i="1"/>
  <c r="M517" i="1"/>
  <c r="O516" i="1" a="1"/>
  <c r="N516" i="1"/>
  <c r="M516" i="1"/>
  <c r="O515" i="1" a="1"/>
  <c r="N515" i="1"/>
  <c r="M515" i="1"/>
  <c r="O514" i="1" a="1"/>
  <c r="N514" i="1"/>
  <c r="M514" i="1"/>
  <c r="O513" i="1" a="1"/>
  <c r="N513" i="1"/>
  <c r="M513" i="1"/>
  <c r="O512" i="1" a="1"/>
  <c r="N512" i="1"/>
  <c r="M512" i="1"/>
  <c r="O511" i="1" a="1"/>
  <c r="N511" i="1"/>
  <c r="M511" i="1"/>
  <c r="O510" i="1" a="1"/>
  <c r="N510" i="1"/>
  <c r="M510" i="1"/>
  <c r="O509" i="1" a="1"/>
  <c r="N509" i="1"/>
  <c r="M509" i="1"/>
  <c r="O508" i="1" a="1"/>
  <c r="N508" i="1"/>
  <c r="M508" i="1"/>
  <c r="O507" i="1" a="1"/>
  <c r="N507" i="1"/>
  <c r="M507" i="1"/>
  <c r="O506" i="1" a="1"/>
  <c r="N506" i="1"/>
  <c r="M506" i="1"/>
  <c r="O505" i="1" a="1"/>
  <c r="N505" i="1"/>
  <c r="M505" i="1"/>
  <c r="O504" i="1" a="1"/>
  <c r="N504" i="1"/>
  <c r="M504" i="1"/>
  <c r="O503" i="1" a="1"/>
  <c r="N503" i="1"/>
  <c r="M503" i="1"/>
  <c r="O502" i="1" a="1"/>
  <c r="N502" i="1"/>
  <c r="M502" i="1"/>
  <c r="O501" i="1" a="1"/>
  <c r="N501" i="1"/>
  <c r="M501" i="1"/>
  <c r="O500" i="1" a="1"/>
  <c r="N500" i="1"/>
  <c r="M500" i="1"/>
  <c r="O499" i="1" a="1"/>
  <c r="N499" i="1"/>
  <c r="M499" i="1"/>
  <c r="O498" i="1" a="1"/>
  <c r="N498" i="1"/>
  <c r="M498" i="1"/>
  <c r="O497" i="1" a="1"/>
  <c r="N497" i="1"/>
  <c r="M497" i="1"/>
  <c r="O496" i="1" a="1"/>
  <c r="N496" i="1"/>
  <c r="M496" i="1"/>
  <c r="O495" i="1" a="1"/>
  <c r="N495" i="1"/>
  <c r="M495" i="1"/>
  <c r="O494" i="1" a="1"/>
  <c r="N494" i="1"/>
  <c r="M494" i="1"/>
  <c r="O493" i="1" a="1"/>
  <c r="N493" i="1"/>
  <c r="M493" i="1"/>
  <c r="O492" i="1" a="1"/>
  <c r="N492" i="1"/>
  <c r="M492" i="1"/>
  <c r="O491" i="1" a="1"/>
  <c r="N491" i="1"/>
  <c r="M491" i="1"/>
  <c r="O490" i="1" a="1"/>
  <c r="N490" i="1"/>
  <c r="M490" i="1"/>
  <c r="O489" i="1" a="1"/>
  <c r="N489" i="1"/>
  <c r="M489" i="1"/>
  <c r="O488" i="1" a="1"/>
  <c r="N488" i="1"/>
  <c r="M488" i="1"/>
  <c r="O487" i="1" a="1"/>
  <c r="N487" i="1"/>
  <c r="M487" i="1"/>
  <c r="O486" i="1" a="1"/>
  <c r="N486" i="1"/>
  <c r="M486" i="1"/>
  <c r="O485" i="1" a="1"/>
  <c r="N485" i="1"/>
  <c r="M485" i="1"/>
  <c r="O484" i="1" a="1"/>
  <c r="N484" i="1"/>
  <c r="M484" i="1"/>
  <c r="O483" i="1" a="1"/>
  <c r="N483" i="1"/>
  <c r="M483" i="1"/>
  <c r="O482" i="1" a="1"/>
  <c r="N482" i="1"/>
  <c r="M482" i="1"/>
  <c r="O481" i="1" a="1"/>
  <c r="N481" i="1"/>
  <c r="M481" i="1"/>
  <c r="O480" i="1" a="1"/>
  <c r="N480" i="1"/>
  <c r="M480" i="1"/>
  <c r="O479" i="1" a="1"/>
  <c r="N479" i="1"/>
  <c r="M479" i="1"/>
  <c r="O478" i="1" a="1"/>
  <c r="N478" i="1"/>
  <c r="M478" i="1"/>
  <c r="O477" i="1" a="1"/>
  <c r="N477" i="1"/>
  <c r="M477" i="1"/>
  <c r="O476" i="1" a="1"/>
  <c r="N476" i="1"/>
  <c r="M476" i="1"/>
  <c r="O475" i="1" a="1"/>
  <c r="N475" i="1"/>
  <c r="M475" i="1"/>
  <c r="O474" i="1" a="1"/>
  <c r="N474" i="1"/>
  <c r="M474" i="1"/>
  <c r="O473" i="1" a="1"/>
  <c r="N473" i="1"/>
  <c r="M473" i="1"/>
  <c r="O472" i="1" a="1"/>
  <c r="N472" i="1"/>
  <c r="M472" i="1"/>
  <c r="O471" i="1" a="1"/>
  <c r="N471" i="1"/>
  <c r="M471" i="1"/>
  <c r="O470" i="1" a="1"/>
  <c r="N470" i="1"/>
  <c r="M470" i="1"/>
  <c r="O469" i="1" a="1"/>
  <c r="N469" i="1"/>
  <c r="M469" i="1"/>
  <c r="O468" i="1" a="1"/>
  <c r="N468" i="1"/>
  <c r="M468" i="1"/>
  <c r="O467" i="1" a="1"/>
  <c r="N467" i="1"/>
  <c r="M467" i="1"/>
  <c r="O466" i="1" a="1"/>
  <c r="N466" i="1"/>
  <c r="M466" i="1"/>
  <c r="O465" i="1" a="1"/>
  <c r="N465" i="1"/>
  <c r="M465" i="1"/>
  <c r="O464" i="1" a="1"/>
  <c r="N464" i="1"/>
  <c r="M464" i="1"/>
  <c r="O463" i="1" a="1"/>
  <c r="N463" i="1"/>
  <c r="M463" i="1"/>
  <c r="O462" i="1" a="1"/>
  <c r="N462" i="1"/>
  <c r="M462" i="1"/>
  <c r="O461" i="1" a="1"/>
  <c r="N461" i="1"/>
  <c r="M461" i="1"/>
  <c r="O460" i="1" a="1"/>
  <c r="N460" i="1"/>
  <c r="M460" i="1"/>
  <c r="O459" i="1" a="1"/>
  <c r="N459" i="1"/>
  <c r="M459" i="1"/>
  <c r="O458" i="1" a="1"/>
  <c r="N458" i="1"/>
  <c r="M458" i="1"/>
  <c r="O457" i="1" a="1"/>
  <c r="N457" i="1"/>
  <c r="M457" i="1"/>
  <c r="O456" i="1" a="1"/>
  <c r="N456" i="1"/>
  <c r="M456" i="1"/>
  <c r="O455" i="1" a="1"/>
  <c r="N455" i="1"/>
  <c r="M455" i="1"/>
  <c r="O454" i="1" a="1"/>
  <c r="N454" i="1"/>
  <c r="M454" i="1"/>
  <c r="O453" i="1" a="1"/>
  <c r="N453" i="1"/>
  <c r="M453" i="1"/>
  <c r="O452" i="1" a="1"/>
  <c r="N452" i="1"/>
  <c r="M452" i="1"/>
  <c r="O451" i="1" a="1"/>
  <c r="N451" i="1"/>
  <c r="M451" i="1"/>
  <c r="O450" i="1" a="1"/>
  <c r="N450" i="1"/>
  <c r="M450" i="1"/>
  <c r="O449" i="1" a="1"/>
  <c r="N449" i="1"/>
  <c r="M449" i="1"/>
  <c r="O448" i="1" a="1"/>
  <c r="N448" i="1"/>
  <c r="M448" i="1"/>
  <c r="O447" i="1" a="1"/>
  <c r="N447" i="1"/>
  <c r="M447" i="1"/>
  <c r="O446" i="1" a="1"/>
  <c r="N446" i="1"/>
  <c r="M446" i="1"/>
  <c r="O445" i="1" a="1"/>
  <c r="N445" i="1"/>
  <c r="M445" i="1"/>
  <c r="O444" i="1" a="1"/>
  <c r="N444" i="1"/>
  <c r="M444" i="1"/>
  <c r="O443" i="1" a="1"/>
  <c r="N443" i="1"/>
  <c r="M443" i="1"/>
  <c r="O442" i="1" a="1"/>
  <c r="N442" i="1"/>
  <c r="M442" i="1"/>
  <c r="O441" i="1" a="1"/>
  <c r="N441" i="1"/>
  <c r="M441" i="1"/>
  <c r="O440" i="1" a="1"/>
  <c r="N440" i="1"/>
  <c r="M440" i="1"/>
  <c r="O439" i="1" a="1"/>
  <c r="N439" i="1"/>
  <c r="M439" i="1"/>
  <c r="O438" i="1" a="1"/>
  <c r="N438" i="1"/>
  <c r="M438" i="1"/>
  <c r="O437" i="1" a="1"/>
  <c r="N437" i="1"/>
  <c r="M437" i="1"/>
  <c r="O436" i="1" a="1"/>
  <c r="N436" i="1"/>
  <c r="M436" i="1"/>
  <c r="O435" i="1" a="1"/>
  <c r="N435" i="1"/>
  <c r="M435" i="1"/>
  <c r="O434" i="1" a="1"/>
  <c r="N434" i="1"/>
  <c r="M434" i="1"/>
  <c r="O433" i="1" a="1"/>
  <c r="N433" i="1"/>
  <c r="M433" i="1"/>
  <c r="O432" i="1" a="1"/>
  <c r="N432" i="1"/>
  <c r="M432" i="1"/>
  <c r="O431" i="1" a="1"/>
  <c r="N431" i="1"/>
  <c r="M431" i="1"/>
  <c r="O430" i="1" a="1"/>
  <c r="N430" i="1"/>
  <c r="M430" i="1"/>
  <c r="O429" i="1" a="1"/>
  <c r="N429" i="1"/>
  <c r="M429" i="1"/>
  <c r="O428" i="1" a="1"/>
  <c r="N428" i="1"/>
  <c r="M428" i="1"/>
  <c r="O427" i="1" a="1"/>
  <c r="N427" i="1"/>
  <c r="M427" i="1"/>
  <c r="O426" i="1" a="1"/>
  <c r="N426" i="1"/>
  <c r="M426" i="1"/>
  <c r="O425" i="1" a="1"/>
  <c r="N425" i="1"/>
  <c r="M425" i="1"/>
  <c r="O424" i="1" a="1"/>
  <c r="N424" i="1"/>
  <c r="M424" i="1"/>
  <c r="O423" i="1" a="1"/>
  <c r="N423" i="1"/>
  <c r="M423" i="1"/>
  <c r="O422" i="1" a="1"/>
  <c r="N422" i="1"/>
  <c r="M422" i="1"/>
  <c r="O421" i="1" a="1"/>
  <c r="N421" i="1"/>
  <c r="M421" i="1"/>
  <c r="O420" i="1" a="1"/>
  <c r="N420" i="1"/>
  <c r="M420" i="1"/>
  <c r="O419" i="1" a="1"/>
  <c r="N419" i="1"/>
  <c r="M419" i="1"/>
  <c r="O418" i="1" a="1"/>
  <c r="N418" i="1"/>
  <c r="M418" i="1"/>
  <c r="O417" i="1" a="1"/>
  <c r="N417" i="1"/>
  <c r="M417" i="1"/>
  <c r="O416" i="1" a="1"/>
  <c r="N416" i="1"/>
  <c r="M416" i="1"/>
  <c r="O415" i="1" a="1"/>
  <c r="N415" i="1"/>
  <c r="M415" i="1"/>
  <c r="O414" i="1" a="1"/>
  <c r="N414" i="1"/>
  <c r="M414" i="1"/>
  <c r="O413" i="1" a="1"/>
  <c r="N413" i="1"/>
  <c r="M413" i="1"/>
  <c r="O412" i="1" a="1"/>
  <c r="N412" i="1"/>
  <c r="M412" i="1"/>
  <c r="O411" i="1" a="1"/>
  <c r="N411" i="1"/>
  <c r="M411" i="1"/>
  <c r="O410" i="1" a="1"/>
  <c r="N410" i="1"/>
  <c r="M410" i="1"/>
  <c r="O409" i="1" a="1"/>
  <c r="N409" i="1"/>
  <c r="M409" i="1"/>
  <c r="O408" i="1" a="1"/>
  <c r="N408" i="1"/>
  <c r="M408" i="1"/>
  <c r="O407" i="1" a="1"/>
  <c r="N407" i="1"/>
  <c r="M407" i="1"/>
  <c r="O406" i="1" a="1"/>
  <c r="N406" i="1"/>
  <c r="M406" i="1"/>
  <c r="O405" i="1" a="1"/>
  <c r="N405" i="1"/>
  <c r="M405" i="1"/>
  <c r="O404" i="1" a="1"/>
  <c r="N404" i="1"/>
  <c r="M404" i="1"/>
  <c r="O403" i="1" a="1"/>
  <c r="N403" i="1"/>
  <c r="M403" i="1"/>
  <c r="O402" i="1" a="1"/>
  <c r="N402" i="1"/>
  <c r="M402" i="1"/>
  <c r="O401" i="1" a="1"/>
  <c r="N401" i="1"/>
  <c r="M401" i="1"/>
  <c r="O400" i="1" a="1"/>
  <c r="N400" i="1"/>
  <c r="M400" i="1"/>
  <c r="O399" i="1" a="1"/>
  <c r="N399" i="1"/>
  <c r="M399" i="1"/>
  <c r="O398" i="1" a="1"/>
  <c r="N398" i="1"/>
  <c r="M398" i="1"/>
  <c r="O397" i="1" a="1"/>
  <c r="N397" i="1"/>
  <c r="M397" i="1"/>
  <c r="O396" i="1" a="1"/>
  <c r="N396" i="1"/>
  <c r="M396" i="1"/>
  <c r="O395" i="1" a="1"/>
  <c r="N395" i="1"/>
  <c r="M395" i="1"/>
  <c r="O394" i="1" a="1"/>
  <c r="N394" i="1"/>
  <c r="M394" i="1"/>
  <c r="O393" i="1" a="1"/>
  <c r="N393" i="1"/>
  <c r="M393" i="1"/>
  <c r="O392" i="1" a="1"/>
  <c r="N392" i="1"/>
  <c r="M392" i="1"/>
  <c r="O391" i="1" a="1"/>
  <c r="N391" i="1"/>
  <c r="M391" i="1"/>
  <c r="O390" i="1" a="1"/>
  <c r="N390" i="1"/>
  <c r="M390" i="1"/>
  <c r="O389" i="1" a="1"/>
  <c r="N389" i="1"/>
  <c r="M389" i="1"/>
  <c r="O388" i="1" a="1"/>
  <c r="N388" i="1"/>
  <c r="M388" i="1"/>
  <c r="O387" i="1" a="1"/>
  <c r="N387" i="1"/>
  <c r="M387" i="1"/>
  <c r="O386" i="1" a="1"/>
  <c r="N386" i="1"/>
  <c r="M386" i="1"/>
  <c r="O385" i="1" a="1"/>
  <c r="N385" i="1"/>
  <c r="M385" i="1"/>
  <c r="O384" i="1" a="1"/>
  <c r="N384" i="1"/>
  <c r="M384" i="1"/>
  <c r="O383" i="1" a="1"/>
  <c r="N383" i="1"/>
  <c r="M383" i="1"/>
  <c r="O382" i="1" a="1"/>
  <c r="N382" i="1"/>
  <c r="M382" i="1"/>
  <c r="O381" i="1" a="1"/>
  <c r="N381" i="1"/>
  <c r="M381" i="1"/>
  <c r="O380" i="1" a="1"/>
  <c r="N380" i="1"/>
  <c r="M380" i="1"/>
  <c r="O379" i="1" a="1"/>
  <c r="N379" i="1"/>
  <c r="M379" i="1"/>
  <c r="O378" i="1" a="1"/>
  <c r="N378" i="1"/>
  <c r="M378" i="1"/>
  <c r="O377" i="1" a="1"/>
  <c r="N377" i="1"/>
  <c r="M377" i="1"/>
  <c r="O376" i="1" a="1"/>
  <c r="N376" i="1"/>
  <c r="M376" i="1"/>
  <c r="O375" i="1" a="1"/>
  <c r="N375" i="1"/>
  <c r="M375" i="1"/>
  <c r="O374" i="1" a="1"/>
  <c r="N374" i="1"/>
  <c r="M374" i="1"/>
  <c r="O373" i="1" a="1"/>
  <c r="N373" i="1"/>
  <c r="M373" i="1"/>
  <c r="O372" i="1" a="1"/>
  <c r="N372" i="1"/>
  <c r="M372" i="1"/>
  <c r="O371" i="1" a="1"/>
  <c r="N371" i="1"/>
  <c r="M371" i="1"/>
  <c r="O370" i="1" a="1"/>
  <c r="N370" i="1"/>
  <c r="M370" i="1"/>
  <c r="O369" i="1" a="1"/>
  <c r="N369" i="1"/>
  <c r="M369" i="1"/>
  <c r="O368" i="1" a="1"/>
  <c r="N368" i="1"/>
  <c r="M368" i="1"/>
  <c r="O367" i="1" a="1"/>
  <c r="N367" i="1"/>
  <c r="M367" i="1"/>
  <c r="O366" i="1" a="1"/>
  <c r="N366" i="1"/>
  <c r="M366" i="1"/>
  <c r="O365" i="1" a="1"/>
  <c r="N365" i="1"/>
  <c r="M365" i="1"/>
  <c r="O364" i="1" a="1"/>
  <c r="N364" i="1"/>
  <c r="M364" i="1"/>
  <c r="O363" i="1" a="1"/>
  <c r="N363" i="1"/>
  <c r="M363" i="1"/>
  <c r="O362" i="1" a="1"/>
  <c r="N362" i="1"/>
  <c r="M362" i="1"/>
  <c r="O361" i="1" a="1"/>
  <c r="N361" i="1"/>
  <c r="M361" i="1"/>
  <c r="O360" i="1" a="1"/>
  <c r="N360" i="1"/>
  <c r="M360" i="1"/>
  <c r="O359" i="1" a="1"/>
  <c r="N359" i="1"/>
  <c r="M359" i="1"/>
  <c r="O358" i="1" a="1"/>
  <c r="N358" i="1"/>
  <c r="M358" i="1"/>
  <c r="O357" i="1" a="1"/>
  <c r="N357" i="1"/>
  <c r="M357" i="1"/>
  <c r="O356" i="1" a="1"/>
  <c r="N356" i="1"/>
  <c r="M356" i="1"/>
  <c r="O355" i="1" a="1"/>
  <c r="N355" i="1"/>
  <c r="M355" i="1"/>
  <c r="O354" i="1" a="1"/>
  <c r="N354" i="1"/>
  <c r="M354" i="1"/>
  <c r="O353" i="1" a="1"/>
  <c r="N353" i="1"/>
  <c r="M353" i="1"/>
  <c r="O352" i="1" a="1"/>
  <c r="N352" i="1"/>
  <c r="M352" i="1"/>
  <c r="O351" i="1" a="1"/>
  <c r="N351" i="1"/>
  <c r="M351" i="1"/>
  <c r="O350" i="1" a="1"/>
  <c r="N350" i="1"/>
  <c r="M350" i="1"/>
  <c r="O349" i="1" a="1"/>
  <c r="N349" i="1"/>
  <c r="M349" i="1"/>
  <c r="O348" i="1" a="1"/>
  <c r="N348" i="1"/>
  <c r="M348" i="1"/>
  <c r="O347" i="1" a="1"/>
  <c r="N347" i="1"/>
  <c r="M347" i="1"/>
  <c r="O346" i="1" a="1"/>
  <c r="N346" i="1"/>
  <c r="M346" i="1"/>
  <c r="O345" i="1" a="1"/>
  <c r="N345" i="1"/>
  <c r="M345" i="1"/>
  <c r="O344" i="1" a="1"/>
  <c r="N344" i="1"/>
  <c r="M344" i="1"/>
  <c r="O343" i="1" a="1"/>
  <c r="N343" i="1"/>
  <c r="M343" i="1"/>
  <c r="O342" i="1" a="1"/>
  <c r="N342" i="1"/>
  <c r="M342" i="1"/>
  <c r="O341" i="1" a="1"/>
  <c r="N341" i="1"/>
  <c r="M341" i="1"/>
  <c r="O340" i="1" a="1"/>
  <c r="N340" i="1"/>
  <c r="M340" i="1"/>
  <c r="O339" i="1" a="1"/>
  <c r="N339" i="1"/>
  <c r="M339" i="1"/>
  <c r="O338" i="1" a="1"/>
  <c r="N338" i="1"/>
  <c r="M338" i="1"/>
  <c r="O337" i="1" a="1"/>
  <c r="N337" i="1"/>
  <c r="M337" i="1"/>
  <c r="O336" i="1" a="1"/>
  <c r="N336" i="1"/>
  <c r="M336" i="1"/>
  <c r="O335" i="1" a="1"/>
  <c r="N335" i="1"/>
  <c r="M335" i="1"/>
  <c r="O334" i="1" a="1"/>
  <c r="N334" i="1"/>
  <c r="M334" i="1"/>
  <c r="O333" i="1" a="1"/>
  <c r="N333" i="1"/>
  <c r="M333" i="1"/>
  <c r="O332" i="1" a="1"/>
  <c r="N332" i="1"/>
  <c r="M332" i="1"/>
  <c r="O331" i="1" a="1"/>
  <c r="N331" i="1"/>
  <c r="M331" i="1"/>
  <c r="O330" i="1" a="1"/>
  <c r="N330" i="1"/>
  <c r="M330" i="1"/>
  <c r="O329" i="1" a="1"/>
  <c r="N329" i="1"/>
  <c r="M329" i="1"/>
  <c r="O328" i="1" a="1"/>
  <c r="N328" i="1"/>
  <c r="M328" i="1"/>
  <c r="O327" i="1" a="1"/>
  <c r="N327" i="1"/>
  <c r="M327" i="1"/>
  <c r="O326" i="1" a="1"/>
  <c r="N326" i="1"/>
  <c r="M326" i="1"/>
  <c r="O325" i="1" a="1"/>
  <c r="N325" i="1"/>
  <c r="M325" i="1"/>
  <c r="O324" i="1" a="1"/>
  <c r="N324" i="1"/>
  <c r="M324" i="1"/>
  <c r="O323" i="1" a="1"/>
  <c r="N323" i="1"/>
  <c r="M323" i="1"/>
  <c r="O322" i="1" a="1"/>
  <c r="N322" i="1"/>
  <c r="M322" i="1"/>
  <c r="O321" i="1" a="1"/>
  <c r="N321" i="1"/>
  <c r="M321" i="1"/>
  <c r="O320" i="1" a="1"/>
  <c r="N320" i="1"/>
  <c r="M320" i="1"/>
  <c r="O319" i="1" a="1"/>
  <c r="N319" i="1"/>
  <c r="M319" i="1"/>
  <c r="O318" i="1" a="1"/>
  <c r="N318" i="1"/>
  <c r="M318" i="1"/>
  <c r="O317" i="1" a="1"/>
  <c r="N317" i="1"/>
  <c r="M317" i="1"/>
  <c r="O316" i="1" a="1"/>
  <c r="N316" i="1"/>
  <c r="M316" i="1"/>
  <c r="O315" i="1" a="1"/>
  <c r="N315" i="1"/>
  <c r="M315" i="1"/>
  <c r="O314" i="1" a="1"/>
  <c r="N314" i="1"/>
  <c r="M314" i="1"/>
  <c r="O313" i="1" a="1"/>
  <c r="N313" i="1"/>
  <c r="M313" i="1"/>
  <c r="O312" i="1" a="1"/>
  <c r="N312" i="1"/>
  <c r="M312" i="1"/>
  <c r="O311" i="1" a="1"/>
  <c r="N311" i="1"/>
  <c r="M311" i="1"/>
  <c r="O310" i="1" a="1"/>
  <c r="N310" i="1"/>
  <c r="M310" i="1"/>
  <c r="O309" i="1" a="1"/>
  <c r="N309" i="1"/>
  <c r="M309" i="1"/>
  <c r="O308" i="1" a="1"/>
  <c r="N308" i="1"/>
  <c r="M308" i="1"/>
  <c r="O307" i="1" a="1"/>
  <c r="N307" i="1"/>
  <c r="M307" i="1"/>
  <c r="O306" i="1" a="1"/>
  <c r="N306" i="1"/>
  <c r="M306" i="1"/>
  <c r="O305" i="1" a="1"/>
  <c r="N305" i="1"/>
  <c r="M305" i="1"/>
  <c r="O304" i="1" a="1"/>
  <c r="N304" i="1"/>
  <c r="M304" i="1"/>
  <c r="O303" i="1" a="1"/>
  <c r="N303" i="1"/>
  <c r="M303" i="1"/>
  <c r="O302" i="1" a="1"/>
  <c r="N302" i="1"/>
  <c r="M302" i="1"/>
  <c r="O301" i="1" a="1"/>
  <c r="N301" i="1"/>
  <c r="M301" i="1"/>
  <c r="O300" i="1" a="1"/>
  <c r="N300" i="1"/>
  <c r="M300" i="1"/>
  <c r="O299" i="1" a="1"/>
  <c r="N299" i="1"/>
  <c r="M299" i="1"/>
  <c r="O298" i="1" a="1"/>
  <c r="N298" i="1"/>
  <c r="M298" i="1"/>
  <c r="O297" i="1" a="1"/>
  <c r="N297" i="1"/>
  <c r="M297" i="1"/>
  <c r="O296" i="1" a="1"/>
  <c r="N296" i="1"/>
  <c r="M296" i="1"/>
  <c r="O295" i="1" a="1"/>
  <c r="N295" i="1"/>
  <c r="M295" i="1"/>
  <c r="O294" i="1" a="1"/>
  <c r="N294" i="1"/>
  <c r="M294" i="1"/>
  <c r="O293" i="1" a="1"/>
  <c r="N293" i="1"/>
  <c r="M293" i="1"/>
  <c r="O292" i="1" a="1"/>
  <c r="N292" i="1"/>
  <c r="M292" i="1"/>
  <c r="O291" i="1" a="1"/>
  <c r="N291" i="1"/>
  <c r="M291" i="1"/>
  <c r="O290" i="1" a="1"/>
  <c r="N290" i="1"/>
  <c r="M290" i="1"/>
  <c r="O289" i="1" a="1"/>
  <c r="N289" i="1"/>
  <c r="M289" i="1"/>
  <c r="O288" i="1" a="1"/>
  <c r="N288" i="1"/>
  <c r="M288" i="1"/>
  <c r="O287" i="1" a="1"/>
  <c r="N287" i="1"/>
  <c r="M287" i="1"/>
  <c r="O286" i="1" a="1"/>
  <c r="N286" i="1"/>
  <c r="M286" i="1"/>
  <c r="O285" i="1" a="1"/>
  <c r="N285" i="1"/>
  <c r="M285" i="1"/>
  <c r="O284" i="1" a="1"/>
  <c r="N284" i="1"/>
  <c r="M284" i="1"/>
  <c r="O283" i="1" a="1"/>
  <c r="N283" i="1"/>
  <c r="M283" i="1"/>
  <c r="O282" i="1" a="1"/>
  <c r="N282" i="1"/>
  <c r="M282" i="1"/>
  <c r="O281" i="1" a="1"/>
  <c r="N281" i="1"/>
  <c r="M281" i="1"/>
  <c r="O280" i="1" a="1"/>
  <c r="N280" i="1"/>
  <c r="M280" i="1"/>
  <c r="O279" i="1" a="1"/>
  <c r="N279" i="1"/>
  <c r="M279" i="1"/>
  <c r="O278" i="1" a="1"/>
  <c r="N278" i="1"/>
  <c r="M278" i="1"/>
  <c r="O277" i="1" a="1"/>
  <c r="N277" i="1"/>
  <c r="M277" i="1"/>
  <c r="O276" i="1" a="1"/>
  <c r="N276" i="1"/>
  <c r="M276" i="1"/>
  <c r="O275" i="1" a="1"/>
  <c r="N275" i="1"/>
  <c r="M275" i="1"/>
  <c r="O274" i="1" a="1"/>
  <c r="N274" i="1"/>
  <c r="M274" i="1"/>
  <c r="O273" i="1" a="1"/>
  <c r="N273" i="1"/>
  <c r="M273" i="1"/>
  <c r="O272" i="1" a="1"/>
  <c r="N272" i="1"/>
  <c r="M272" i="1"/>
  <c r="O271" i="1" a="1"/>
  <c r="N271" i="1"/>
  <c r="M271" i="1"/>
  <c r="O270" i="1" a="1"/>
  <c r="N270" i="1"/>
  <c r="M270" i="1"/>
  <c r="O269" i="1" a="1"/>
  <c r="N269" i="1"/>
  <c r="M269" i="1"/>
  <c r="O268" i="1" a="1"/>
  <c r="N268" i="1"/>
  <c r="M268" i="1"/>
  <c r="O267" i="1" a="1"/>
  <c r="N267" i="1"/>
  <c r="M267" i="1"/>
  <c r="O266" i="1" a="1"/>
  <c r="N266" i="1"/>
  <c r="M266" i="1"/>
  <c r="O265" i="1" a="1"/>
  <c r="N265" i="1"/>
  <c r="M265" i="1"/>
  <c r="O264" i="1" a="1"/>
  <c r="N264" i="1"/>
  <c r="M264" i="1"/>
  <c r="O263" i="1" a="1"/>
  <c r="N263" i="1"/>
  <c r="M263" i="1"/>
  <c r="O262" i="1" a="1"/>
  <c r="N262" i="1"/>
  <c r="M262" i="1"/>
  <c r="O261" i="1" a="1"/>
  <c r="N261" i="1"/>
  <c r="M261" i="1"/>
  <c r="O260" i="1" a="1"/>
  <c r="N260" i="1"/>
  <c r="M260" i="1"/>
  <c r="O259" i="1" a="1"/>
  <c r="N259" i="1"/>
  <c r="M259" i="1"/>
  <c r="O258" i="1" a="1"/>
  <c r="N258" i="1"/>
  <c r="M258" i="1"/>
  <c r="O257" i="1" a="1"/>
  <c r="N257" i="1"/>
  <c r="M257" i="1"/>
  <c r="O256" i="1" a="1"/>
  <c r="N256" i="1"/>
  <c r="M256" i="1"/>
  <c r="O255" i="1" a="1"/>
  <c r="N255" i="1"/>
  <c r="M255" i="1"/>
  <c r="O254" i="1" a="1"/>
  <c r="N254" i="1"/>
  <c r="M254" i="1"/>
  <c r="O253" i="1" a="1"/>
  <c r="N253" i="1"/>
  <c r="M253" i="1"/>
  <c r="O252" i="1" a="1"/>
  <c r="N252" i="1"/>
  <c r="M252" i="1"/>
  <c r="O251" i="1" a="1"/>
  <c r="N251" i="1"/>
  <c r="M251" i="1"/>
  <c r="O250" i="1" a="1"/>
  <c r="N250" i="1"/>
  <c r="M250" i="1"/>
  <c r="O249" i="1" a="1"/>
  <c r="N249" i="1"/>
  <c r="M249" i="1"/>
  <c r="O248" i="1" a="1"/>
  <c r="N248" i="1"/>
  <c r="M248" i="1"/>
  <c r="O247" i="1" a="1"/>
  <c r="N247" i="1"/>
  <c r="M247" i="1"/>
  <c r="O246" i="1" a="1"/>
  <c r="N246" i="1"/>
  <c r="M246" i="1"/>
  <c r="O245" i="1" a="1"/>
  <c r="N245" i="1"/>
  <c r="M245" i="1"/>
  <c r="O244" i="1" a="1"/>
  <c r="N244" i="1"/>
  <c r="M244" i="1"/>
  <c r="O243" i="1" a="1"/>
  <c r="N243" i="1"/>
  <c r="M243" i="1"/>
  <c r="O242" i="1" a="1"/>
  <c r="N242" i="1"/>
  <c r="M242" i="1"/>
  <c r="O241" i="1" a="1"/>
  <c r="N241" i="1"/>
  <c r="M241" i="1"/>
  <c r="O240" i="1" a="1"/>
  <c r="N240" i="1"/>
  <c r="M240" i="1"/>
  <c r="O239" i="1" a="1"/>
  <c r="N239" i="1"/>
  <c r="M239" i="1"/>
  <c r="O238" i="1" a="1"/>
  <c r="N238" i="1"/>
  <c r="M238" i="1"/>
  <c r="O237" i="1" a="1"/>
  <c r="N237" i="1"/>
  <c r="M237" i="1"/>
  <c r="O236" i="1" a="1"/>
  <c r="N236" i="1"/>
  <c r="M236" i="1"/>
  <c r="O235" i="1" a="1"/>
  <c r="N235" i="1"/>
  <c r="M235" i="1"/>
  <c r="O234" i="1" a="1"/>
  <c r="N234" i="1"/>
  <c r="M234" i="1"/>
  <c r="O233" i="1" a="1"/>
  <c r="N233" i="1"/>
  <c r="M233" i="1"/>
  <c r="O232" i="1" a="1"/>
  <c r="N232" i="1"/>
  <c r="M232" i="1"/>
  <c r="O231" i="1" a="1"/>
  <c r="N231" i="1"/>
  <c r="M231" i="1"/>
  <c r="O230" i="1" a="1"/>
  <c r="N230" i="1"/>
  <c r="M230" i="1"/>
  <c r="O229" i="1" a="1"/>
  <c r="N229" i="1"/>
  <c r="M229" i="1"/>
  <c r="O228" i="1" a="1"/>
  <c r="N228" i="1"/>
  <c r="M228" i="1"/>
  <c r="O227" i="1" a="1"/>
  <c r="N227" i="1"/>
  <c r="M227" i="1"/>
  <c r="O226" i="1" a="1"/>
  <c r="N226" i="1"/>
  <c r="M226" i="1"/>
  <c r="O225" i="1" a="1"/>
  <c r="N225" i="1"/>
  <c r="M225" i="1"/>
  <c r="O224" i="1" a="1"/>
  <c r="N224" i="1"/>
  <c r="M224" i="1"/>
  <c r="O223" i="1" a="1"/>
  <c r="N223" i="1"/>
  <c r="M223" i="1"/>
  <c r="O222" i="1" a="1"/>
  <c r="N222" i="1"/>
  <c r="M222" i="1"/>
  <c r="O221" i="1" a="1"/>
  <c r="N221" i="1"/>
  <c r="M221" i="1"/>
  <c r="O220" i="1" a="1"/>
  <c r="N220" i="1"/>
  <c r="M220" i="1"/>
  <c r="O219" i="1" a="1"/>
  <c r="N219" i="1"/>
  <c r="M219" i="1"/>
  <c r="O218" i="1" a="1"/>
  <c r="N218" i="1"/>
  <c r="M218" i="1"/>
  <c r="O217" i="1" a="1"/>
  <c r="N217" i="1"/>
  <c r="M217" i="1"/>
  <c r="O216" i="1" a="1"/>
  <c r="N216" i="1"/>
  <c r="M216" i="1"/>
  <c r="O215" i="1" a="1"/>
  <c r="N215" i="1"/>
  <c r="M215" i="1"/>
  <c r="O214" i="1" a="1"/>
  <c r="N214" i="1"/>
  <c r="M214" i="1"/>
  <c r="O213" i="1" a="1"/>
  <c r="N213" i="1"/>
  <c r="M213" i="1"/>
  <c r="O212" i="1" a="1"/>
  <c r="N212" i="1"/>
  <c r="M212" i="1"/>
  <c r="O211" i="1" a="1"/>
  <c r="N211" i="1"/>
  <c r="M211" i="1"/>
  <c r="O210" i="1" a="1"/>
  <c r="N210" i="1"/>
  <c r="M210" i="1"/>
  <c r="O209" i="1" a="1"/>
  <c r="N209" i="1"/>
  <c r="M209" i="1"/>
  <c r="O208" i="1" a="1"/>
  <c r="N208" i="1"/>
  <c r="M208" i="1"/>
  <c r="O207" i="1" a="1"/>
  <c r="N207" i="1"/>
  <c r="M207" i="1"/>
  <c r="O206" i="1" a="1"/>
  <c r="N206" i="1"/>
  <c r="M206" i="1"/>
  <c r="O205" i="1" a="1"/>
  <c r="N205" i="1"/>
  <c r="M205" i="1"/>
  <c r="O204" i="1" a="1"/>
  <c r="N204" i="1"/>
  <c r="M204" i="1"/>
  <c r="O203" i="1" a="1"/>
  <c r="N203" i="1"/>
  <c r="M203" i="1"/>
  <c r="O202" i="1" a="1"/>
  <c r="N202" i="1"/>
  <c r="M202" i="1"/>
  <c r="O201" i="1" a="1"/>
  <c r="N201" i="1"/>
  <c r="M201" i="1"/>
  <c r="O200" i="1" a="1"/>
  <c r="N200" i="1"/>
  <c r="M200" i="1"/>
  <c r="O199" i="1" a="1"/>
  <c r="N199" i="1"/>
  <c r="M199" i="1"/>
  <c r="O198" i="1" a="1"/>
  <c r="N198" i="1"/>
  <c r="M198" i="1"/>
  <c r="O197" i="1" a="1"/>
  <c r="N197" i="1"/>
  <c r="M197" i="1"/>
  <c r="O196" i="1" a="1"/>
  <c r="N196" i="1"/>
  <c r="M196" i="1"/>
  <c r="O195" i="1" a="1"/>
  <c r="N195" i="1"/>
  <c r="M195" i="1"/>
  <c r="O194" i="1" a="1"/>
  <c r="N194" i="1"/>
  <c r="M194" i="1"/>
  <c r="O193" i="1" a="1"/>
  <c r="N193" i="1"/>
  <c r="M193" i="1"/>
  <c r="O192" i="1" a="1"/>
  <c r="N192" i="1"/>
  <c r="M192" i="1"/>
  <c r="O191" i="1" a="1"/>
  <c r="N191" i="1"/>
  <c r="M191" i="1"/>
  <c r="O190" i="1" a="1"/>
  <c r="N190" i="1"/>
  <c r="M190" i="1"/>
  <c r="O189" i="1" a="1"/>
  <c r="N189" i="1"/>
  <c r="M189" i="1"/>
  <c r="O188" i="1" a="1"/>
  <c r="N188" i="1"/>
  <c r="M188" i="1"/>
  <c r="O187" i="1" a="1"/>
  <c r="N187" i="1"/>
  <c r="M187" i="1"/>
  <c r="O186" i="1" a="1"/>
  <c r="N186" i="1"/>
  <c r="M186" i="1"/>
  <c r="O185" i="1" a="1"/>
  <c r="N185" i="1"/>
  <c r="M185" i="1"/>
  <c r="O184" i="1" a="1"/>
  <c r="N184" i="1"/>
  <c r="M184" i="1"/>
  <c r="O183" i="1" a="1"/>
  <c r="N183" i="1"/>
  <c r="M183" i="1"/>
  <c r="O182" i="1" a="1"/>
  <c r="N182" i="1"/>
  <c r="M182" i="1"/>
  <c r="O181" i="1" a="1"/>
  <c r="N181" i="1"/>
  <c r="M181" i="1"/>
  <c r="O180" i="1" a="1"/>
  <c r="N180" i="1"/>
  <c r="M180" i="1"/>
  <c r="O179" i="1" a="1"/>
  <c r="N179" i="1"/>
  <c r="M179" i="1"/>
  <c r="O178" i="1" a="1"/>
  <c r="N178" i="1"/>
  <c r="M178" i="1"/>
  <c r="O177" i="1" a="1"/>
  <c r="N177" i="1"/>
  <c r="M177" i="1"/>
  <c r="O176" i="1" a="1"/>
  <c r="N176" i="1"/>
  <c r="M176" i="1"/>
  <c r="O175" i="1" a="1"/>
  <c r="N175" i="1"/>
  <c r="M175" i="1"/>
  <c r="O174" i="1" a="1"/>
  <c r="N174" i="1"/>
  <c r="M174" i="1"/>
  <c r="O173" i="1" a="1"/>
  <c r="N173" i="1"/>
  <c r="M173" i="1"/>
  <c r="O172" i="1" a="1"/>
  <c r="N172" i="1"/>
  <c r="M172" i="1"/>
  <c r="O171" i="1" a="1"/>
  <c r="N171" i="1"/>
  <c r="M171" i="1"/>
  <c r="O170" i="1" a="1"/>
  <c r="N170" i="1"/>
  <c r="M170" i="1"/>
  <c r="O169" i="1" a="1"/>
  <c r="N169" i="1"/>
  <c r="M169" i="1"/>
  <c r="O168" i="1" a="1"/>
  <c r="N168" i="1"/>
  <c r="M168" i="1"/>
  <c r="O167" i="1" a="1"/>
  <c r="N167" i="1"/>
  <c r="M167" i="1"/>
  <c r="O166" i="1" a="1"/>
  <c r="N166" i="1"/>
  <c r="M166" i="1"/>
  <c r="O165" i="1" a="1"/>
  <c r="N165" i="1"/>
  <c r="M165" i="1"/>
  <c r="O164" i="1" a="1"/>
  <c r="N164" i="1"/>
  <c r="M164" i="1"/>
  <c r="O163" i="1" a="1"/>
  <c r="N163" i="1"/>
  <c r="M163" i="1"/>
  <c r="O162" i="1" a="1"/>
  <c r="N162" i="1"/>
  <c r="M162" i="1"/>
  <c r="O161" i="1" a="1"/>
  <c r="N161" i="1"/>
  <c r="M161" i="1"/>
  <c r="O160" i="1" a="1"/>
  <c r="N160" i="1"/>
  <c r="M160" i="1"/>
  <c r="O159" i="1" a="1"/>
  <c r="N159" i="1"/>
  <c r="M159" i="1"/>
  <c r="O158" i="1" a="1"/>
  <c r="N158" i="1"/>
  <c r="M158" i="1"/>
  <c r="O157" i="1" a="1"/>
  <c r="N157" i="1"/>
  <c r="M157" i="1"/>
  <c r="O156" i="1" a="1"/>
  <c r="N156" i="1"/>
  <c r="M156" i="1"/>
  <c r="O155" i="1" a="1"/>
  <c r="N155" i="1"/>
  <c r="M155" i="1"/>
  <c r="O154" i="1" a="1"/>
  <c r="N154" i="1"/>
  <c r="M154" i="1"/>
  <c r="O153" i="1" a="1"/>
  <c r="N153" i="1"/>
  <c r="M153" i="1"/>
  <c r="O152" i="1" a="1"/>
  <c r="N152" i="1"/>
  <c r="M152" i="1"/>
  <c r="O151" i="1" a="1"/>
  <c r="N151" i="1"/>
  <c r="M151" i="1"/>
  <c r="O150" i="1" a="1"/>
  <c r="N150" i="1"/>
  <c r="M150" i="1"/>
  <c r="O149" i="1" a="1"/>
  <c r="N149" i="1"/>
  <c r="M149" i="1"/>
  <c r="O148" i="1" a="1"/>
  <c r="N148" i="1"/>
  <c r="M148" i="1"/>
  <c r="O147" i="1" a="1"/>
  <c r="N147" i="1"/>
  <c r="M147" i="1"/>
  <c r="O146" i="1" a="1"/>
  <c r="N146" i="1"/>
  <c r="M146" i="1"/>
  <c r="O145" i="1" a="1"/>
  <c r="N145" i="1"/>
  <c r="M145" i="1"/>
  <c r="O144" i="1" a="1"/>
  <c r="N144" i="1"/>
  <c r="M144" i="1"/>
  <c r="O143" i="1" a="1"/>
  <c r="N143" i="1"/>
  <c r="M143" i="1"/>
  <c r="O142" i="1" a="1"/>
  <c r="N142" i="1"/>
  <c r="M142" i="1"/>
  <c r="O141" i="1" a="1"/>
  <c r="N141" i="1"/>
  <c r="M141" i="1"/>
  <c r="O140" i="1" a="1"/>
  <c r="N140" i="1"/>
  <c r="M140" i="1"/>
  <c r="O139" i="1" a="1"/>
  <c r="N139" i="1"/>
  <c r="M139" i="1"/>
  <c r="O138" i="1" a="1"/>
  <c r="N138" i="1"/>
  <c r="M138" i="1"/>
  <c r="O137" i="1" a="1"/>
  <c r="N137" i="1"/>
  <c r="M137" i="1"/>
  <c r="O136" i="1" a="1"/>
  <c r="N136" i="1"/>
  <c r="M136" i="1"/>
  <c r="O135" i="1" a="1"/>
  <c r="N135" i="1"/>
  <c r="M135" i="1"/>
  <c r="O134" i="1" a="1"/>
  <c r="N134" i="1"/>
  <c r="M134" i="1"/>
  <c r="O133" i="1" a="1"/>
  <c r="N133" i="1"/>
  <c r="M133" i="1"/>
  <c r="O132" i="1" a="1"/>
  <c r="N132" i="1"/>
  <c r="M132" i="1"/>
  <c r="O131" i="1" a="1"/>
  <c r="N131" i="1"/>
  <c r="M131" i="1"/>
  <c r="O130" i="1" a="1"/>
  <c r="N130" i="1"/>
  <c r="M130" i="1"/>
  <c r="O129" i="1" a="1"/>
  <c r="N129" i="1"/>
  <c r="M129" i="1"/>
  <c r="O128" i="1" a="1"/>
  <c r="N128" i="1"/>
  <c r="M128" i="1"/>
  <c r="O127" i="1" a="1"/>
  <c r="N127" i="1"/>
  <c r="M127" i="1"/>
  <c r="O126" i="1" a="1"/>
  <c r="N126" i="1"/>
  <c r="M126" i="1"/>
  <c r="O125" i="1" a="1"/>
  <c r="N125" i="1"/>
  <c r="M125" i="1"/>
  <c r="O124" i="1" a="1"/>
  <c r="N124" i="1"/>
  <c r="M124" i="1"/>
  <c r="O123" i="1" a="1"/>
  <c r="N123" i="1"/>
  <c r="M123" i="1"/>
  <c r="O122" i="1" a="1"/>
  <c r="N122" i="1"/>
  <c r="M122" i="1"/>
  <c r="O121" i="1" a="1"/>
  <c r="N121" i="1"/>
  <c r="M121" i="1"/>
  <c r="O120" i="1" a="1"/>
  <c r="N120" i="1"/>
  <c r="M120" i="1"/>
  <c r="O119" i="1" a="1"/>
  <c r="N119" i="1"/>
  <c r="M119" i="1"/>
  <c r="O118" i="1" a="1"/>
  <c r="N118" i="1"/>
  <c r="M118" i="1"/>
  <c r="O117" i="1" a="1"/>
  <c r="N117" i="1"/>
  <c r="M117" i="1"/>
  <c r="O116" i="1" a="1"/>
  <c r="N116" i="1"/>
  <c r="M116" i="1"/>
  <c r="O115" i="1" a="1"/>
  <c r="N115" i="1"/>
  <c r="M115" i="1"/>
  <c r="O114" i="1" a="1"/>
  <c r="N114" i="1"/>
  <c r="M114" i="1"/>
  <c r="O113" i="1" a="1"/>
  <c r="N113" i="1"/>
  <c r="M113" i="1"/>
  <c r="O112" i="1" a="1"/>
  <c r="N112" i="1"/>
  <c r="M112" i="1"/>
  <c r="O111" i="1" a="1"/>
  <c r="N111" i="1"/>
  <c r="M111" i="1"/>
  <c r="O110" i="1" a="1"/>
  <c r="N110" i="1"/>
  <c r="M110" i="1"/>
  <c r="O109" i="1" a="1"/>
  <c r="N109" i="1"/>
  <c r="M109" i="1"/>
  <c r="O108" i="1" a="1"/>
  <c r="N108" i="1"/>
  <c r="M108" i="1"/>
  <c r="O107" i="1" a="1"/>
  <c r="N107" i="1"/>
  <c r="M107" i="1"/>
  <c r="O106" i="1" a="1"/>
  <c r="N106" i="1"/>
  <c r="M106" i="1"/>
  <c r="O105" i="1" a="1"/>
  <c r="N105" i="1"/>
  <c r="M105" i="1"/>
  <c r="O104" i="1" a="1"/>
  <c r="N104" i="1"/>
  <c r="M104" i="1"/>
  <c r="O103" i="1" a="1"/>
  <c r="N103" i="1"/>
  <c r="M103" i="1"/>
  <c r="O102" i="1" a="1"/>
  <c r="N102" i="1"/>
  <c r="M102" i="1"/>
  <c r="O101" i="1" a="1"/>
  <c r="N101" i="1"/>
  <c r="M101" i="1"/>
  <c r="O100" i="1" a="1"/>
  <c r="N100" i="1"/>
  <c r="M100" i="1"/>
  <c r="O99" i="1" a="1"/>
  <c r="N99" i="1"/>
  <c r="M99" i="1"/>
  <c r="O98" i="1" a="1"/>
  <c r="N98" i="1"/>
  <c r="M98" i="1"/>
  <c r="O97" i="1" a="1"/>
  <c r="N97" i="1"/>
  <c r="M97" i="1"/>
  <c r="O96" i="1" a="1"/>
  <c r="N96" i="1"/>
  <c r="M96" i="1"/>
  <c r="O95" i="1" a="1"/>
  <c r="N95" i="1"/>
  <c r="M95" i="1"/>
  <c r="O94" i="1" a="1"/>
  <c r="N94" i="1"/>
  <c r="M94" i="1"/>
  <c r="O93" i="1" a="1"/>
  <c r="N93" i="1"/>
  <c r="M93" i="1"/>
  <c r="O92" i="1" a="1"/>
  <c r="N92" i="1"/>
  <c r="M92" i="1"/>
  <c r="O91" i="1" a="1"/>
  <c r="N91" i="1"/>
  <c r="M91" i="1"/>
  <c r="O90" i="1" a="1"/>
  <c r="N90" i="1"/>
  <c r="M90" i="1"/>
  <c r="O89" i="1" a="1"/>
  <c r="N89" i="1"/>
  <c r="M89" i="1"/>
  <c r="O88" i="1" a="1"/>
  <c r="N88" i="1"/>
  <c r="M88" i="1"/>
  <c r="O87" i="1" a="1"/>
  <c r="N87" i="1"/>
  <c r="M87" i="1"/>
  <c r="O86" i="1" a="1"/>
  <c r="N86" i="1"/>
  <c r="M86" i="1"/>
  <c r="O85" i="1" a="1"/>
  <c r="N85" i="1"/>
  <c r="M85" i="1"/>
  <c r="O84" i="1" a="1"/>
  <c r="N84" i="1"/>
  <c r="M84" i="1"/>
  <c r="O83" i="1" a="1"/>
  <c r="N83" i="1"/>
  <c r="M83" i="1"/>
  <c r="O82" i="1" a="1"/>
  <c r="N82" i="1"/>
  <c r="M82" i="1"/>
  <c r="O81" i="1" a="1"/>
  <c r="N81" i="1"/>
  <c r="M81" i="1"/>
  <c r="O80" i="1" a="1"/>
  <c r="N80" i="1"/>
  <c r="M80" i="1"/>
  <c r="O79" i="1" a="1"/>
  <c r="N79" i="1"/>
  <c r="M79" i="1"/>
  <c r="O78" i="1" a="1"/>
  <c r="N78" i="1"/>
  <c r="M78" i="1"/>
  <c r="O77" i="1" a="1"/>
  <c r="N77" i="1"/>
  <c r="M77" i="1"/>
  <c r="O76" i="1" a="1"/>
  <c r="N76" i="1"/>
  <c r="M76" i="1"/>
  <c r="O75" i="1" a="1"/>
  <c r="N75" i="1"/>
  <c r="M75" i="1"/>
  <c r="O74" i="1" a="1"/>
  <c r="N74" i="1"/>
  <c r="M74" i="1"/>
  <c r="O73" i="1" a="1"/>
  <c r="N73" i="1"/>
  <c r="M73" i="1"/>
  <c r="O72" i="1" a="1"/>
  <c r="N72" i="1"/>
  <c r="M72" i="1"/>
  <c r="O71" i="1" a="1"/>
  <c r="N71" i="1"/>
  <c r="M71" i="1"/>
  <c r="O70" i="1" a="1"/>
  <c r="N70" i="1"/>
  <c r="M70" i="1"/>
  <c r="O69" i="1" a="1"/>
  <c r="N69" i="1"/>
  <c r="M69" i="1"/>
  <c r="O68" i="1" a="1"/>
  <c r="N68" i="1"/>
  <c r="M68" i="1"/>
  <c r="O67" i="1" a="1"/>
  <c r="N67" i="1"/>
  <c r="M67" i="1"/>
  <c r="O66" i="1" a="1"/>
  <c r="N66" i="1"/>
  <c r="M66" i="1"/>
  <c r="O65" i="1" a="1"/>
  <c r="N65" i="1"/>
  <c r="M65" i="1"/>
  <c r="O64" i="1" a="1"/>
  <c r="N64" i="1"/>
  <c r="M64" i="1"/>
  <c r="O63" i="1" a="1"/>
  <c r="N63" i="1"/>
  <c r="M63" i="1"/>
  <c r="O62" i="1" a="1"/>
  <c r="N62" i="1"/>
  <c r="M62" i="1"/>
  <c r="O61" i="1" a="1"/>
  <c r="N61" i="1"/>
  <c r="M61" i="1"/>
  <c r="O60" i="1" a="1"/>
  <c r="N60" i="1"/>
  <c r="M60" i="1"/>
  <c r="O59" i="1" a="1"/>
  <c r="N59" i="1"/>
  <c r="M59" i="1"/>
  <c r="O58" i="1" a="1"/>
  <c r="N58" i="1"/>
  <c r="M58" i="1"/>
  <c r="O57" i="1" a="1"/>
  <c r="N57" i="1"/>
  <c r="M57" i="1"/>
  <c r="O56" i="1" a="1"/>
  <c r="N56" i="1"/>
  <c r="M56" i="1"/>
  <c r="O55" i="1" a="1"/>
  <c r="N55" i="1"/>
  <c r="M55" i="1"/>
  <c r="O54" i="1" a="1"/>
  <c r="N54" i="1"/>
  <c r="M54" i="1"/>
  <c r="O53" i="1" a="1"/>
  <c r="N53" i="1"/>
  <c r="M53" i="1"/>
  <c r="O52" i="1" a="1"/>
  <c r="N52" i="1"/>
  <c r="M52" i="1"/>
  <c r="O51" i="1" a="1"/>
  <c r="N51" i="1"/>
  <c r="M51" i="1"/>
  <c r="O50" i="1" a="1"/>
  <c r="N50" i="1"/>
  <c r="M50" i="1"/>
  <c r="O49" i="1" a="1"/>
  <c r="N49" i="1"/>
  <c r="M49" i="1"/>
  <c r="O48" i="1" a="1"/>
  <c r="N48" i="1"/>
  <c r="M48" i="1"/>
  <c r="O47" i="1" a="1"/>
  <c r="N47" i="1"/>
  <c r="M47" i="1"/>
  <c r="O46" i="1" a="1"/>
  <c r="N46" i="1"/>
  <c r="M46" i="1"/>
  <c r="O45" i="1" a="1"/>
  <c r="N45" i="1"/>
  <c r="M45" i="1"/>
  <c r="O44" i="1" a="1"/>
  <c r="N44" i="1"/>
  <c r="M44" i="1"/>
  <c r="O43" i="1" a="1"/>
  <c r="N43" i="1"/>
  <c r="M43" i="1"/>
  <c r="O42" i="1" a="1"/>
  <c r="N42" i="1"/>
  <c r="M42" i="1"/>
  <c r="O41" i="1" a="1"/>
  <c r="N41" i="1"/>
  <c r="M41" i="1"/>
  <c r="O40" i="1" a="1"/>
  <c r="N40" i="1"/>
  <c r="M40" i="1"/>
  <c r="O39" i="1" a="1"/>
  <c r="N39" i="1"/>
  <c r="M39" i="1"/>
  <c r="O38" i="1" a="1"/>
  <c r="N38" i="1"/>
  <c r="M38" i="1"/>
  <c r="O37" i="1" a="1"/>
  <c r="N37" i="1"/>
  <c r="M37" i="1"/>
  <c r="O36" i="1" a="1"/>
  <c r="N36" i="1"/>
  <c r="M36" i="1"/>
  <c r="O35" i="1" a="1"/>
  <c r="N35" i="1"/>
  <c r="M35" i="1"/>
  <c r="O34" i="1" a="1"/>
  <c r="N34" i="1"/>
  <c r="M34" i="1"/>
  <c r="O33" i="1" a="1"/>
  <c r="N33" i="1"/>
  <c r="M33" i="1"/>
  <c r="O32" i="1" a="1"/>
  <c r="N32" i="1"/>
  <c r="M32" i="1"/>
  <c r="O31" i="1" a="1"/>
  <c r="N31" i="1"/>
  <c r="M31" i="1"/>
  <c r="O30" i="1" a="1"/>
  <c r="N30" i="1"/>
  <c r="M30" i="1"/>
  <c r="O29" i="1" a="1"/>
  <c r="N29" i="1"/>
  <c r="M29" i="1"/>
  <c r="O28" i="1" a="1"/>
  <c r="N28" i="1"/>
  <c r="M28" i="1"/>
  <c r="O27" i="1" a="1"/>
  <c r="N27" i="1"/>
  <c r="M27" i="1"/>
  <c r="O26" i="1" a="1"/>
  <c r="N26" i="1"/>
  <c r="M26" i="1"/>
  <c r="O25" i="1" a="1"/>
  <c r="N25" i="1"/>
  <c r="M25" i="1"/>
  <c r="O24" i="1" a="1"/>
  <c r="N24" i="1"/>
  <c r="M24" i="1"/>
  <c r="O23" i="1" a="1"/>
  <c r="N23" i="1"/>
  <c r="M23" i="1"/>
  <c r="O22" i="1" a="1"/>
  <c r="N22" i="1"/>
  <c r="M22" i="1"/>
  <c r="O21" i="1" a="1"/>
  <c r="N21" i="1"/>
  <c r="M21" i="1"/>
  <c r="O20" i="1" a="1"/>
  <c r="N20" i="1"/>
  <c r="M20" i="1"/>
  <c r="O19" i="1" a="1"/>
  <c r="N19" i="1"/>
  <c r="M19" i="1"/>
  <c r="O18" i="1" a="1"/>
  <c r="N18" i="1"/>
  <c r="M18" i="1"/>
  <c r="O17" i="1" a="1"/>
  <c r="N17" i="1"/>
  <c r="M17" i="1"/>
  <c r="O16" i="1" a="1"/>
  <c r="N16" i="1"/>
  <c r="M16" i="1"/>
  <c r="O15" i="1" a="1"/>
  <c r="N15" i="1"/>
  <c r="M15" i="1"/>
  <c r="O14" i="1" a="1"/>
  <c r="N14" i="1"/>
  <c r="M14" i="1"/>
  <c r="O13" i="1" a="1"/>
  <c r="N13" i="1"/>
  <c r="M13" i="1"/>
  <c r="O12" i="1" a="1"/>
  <c r="N12" i="1"/>
  <c r="M12" i="1"/>
  <c r="O11" i="1" a="1"/>
  <c r="N11" i="1"/>
  <c r="M11" i="1"/>
  <c r="O10" i="1" a="1"/>
  <c r="N10" i="1"/>
  <c r="M10" i="1"/>
  <c r="O9" i="1" a="1"/>
  <c r="N9" i="1"/>
  <c r="M9" i="1"/>
  <c r="O8" i="1" a="1"/>
  <c r="N8" i="1"/>
  <c r="M8" i="1"/>
  <c r="O7" i="1" a="1"/>
  <c r="N7" i="1"/>
  <c r="M7" i="1"/>
  <c r="O6" i="1" a="1"/>
  <c r="N6" i="1"/>
  <c r="M6" i="1"/>
  <c r="O5" i="1" a="1"/>
  <c r="N5" i="1"/>
  <c r="M5" i="1"/>
  <c r="O4" i="1" a="1"/>
  <c r="N4" i="1"/>
  <c r="M4" i="1"/>
  <c r="O3" i="1" a="1"/>
  <c r="N3" i="1"/>
  <c r="M3" i="1"/>
  <c r="O2" i="1" a="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<sst xmlns="http://schemas.openxmlformats.org/spreadsheetml/2006/main" count="14882" uniqueCount="2571">
  <si>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</si>
  <si>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</si>
  <si>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</si>
  <si>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</si>
  <si>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</si>
  <si>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</si>
  <si>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</si>
  <si>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</si>
  <si>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</si>
  <si>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</si>
  <si>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</si>
  <si>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</si>
  <si>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</si>
  <si>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</si>
  <si>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</si>
  <si>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</si>
  <si>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</si>
  <si>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</si>
  <si>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</si>
  <si>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</si>
  <si>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</si>
  <si>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</si>
  <si>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</si>
  <si>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</si>
  <si>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</si>
  <si>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</si>
  <si>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</si>
  <si>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</si>
  <si>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</si>
  <si>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</si>
  <si>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</si>
  <si>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</si>
  <si>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</si>
  <si>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</si>
  <si>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</si>
  <si>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</si>
  <si>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</si>
  <si>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</si>
  <si>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</si>
  <si>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</si>
  <si>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</si>
  <si>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</si>
  <si>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</si>
  <si>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</si>
  <si>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</si>
  <si>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</si>
  <si>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</si>
  <si>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</si>
  <si>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</si>
  <si>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</si>
  <si>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</si>
  <si>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</si>
  <si>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</si>
  <si>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</si>
  <si>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</si>
  <si>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</si>
  <si>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</si>
  <si>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</si>
  <si>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</si>
  <si>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</si>
  <si>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</si>
  <si>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</si>
  <si>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</si>
  <si>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</si>
  <si>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</si>
  <si>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</si>
  <si>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</si>
  <si>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</si>
  <si>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</si>
  <si>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</si>
  <si>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</si>
  <si>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</si>
  <si>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</si>
  <si>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</si>
  <si>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</si>
  <si>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</si>
  <si>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</si>
  <si>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</si>
  <si>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</si>
  <si>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</si>
  <si>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</si>
  <si>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</si>
  <si>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</si>
  <si>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</si>
  <si>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</si>
  <si>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</si>
  <si>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</si>
  <si>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</si>
  <si>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</si>
  <si>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</si>
  <si>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</si>
  <si>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</si>
  <si>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</si>
  <si>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</si>
  <si>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</si>
  <si>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</si>
  <si>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</si>
  <si>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</si>
  <si>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</si>
  <si>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</si>
  <si>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</si>
  <si>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</si>
  <si>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</si>
  <si>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</si>
  <si>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</si>
  <si>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</si>
  <si>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</si>
  <si>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</si>
  <si>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</si>
  <si>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</si>
  <si>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</si>
  <si>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</si>
  <si>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</si>
  <si>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</si>
  <si>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</si>
  <si>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</si>
  <si>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</si>
  <si>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</si>
  <si>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</si>
  <si>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</si>
  <si>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</si>
  <si>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</si>
  <si>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</si>
  <si>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</si>
  <si>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</si>
  <si>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</si>
  <si>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</si>
  <si>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</si>
  <si>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</si>
  <si>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</si>
  <si>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</si>
  <si>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</si>
  <si>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</si>
  <si>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</si>
  <si>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</si>
  <si>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</si>
  <si>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</si>
  <si>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</si>
  <si>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</si>
  <si>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</si>
  <si>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</si>
  <si>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</si>
  <si>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</si>
  <si>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</si>
  <si>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</si>
  <si>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</si>
  <si>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</si>
  <si>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</si>
  <si>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</si>
  <si>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</si>
  <si>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</si>
  <si>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</si>
  <si>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</si>
  <si>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</si>
  <si>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</si>
  <si>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</si>
  <si>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</si>
  <si>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</si>
  <si>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</si>
  <si>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</si>
  <si>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</si>
  <si>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</si>
  <si>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</si>
  <si>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</si>
  <si>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</si>
  <si>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</si>
  <si>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</si>
  <si>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</si>
  <si>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</si>
  <si>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</si>
  <si>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</si>
  <si>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</si>
  <si>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</si>
  <si>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</si>
  <si>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</si>
  <si>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</si>
  <si>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</si>
  <si>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</si>
  <si>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</si>
  <si>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</si>
  <si>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</si>
  <si>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</si>
  <si>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</si>
  <si>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</si>
  <si>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</si>
  <si>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</si>
  <si>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</si>
  <si>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</si>
  <si>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</si>
  <si>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</si>
  <si>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</si>
  <si>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</si>
  <si>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</si>
  <si>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</si>
  <si>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</si>
  <si>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</si>
  <si>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</si>
  <si>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</si>
  <si>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</si>
  <si>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</si>
  <si>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</si>
  <si>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</si>
  <si>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</si>
  <si>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</si>
  <si>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</si>
  <si>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</si>
  <si>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</si>
  <si>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</si>
  <si>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</si>
  <si>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</si>
  <si>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</si>
  <si>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</si>
  <si>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</si>
  <si>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</si>
  <si>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</si>
  <si>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</si>
  <si>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</si>
  <si>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</si>
  <si>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</si>
  <si>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</si>
  <si>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</si>
  <si>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</si>
  <si>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</si>
  <si>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</si>
  <si>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</si>
  <si>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</si>
  <si>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</si>
  <si>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</si>
  <si>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</si>
  <si>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</si>
  <si>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</si>
  <si>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</si>
  <si>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</si>
  <si>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</si>
  <si>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</si>
  <si>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</si>
  <si>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</si>
  <si>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</si>
  <si>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</si>
  <si>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</si>
  <si>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</si>
  <si>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</si>
  <si>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</si>
  <si>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</si>
  <si>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</si>
  <si>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</si>
  <si>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</si>
  <si>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</si>
  <si>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</si>
  <si>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</si>
  <si>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</si>
  <si>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</si>
  <si>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</si>
  <si>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</si>
  <si>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</si>
  <si>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</si>
  <si>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</si>
  <si>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</si>
  <si>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</si>
  <si>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</si>
  <si>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</si>
  <si>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</si>
  <si>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</si>
  <si>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</si>
  <si>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</si>
  <si>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</si>
  <si>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</si>
  <si>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</si>
  <si>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</si>
  <si>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</si>
  <si>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</si>
  <si>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</si>
  <si>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</si>
  <si>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</si>
  <si>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</si>
  <si>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</si>
  <si>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</si>
  <si>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</si>
  <si>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</si>
  <si>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</si>
  <si>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</si>
  <si>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</si>
  <si>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</si>
  <si>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</si>
  <si>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</si>
  <si>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</si>
  <si>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</si>
  <si>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</si>
  <si>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</si>
  <si>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</si>
  <si>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</si>
  <si>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</si>
  <si>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</si>
  <si>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</si>
  <si>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</si>
  <si>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</si>
  <si>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</si>
  <si>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</si>
  <si>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</si>
  <si>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</si>
  <si>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</si>
  <si>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</si>
  <si>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</si>
  <si>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</si>
  <si>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</si>
  <si>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</si>
  <si>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</si>
  <si>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</si>
  <si>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</si>
  <si>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</si>
  <si>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</si>
  <si>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</si>
  <si>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</si>
  <si>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</si>
  <si>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</si>
  <si>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</si>
  <si>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</si>
  <si>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</si>
  <si>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</si>
  <si>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</si>
  <si>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</si>
  <si>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</si>
  <si>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</si>
  <si>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</si>
  <si>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</si>
  <si>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</si>
  <si>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</si>
  <si>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</si>
  <si>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</si>
  <si>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</si>
  <si>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</si>
  <si>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</si>
  <si>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</si>
  <si>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</si>
  <si>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</si>
  <si>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</si>
  <si>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</si>
  <si>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</si>
  <si>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</si>
  <si>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</si>
  <si>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</si>
  <si>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</si>
  <si>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</si>
  <si>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</si>
  <si>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</si>
  <si>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</si>
  <si>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</si>
  <si>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</si>
  <si>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</si>
  <si>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</si>
  <si>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</si>
  <si>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</si>
  <si>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</si>
  <si>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</si>
  <si>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</si>
  <si>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</si>
  <si>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</si>
  <si>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</si>
  <si>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</si>
  <si>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</si>
  <si>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</si>
  <si>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</si>
  <si>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</si>
  <si>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</si>
  <si>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</si>
  <si>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</si>
  <si>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</si>
  <si>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</si>
  <si>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</si>
  <si>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</si>
  <si>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</si>
  <si>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</si>
  <si>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</si>
  <si>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</si>
  <si>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</si>
  <si>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</si>
  <si>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</si>
  <si>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</si>
  <si>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</si>
  <si>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</si>
  <si>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</si>
  <si>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</si>
  <si>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</si>
  <si>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</si>
  <si>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</si>
  <si>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</si>
  <si>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</si>
  <si>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</si>
  <si>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</si>
  <si>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</si>
  <si>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</si>
  <si>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</si>
  <si>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</si>
  <si>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</si>
  <si>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</si>
  <si>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</si>
  <si>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</si>
  <si>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</si>
  <si>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</si>
  <si>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</si>
  <si>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</si>
  <si>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</si>
  <si>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</si>
  <si>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</si>
  <si>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</si>
  <si>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</si>
  <si>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</si>
  <si>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</si>
  <si>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</si>
  <si>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</si>
  <si>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</si>
  <si>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</si>
  <si>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</si>
  <si>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</si>
  <si>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</si>
  <si>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</si>
  <si>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</si>
  <si>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</si>
  <si>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</si>
  <si>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</si>
  <si>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</si>
  <si>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</si>
  <si>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</si>
  <si>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</si>
  <si>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</si>
  <si>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</si>
  <si>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</si>
  <si>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</si>
  <si>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</si>
  <si>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</si>
  <si>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</si>
  <si>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</si>
  <si>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</si>
  <si>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</si>
  <si>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</si>
  <si>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</si>
  <si>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</si>
  <si>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</si>
  <si>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</si>
  <si>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</si>
  <si>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</si>
  <si>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</si>
  <si>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</si>
  <si>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</si>
  <si>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</si>
  <si>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</si>
  <si>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</si>
  <si>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</si>
  <si>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</si>
  <si>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</si>
  <si>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</si>
  <si>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</si>
  <si>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</si>
  <si>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</si>
  <si>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</si>
  <si>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</si>
  <si>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</si>
  <si>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</si>
  <si>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</si>
  <si>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</si>
  <si>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</si>
  <si>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</si>
  <si>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</si>
  <si>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</si>
  <si>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</si>
  <si>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</si>
  <si>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</si>
  <si>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</si>
  <si>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</si>
  <si>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</si>
  <si>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</si>
  <si>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</si>
  <si>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</si>
  <si>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</si>
  <si>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</si>
  <si>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</si>
  <si>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</si>
  <si>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</si>
  <si>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</si>
  <si>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</si>
  <si>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</si>
  <si>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</si>
  <si>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</si>
  <si>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</si>
  <si>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</si>
  <si>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</si>
  <si>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</si>
  <si>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</si>
  <si>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</si>
  <si>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</si>
  <si>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</si>
  <si>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</si>
  <si>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</si>
  <si>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</si>
  <si>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</si>
  <si>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</si>
  <si>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</si>
  <si>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</si>
  <si>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</si>
  <si>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</si>
  <si>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</si>
  <si>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</si>
  <si>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</si>
  <si>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</si>
  <si>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</si>
  <si>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</si>
  <si>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</si>
  <si>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</si>
  <si>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</si>
  <si>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</si>
  <si>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</si>
  <si>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</si>
  <si>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</si>
  <si>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</si>
  <si>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</si>
  <si>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</si>
  <si>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</si>
  <si>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</si>
  <si>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</si>
  <si>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</si>
  <si>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</si>
  <si>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</si>
  <si>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</si>
  <si>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</si>
  <si>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</si>
  <si>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</si>
  <si>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</si>
  <si>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</si>
  <si>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</si>
  <si>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</si>
  <si>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</si>
  <si>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</si>
  <si>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</si>
  <si>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</si>
  <si>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</si>
  <si>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</si>
  <si>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</si>
  <si>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</si>
  <si>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</si>
  <si>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</si>
  <si>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</si>
  <si>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</si>
  <si>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</si>
  <si>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</si>
  <si>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</si>
  <si>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</si>
  <si>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</si>
  <si>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</si>
  <si>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</si>
  <si>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</si>
  <si>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</si>
  <si>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</si>
  <si>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</si>
  <si>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</si>
  <si>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</si>
  <si>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</si>
  <si>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</si>
  <si>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</si>
  <si>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</si>
  <si>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</si>
  <si>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</si>
  <si>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</si>
  <si>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</si>
  <si>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</si>
  <si>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</si>
  <si>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</si>
  <si>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</si>
  <si>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</si>
  <si>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</si>
  <si>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</si>
  <si>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</si>
  <si>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</si>
  <si>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</si>
  <si>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</si>
  <si>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</si>
  <si>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</si>
  <si>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</si>
  <si>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</si>
  <si>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</si>
  <si>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</si>
  <si>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</si>
  <si>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</si>
  <si>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</si>
  <si>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</si>
  <si>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</si>
  <si>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</si>
  <si>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</si>
  <si>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</si>
  <si>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</si>
  <si>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</si>
  <si>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</si>
  <si>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</si>
  <si>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</si>
  <si>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</si>
  <si>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</si>
  <si>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</si>
  <si>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</si>
  <si>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</si>
  <si>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</si>
  <si>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</si>
  <si>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</si>
  <si>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</si>
  <si>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</si>
  <si>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</si>
  <si>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</si>
  <si>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</si>
  <si>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</si>
  <si>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</si>
  <si>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</si>
  <si>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</si>
  <si>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</si>
  <si>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</si>
  <si>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</si>
  <si>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</si>
  <si>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</si>
  <si>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</si>
  <si>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</si>
  <si>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</si>
  <si>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</si>
  <si>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</si>
  <si>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</si>
  <si>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</si>
  <si>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</si>
  <si>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</si>
  <si>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</si>
  <si>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</si>
  <si>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</si>
  <si>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</si>
  <si>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</si>
  <si>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</si>
  <si>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</si>
  <si>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</si>
  <si>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</si>
  <si>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</si>
  <si>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</si>
  <si>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</si>
  <si>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</si>
  <si>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</si>
  <si>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</si>
  <si>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</si>
  <si>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</si>
  <si>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</si>
  <si>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</si>
  <si>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</si>
  <si>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</si>
  <si>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</si>
  <si>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</si>
  <si>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</si>
  <si>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</si>
  <si>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</si>
  <si>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</si>
  <si>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</si>
  <si>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</si>
  <si>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</si>
  <si>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</si>
  <si>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</si>
  <si>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</si>
  <si>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</si>
  <si>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</si>
  <si>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</si>
  <si>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</si>
  <si>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</si>
  <si>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</si>
  <si>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</si>
  <si>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</si>
  <si>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</si>
  <si>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</si>
  <si>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</si>
  <si>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</si>
  <si>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</si>
  <si>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</si>
  <si>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</si>
  <si>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</si>
  <si>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</si>
  <si>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</si>
  <si>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</si>
  <si>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</si>
  <si>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</si>
  <si>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</si>
  <si>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</si>
  <si>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</si>
  <si>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</si>
  <si>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</si>
  <si>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</si>
  <si>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</si>
  <si>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</si>
  <si>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</si>
  <si>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</si>
  <si>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</si>
  <si>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</si>
  <si>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</si>
  <si>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</si>
  <si>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</si>
  <si>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</si>
  <si>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</si>
  <si>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</si>
  <si>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</si>
  <si>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</si>
  <si>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</si>
  <si>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</si>
  <si>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</si>
  <si>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</si>
  <si>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</si>
  <si>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</si>
  <si>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</si>
  <si>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</si>
  <si>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</si>
  <si>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</si>
  <si>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</si>
  <si>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</si>
  <si>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</si>
  <si>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</si>
  <si>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</si>
  <si>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</si>
  <si>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</si>
  <si>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</si>
  <si>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</si>
  <si>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</si>
  <si>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</si>
  <si>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</si>
  <si>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</si>
  <si>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</si>
  <si>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</si>
  <si>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</si>
  <si>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</si>
  <si>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</si>
  <si>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</si>
  <si>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</si>
  <si>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</si>
  <si>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</si>
  <si>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</si>
  <si>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</si>
  <si>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</si>
  <si>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</si>
  <si>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</si>
  <si>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</si>
  <si>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</si>
  <si>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</si>
  <si>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</si>
  <si>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</si>
  <si>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</si>
  <si>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</si>
  <si>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</si>
  <si>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</si>
  <si>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</si>
  <si>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</si>
  <si>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</si>
  <si>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</si>
  <si>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</si>
  <si>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</si>
  <si>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</si>
  <si>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</si>
  <si>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</si>
  <si>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</si>
  <si>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</si>
  <si>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</si>
  <si>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</si>
  <si>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</si>
  <si>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</si>
  <si>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</si>
  <si>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</si>
  <si>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</si>
  <si>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</si>
  <si>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</si>
  <si>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</si>
  <si>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</si>
  <si>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</si>
  <si>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</si>
  <si>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</si>
  <si>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</si>
  <si>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</si>
  <si>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</si>
  <si>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</si>
  <si>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</si>
  <si>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</si>
  <si>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</si>
  <si>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</si>
  <si>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</si>
  <si>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</si>
  <si>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</si>
  <si>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</si>
  <si>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</si>
  <si>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</si>
  <si>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</si>
  <si>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</si>
  <si>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</si>
  <si>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</si>
  <si>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</si>
  <si>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</si>
  <si>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</si>
  <si>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</si>
  <si>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</si>
  <si>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</si>
  <si>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</si>
  <si>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</si>
  <si>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</si>
  <si>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</si>
  <si>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</si>
  <si>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</si>
  <si>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</si>
  <si>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</si>
  <si>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</si>
  <si>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</si>
  <si>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</si>
  <si>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</si>
  <si>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</si>
  <si>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</si>
  <si>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</si>
  <si>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</si>
  <si>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</si>
  <si>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</si>
  <si>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</si>
  <si>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</si>
  <si>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</si>
  <si>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</si>
  <si>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</si>
  <si>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</si>
  <si>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</si>
  <si>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</si>
  <si>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</si>
  <si>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</si>
  <si>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</si>
  <si>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</si>
  <si>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</si>
  <si>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</si>
  <si>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</si>
  <si>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</si>
  <si>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</si>
  <si>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</si>
  <si>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</si>
  <si>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</si>
  <si>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</si>
  <si>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</si>
  <si>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</si>
  <si>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</si>
  <si>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</si>
  <si>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</si>
  <si>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</si>
  <si>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</si>
  <si>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</si>
  <si>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</si>
  <si>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</si>
  <si>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</si>
  <si>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</si>
  <si>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</si>
  <si>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</si>
  <si>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</si>
  <si>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</si>
  <si>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</si>
  <si>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</si>
  <si>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</si>
  <si>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</si>
  <si>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</si>
  <si>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</si>
  <si>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</si>
  <si>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</si>
  <si>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</si>
  <si>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</si>
  <si>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</si>
  <si>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</si>
  <si>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</si>
  <si>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</si>
  <si>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</si>
  <si>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</si>
  <si>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</si>
  <si>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</si>
  <si>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</si>
  <si>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</si>
  <si>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</si>
  <si>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</si>
  <si>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</si>
  <si>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</si>
  <si>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</si>
  <si>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</si>
  <si>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</si>
  <si>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</si>
  <si>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</si>
  <si>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</si>
  <si>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</si>
  <si>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</si>
  <si>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</si>
  <si>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</si>
  <si>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</si>
  <si>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</si>
  <si>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</si>
  <si>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</si>
  <si>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</si>
  <si>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</si>
  <si>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</si>
  <si>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</si>
  <si>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</si>
  <si>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</si>
  <si>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</si>
  <si>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</si>
  <si>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</si>
  <si>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</si>
  <si>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</si>
  <si>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</si>
  <si>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</si>
  <si>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</si>
  <si>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</si>
  <si>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</si>
  <si>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</si>
  <si>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</si>
  <si>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</si>
  <si>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</si>
  <si>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</si>
  <si>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</si>
  <si>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</si>
  <si>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</si>
  <si>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</si>
  <si>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</si>
  <si>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</si>
  <si>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</si>
  <si>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</si>
  <si>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</si>
  <si>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</si>
  <si>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</si>
  <si>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</si>
  <si>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</si>
  <si>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</si>
  <si>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</si>
  <si>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</si>
  <si>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</si>
  <si>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</si>
  <si>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</si>
  <si>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</si>
  <si>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</si>
  <si>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</si>
  <si>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</si>
  <si>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</si>
  <si>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</si>
  <si>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</si>
  <si>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</si>
  <si>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</si>
  <si>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</si>
  <si>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</si>
  <si>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</si>
  <si>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</si>
  <si>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</si>
  <si>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</si>
  <si>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</si>
  <si>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</si>
  <si>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</si>
  <si>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</si>
  <si>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</si>
  <si>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</si>
  <si>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</si>
  <si>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</si>
  <si>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</si>
  <si>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</si>
  <si>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</si>
  <si>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</si>
  <si>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</si>
  <si>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</si>
  <si>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</si>
  <si>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</si>
  <si>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</si>
  <si>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</si>
  <si>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</si>
  <si>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</si>
  <si>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</si>
  <si>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</si>
  <si>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</si>
  <si>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</si>
  <si>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</si>
  <si>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</si>
  <si>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</si>
  <si>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</si>
  <si>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</si>
  <si>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</si>
  <si>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</si>
  <si>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</si>
  <si>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</si>
  <si>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</si>
  <si>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</si>
  <si>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</si>
  <si>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</si>
  <si>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</si>
  <si>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</si>
  <si>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</si>
  <si>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</si>
  <si>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</si>
  <si>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</si>
  <si>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</si>
  <si>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</si>
  <si>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</si>
  <si>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</si>
  <si>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</si>
  <si>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</si>
  <si>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</si>
  <si>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</si>
  <si>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</si>
  <si>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</si>
  <si>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</si>
  <si>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</si>
  <si>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</si>
  <si>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</si>
  <si>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</si>
  <si>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</si>
  <si>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</si>
  <si>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</si>
  <si>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</si>
  <si>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</si>
  <si>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</si>
  <si>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</si>
  <si>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</si>
  <si>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</si>
  <si>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</si>
  <si>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</si>
  <si>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</si>
  <si>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</si>
  <si>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</si>
  <si>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</si>
  <si>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</si>
  <si>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</si>
  <si>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</si>
  <si>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</si>
  <si>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</si>
  <si>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</si>
  <si>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</si>
  <si>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</si>
  <si>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</si>
  <si>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</si>
  <si>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</si>
  <si>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</si>
  <si>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</si>
  <si>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</si>
  <si>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</si>
  <si>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</si>
  <si>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</si>
  <si>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</si>
  <si>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</si>
  <si>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</si>
  <si>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</si>
  <si>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</si>
  <si>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</si>
  <si>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</si>
  <si>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</si>
  <si>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</si>
  <si>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</si>
  <si>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</si>
  <si>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</si>
  <si>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</si>
  <si>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</si>
  <si>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</si>
  <si>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</si>
  <si>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</si>
  <si>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</si>
  <si>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</si>
  <si>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</si>
  <si>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</si>
  <si>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</si>
  <si>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</si>
  <si>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</si>
  <si>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</si>
  <si>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</si>
  <si>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</si>
  <si>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</si>
  <si>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</si>
  <si>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</si>
  <si>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</si>
  <si>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</si>
  <si>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</si>
  <si>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</si>
  <si>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</si>
  <si>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</si>
  <si>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</si>
  <si>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</si>
  <si>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</si>
  <si>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</si>
  <si>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</si>
  <si>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</si>
  <si>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</si>
  <si>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</si>
  <si>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</si>
  <si>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</si>
  <si>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</si>
  <si>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</si>
  <si>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</si>
  <si>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</si>
  <si>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</si>
  <si>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</si>
  <si>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</si>
  <si>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</si>
  <si>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</si>
  <si>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</si>
  <si>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</si>
  <si>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</si>
  <si>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</si>
  <si>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</si>
  <si>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</si>
  <si>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</si>
  <si>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</si>
  <si>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</si>
  <si>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</si>
  <si>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</si>
  <si>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</si>
  <si>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</si>
  <si>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</si>
  <si>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</si>
  <si>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</si>
  <si>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</si>
  <si>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</si>
  <si>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</si>
  <si>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</si>
  <si>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</si>
  <si>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</si>
  <si>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</si>
  <si>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</si>
  <si>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</si>
  <si>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</si>
  <si>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</si>
  <si>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</si>
  <si>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</si>
  <si>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</si>
  <si>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</si>
  <si>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</si>
  <si>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</si>
  <si>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</si>
  <si>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</si>
  <si>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</si>
  <si>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</si>
  <si>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</si>
  <si>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</si>
  <si>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</si>
  <si>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</si>
  <si>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</si>
  <si>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</si>
  <si>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</si>
  <si>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</si>
  <si>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</si>
  <si>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</si>
  <si>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</si>
  <si>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</si>
  <si>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</si>
  <si>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</si>
  <si>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</si>
  <si>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</si>
  <si>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</si>
  <si>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</si>
  <si>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</si>
  <si>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</si>
  <si>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</si>
  <si>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</si>
  <si>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</si>
  <si>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</si>
  <si>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</si>
  <si>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</si>
  <si>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</si>
  <si>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</si>
  <si>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</si>
  <si>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</si>
  <si>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</si>
  <si>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</si>
  <si>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</si>
  <si>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</si>
  <si>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</si>
  <si>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</si>
  <si>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</si>
  <si>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</si>
  <si>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</si>
  <si>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</si>
  <si>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</si>
  <si>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</si>
  <si>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</si>
  <si>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</si>
  <si>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</si>
  <si>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</si>
  <si>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</si>
  <si>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</si>
  <si>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</si>
  <si>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</si>
  <si>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</si>
  <si>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</si>
  <si>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</si>
  <si>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</si>
  <si>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</si>
  <si>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</si>
  <si>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</si>
  <si>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</si>
  <si>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</si>
  <si>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</si>
  <si>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</si>
  <si>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</si>
  <si>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</si>
  <si>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</si>
  <si>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</si>
  <si>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</si>
  <si>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</si>
  <si>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</si>
  <si>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</si>
  <si>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</si>
  <si>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</si>
  <si>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</si>
  <si>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</si>
  <si>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</si>
  <si>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</si>
  <si>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</si>
  <si>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</si>
  <si>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</si>
  <si>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</si>
  <si>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</si>
  <si>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</si>
  <si>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</si>
  <si>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</si>
  <si>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</si>
  <si>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</si>
  <si>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</si>
  <si>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</si>
  <si>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</si>
  <si>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</si>
  <si>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</si>
  <si>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</si>
  <si>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</si>
  <si>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</si>
  <si>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</si>
  <si>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</si>
  <si>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</si>
  <si>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</si>
  <si>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</si>
  <si>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</si>
  <si>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</si>
  <si>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</si>
  <si>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</si>
  <si>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</si>
  <si>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</si>
  <si>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</si>
  <si>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</si>
  <si>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</si>
  <si>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</si>
  <si>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</si>
  <si>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</si>
  <si>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</si>
  <si>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</si>
  <si>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</si>
  <si>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</si>
  <si>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</si>
  <si>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</si>
  <si>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</si>
  <si>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</si>
  <si>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</si>
  <si>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</si>
  <si>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</si>
  <si>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</si>
  <si>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</si>
  <si>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</si>
  <si>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</si>
  <si>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</si>
  <si>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</si>
  <si>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</si>
  <si>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</si>
  <si>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</si>
  <si>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</si>
  <si>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</si>
  <si>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</si>
  <si>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</si>
  <si>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</si>
  <si>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</si>
  <si>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</si>
  <si>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</si>
  <si>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</si>
  <si>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</si>
  <si>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</si>
  <si>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</si>
  <si>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</si>
  <si>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</si>
  <si>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</si>
  <si>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</si>
  <si>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</si>
  <si>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</si>
  <si>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</si>
  <si>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</si>
  <si>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</si>
  <si>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</si>
  <si>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</si>
  <si>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</si>
  <si>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</si>
  <si>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</si>
  <si>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</si>
  <si>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</si>
  <si>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</si>
  <si>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</si>
  <si>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</si>
  <si>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</si>
  <si>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</si>
  <si>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</si>
  <si>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</si>
  <si>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</si>
  <si>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</si>
  <si>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</si>
  <si>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</si>
  <si>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</si>
  <si>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</si>
  <si>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</si>
  <si>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</si>
  <si>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</si>
  <si>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</si>
  <si>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</si>
  <si>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</si>
  <si>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</si>
  <si>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</si>
  <si>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</si>
  <si>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</si>
  <si>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</si>
  <si>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</si>
  <si>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</si>
  <si>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</si>
  <si>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</si>
  <si>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</si>
  <si>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</si>
  <si>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</si>
  <si>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</si>
  <si>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</si>
  <si>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</si>
  <si>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</si>
  <si>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</si>
  <si>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</si>
  <si>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</si>
  <si>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</si>
  <si>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</si>
  <si>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</si>
  <si>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</si>
  <si>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</si>
  <si>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</si>
  <si>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</si>
  <si>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</si>
  <si>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</si>
  <si>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</si>
  <si>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</si>
  <si>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</si>
  <si>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</si>
  <si>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</si>
  <si>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</si>
  <si>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</si>
  <si>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</si>
  <si>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</si>
  <si>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</si>
  <si>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</si>
  <si>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</si>
  <si>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</si>
  <si>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</si>
  <si>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</si>
  <si>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</si>
  <si>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</si>
  <si>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</si>
  <si>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</si>
  <si>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</si>
  <si>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</si>
  <si>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</si>
  <si>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</si>
  <si>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</si>
  <si>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</si>
  <si>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</si>
  <si>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</si>
  <si>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</si>
  <si>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</si>
  <si>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</si>
  <si>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</si>
  <si>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</si>
  <si>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</si>
  <si>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</si>
  <si>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</si>
  <si>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</si>
  <si>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</si>
  <si>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</si>
  <si>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</si>
  <si>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</si>
  <si>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</si>
  <si>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</si>
  <si>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</si>
  <si>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</si>
  <si>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</si>
  <si>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</si>
  <si>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</si>
  <si>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</si>
  <si>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</si>
  <si>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</si>
  <si>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</si>
  <si>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</si>
  <si>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</si>
  <si>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</si>
  <si>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</si>
  <si>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</si>
  <si>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</si>
  <si>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</si>
  <si>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</si>
  <si>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</si>
  <si>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</si>
  <si>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</si>
  <si>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</si>
  <si>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</si>
  <si>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</si>
  <si>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</si>
  <si>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</si>
  <si>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</si>
  <si>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</si>
  <si>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</si>
  <si>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</si>
  <si>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</si>
  <si>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</si>
  <si>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</si>
  <si>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</si>
  <si>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</si>
  <si>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</si>
  <si>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</si>
  <si>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</si>
  <si>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</si>
  <si>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</si>
  <si>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</si>
  <si>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</si>
  <si>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</si>
  <si>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</si>
  <si>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</si>
  <si>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</si>
  <si>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</si>
  <si>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</si>
  <si>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</si>
  <si>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</si>
  <si>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</si>
  <si>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</si>
  <si>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</si>
  <si>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</si>
  <si>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</si>
  <si>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</si>
  <si>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</si>
  <si>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</si>
  <si>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</si>
  <si>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</si>
  <si>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</si>
  <si>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</si>
  <si>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</si>
  <si>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</si>
  <si>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</si>
  <si>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</si>
  <si>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</si>
  <si>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</si>
  <si>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</si>
  <si>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</si>
  <si>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</si>
  <si>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</si>
  <si>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</si>
  <si>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</si>
  <si>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</si>
  <si>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</si>
  <si>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</si>
  <si>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</si>
  <si>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</si>
  <si>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</si>
  <si>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</si>
  <si>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</si>
  <si>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</si>
  <si>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</si>
  <si>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</si>
  <si>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</si>
  <si>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</si>
  <si>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</si>
  <si>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</si>
  <si>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</si>
  <si>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</si>
  <si>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</si>
  <si>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</si>
  <si>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</si>
  <si>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</si>
  <si>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</si>
  <si>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</si>
  <si>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</si>
  <si>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</si>
  <si>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</si>
  <si>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</si>
  <si>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</si>
  <si>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</si>
  <si>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</si>
  <si>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</si>
  <si>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</si>
  <si>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</si>
  <si>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</si>
  <si>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</si>
  <si>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</si>
  <si>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</si>
  <si>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</si>
  <si>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</si>
  <si>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</si>
  <si>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</si>
  <si>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</si>
  <si>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</si>
  <si>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</si>
  <si>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</si>
  <si>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</si>
  <si>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</si>
  <si>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</si>
  <si>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</si>
  <si>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</si>
  <si>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</si>
  <si>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</si>
  <si>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</si>
  <si>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</si>
  <si>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</si>
  <si>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</si>
  <si>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</si>
  <si>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</si>
  <si>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</si>
  <si>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</si>
  <si>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</si>
  <si>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</si>
  <si>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</si>
  <si>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</si>
  <si>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</si>
  <si>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</si>
  <si>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</si>
  <si>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</si>
  <si>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</si>
  <si>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</si>
  <si>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</si>
  <si>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</si>
  <si>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</si>
  <si>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</si>
  <si>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</si>
  <si>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</si>
  <si>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</si>
  <si>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</si>
  <si>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</si>
  <si>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</si>
  <si>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</si>
  <si>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</si>
  <si>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</si>
  <si>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</si>
  <si>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</si>
  <si>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</si>
  <si>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</si>
  <si>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</si>
  <si>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</si>
  <si>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</si>
  <si>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</si>
  <si>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</si>
  <si>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</si>
  <si>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</si>
  <si>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</si>
  <si>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</si>
  <si>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</si>
  <si>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</si>
  <si>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</si>
  <si>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</si>
  <si>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</si>
  <si>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</si>
  <si>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</si>
  <si>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</si>
  <si>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</si>
  <si>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</si>
  <si>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</si>
  <si>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</si>
  <si>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</si>
  <si>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</si>
  <si>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</si>
  <si>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</si>
  <si>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</si>
  <si>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</si>
  <si>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</si>
  <si>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</si>
  <si>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</si>
  <si>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</si>
  <si>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</si>
  <si>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</si>
  <si>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</si>
  <si>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</si>
  <si>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</si>
  <si>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</si>
  <si>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</si>
  <si>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</si>
  <si>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</si>
  <si>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</si>
  <si>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</si>
  <si>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</si>
  <si>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</si>
  <si>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</si>
  <si>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</si>
  <si>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</si>
  <si>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</si>
  <si>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</si>
  <si>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</si>
  <si>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</si>
  <si>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</si>
  <si>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</si>
  <si>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</si>
  <si>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</si>
  <si>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</si>
  <si>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</si>
  <si>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</si>
  <si>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</si>
  <si>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</si>
  <si>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</si>
  <si>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</si>
  <si>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</si>
  <si>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</si>
  <si>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</si>
  <si>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</si>
  <si>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</si>
  <si>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</si>
  <si>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</si>
  <si>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</si>
  <si>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</si>
  <si>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</si>
  <si>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</si>
  <si>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</si>
  <si>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</si>
  <si>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</si>
  <si>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</si>
  <si>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</si>
  <si>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</si>
  <si>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</si>
  <si>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</si>
  <si>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</si>
  <si>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</si>
  <si>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</si>
  <si>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</si>
  <si>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</si>
  <si>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</si>
  <si>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</si>
  <si>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</si>
  <si>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</si>
  <si>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</si>
  <si>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</si>
  <si>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</si>
  <si>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</si>
  <si>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</si>
  <si>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</si>
  <si>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</si>
  <si>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</si>
  <si>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</si>
  <si>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</si>
  <si>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</si>
  <si>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</si>
  <si>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</si>
  <si>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</si>
  <si>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</si>
  <si>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</si>
  <si>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</si>
  <si>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</si>
  <si>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</si>
  <si>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</si>
  <si>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</si>
  <si>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</si>
  <si>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</si>
  <si>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</si>
  <si>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</si>
  <si>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</si>
  <si>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</si>
  <si>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</si>
  <si>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</si>
  <si>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</si>
  <si>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</si>
  <si>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</si>
  <si>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</si>
  <si>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</si>
  <si>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</si>
  <si>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</si>
  <si>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</si>
  <si>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</si>
  <si>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</si>
  <si>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</si>
  <si>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</si>
  <si>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</si>
  <si>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</si>
  <si>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</si>
  <si>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</si>
  <si>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</si>
  <si>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</si>
  <si>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</si>
  <si>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</si>
  <si>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</si>
  <si>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</si>
  <si>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</si>
  <si>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</si>
  <si>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</si>
  <si>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</si>
  <si>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</si>
  <si>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</si>
  <si>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</si>
  <si>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</si>
  <si>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</si>
  <si>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</si>
  <si>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</si>
  <si>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</si>
  <si>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</si>
  <si>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</si>
  <si>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</si>
  <si>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</si>
  <si>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</si>
  <si>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</si>
  <si>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</si>
  <si>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</si>
  <si>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</si>
  <si>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</si>
  <si>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</si>
  <si>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</si>
  <si>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</si>
  <si>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</si>
  <si>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</si>
  <si>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</si>
  <si>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</si>
  <si>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</si>
  <si>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</si>
  <si>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</si>
  <si>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</si>
  <si>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</si>
  <si>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</si>
  <si>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</si>
  <si>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</si>
  <si>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</si>
  <si>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</si>
  <si>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</si>
  <si>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</si>
  <si>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</si>
  <si>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</si>
  <si>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</si>
  <si>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</si>
  <si>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</si>
  <si>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</si>
  <si>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</si>
  <si>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</si>
  <si>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</si>
  <si>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</si>
  <si>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</si>
  <si>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</si>
  <si>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</si>
  <si>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</si>
  <si>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</si>
  <si>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</si>
  <si>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</si>
  <si>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</si>
  <si>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</si>
  <si>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</si>
  <si>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</si>
  <si>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</si>
  <si>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</si>
  <si>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</si>
  <si>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</si>
  <si>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</si>
  <si>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</si>
  <si>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</si>
  <si>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</si>
  <si>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</si>
  <si>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</si>
  <si>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</si>
  <si>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</si>
  <si>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</si>
  <si>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</si>
  <si>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</si>
  <si>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</si>
  <si>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</si>
  <si>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</si>
  <si>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</si>
  <si>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</si>
  <si>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</si>
  <si>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</si>
  <si>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</si>
  <si>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</si>
  <si>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</si>
  <si>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</si>
  <si>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</si>
  <si>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</si>
  <si>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</si>
  <si>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</si>
  <si>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</si>
  <si>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</si>
  <si>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</si>
  <si>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</si>
  <si>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</si>
  <si>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</si>
  <si>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</si>
  <si>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</si>
  <si>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</si>
  <si>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</si>
  <si>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</si>
  <si>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</si>
  <si>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</si>
  <si>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</si>
  <si>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</si>
  <si>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</si>
  <si>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</si>
  <si>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</si>
  <si>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</si>
  <si>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</si>
  <si>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</si>
  <si>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</si>
  <si>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</si>
  <si>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</si>
  <si>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</si>
  <si>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</si>
  <si>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</si>
  <si>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</si>
  <si>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</si>
  <si>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</si>
  <si>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</si>
  <si>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</si>
  <si>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</si>
  <si>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</si>
  <si>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</si>
  <si>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</si>
  <si>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</si>
  <si>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</si>
  <si>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</si>
  <si>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</si>
  <si>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</si>
  <si>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</si>
  <si>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</si>
  <si>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</si>
  <si>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</si>
  <si>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</si>
  <si>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</si>
  <si>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</si>
  <si>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</si>
  <si>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</si>
  <si>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</si>
  <si>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</si>
  <si>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</si>
  <si>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</si>
  <si>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</si>
  <si>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</si>
  <si>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</si>
  <si>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</si>
  <si>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</si>
  <si>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</si>
  <si>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</si>
  <si>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</si>
  <si>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</si>
  <si>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</si>
  <si>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</si>
  <si>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</si>
  <si>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</si>
  <si>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</si>
  <si>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</si>
  <si>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</si>
  <si>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</si>
  <si>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</si>
  <si>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</si>
  <si>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</si>
  <si>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</si>
  <si>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</si>
  <si>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</si>
  <si>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</si>
  <si>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</si>
  <si>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</si>
  <si>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</si>
  <si>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</si>
  <si>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</si>
  <si>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</si>
  <si>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</si>
  <si>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</si>
  <si>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</si>
  <si>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</si>
  <si>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</si>
  <si>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</si>
  <si>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</si>
  <si>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</si>
  <si>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</si>
  <si>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</si>
  <si>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</si>
  <si>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</si>
  <si>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</si>
  <si>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</si>
  <si>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</si>
  <si>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</si>
  <si>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</si>
  <si>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</si>
  <si>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</si>
  <si>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</si>
  <si>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</si>
  <si>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</si>
  <si>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</si>
  <si>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</si>
  <si>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</si>
  <si>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</si>
  <si>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</si>
  <si>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</si>
  <si>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</si>
  <si>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</si>
  <si>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</si>
  <si>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</si>
  <si>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</si>
  <si>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</si>
  <si>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</si>
  <si>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</si>
  <si>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</si>
  <si>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</si>
  <si>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</si>
  <si>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</si>
  <si>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</si>
  <si>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</si>
  <si>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</si>
  <si>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</si>
  <si>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</si>
  <si>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</si>
  <si>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</si>
  <si>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</si>
  <si>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</si>
  <si>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</si>
  <si>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</si>
  <si>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</si>
  <si>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</si>
  <si>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</si>
  <si>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</si>
  <si>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</si>
  <si>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</si>
  <si>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</si>
  <si>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</si>
  <si>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</si>
  <si>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</si>
  <si>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</si>
  <si>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</si>
  <si>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</si>
  <si>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</si>
  <si>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</si>
  <si>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</si>
  <si>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</si>
  <si>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</si>
  <si>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</si>
  <si>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</si>
  <si>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</si>
  <si>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</si>
  <si>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</si>
  <si>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</si>
  <si>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</si>
  <si>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</si>
  <si>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</si>
  <si>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</si>
  <si>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</si>
  <si>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</si>
  <si>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</si>
  <si>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</si>
  <si>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</si>
  <si>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</si>
  <si>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</si>
  <si>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</si>
  <si>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</si>
  <si>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</si>
  <si>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</si>
  <si>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</si>
  <si>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</si>
  <si>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</si>
  <si>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</si>
  <si>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</si>
  <si>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</si>
  <si>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</si>
  <si>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</si>
  <si>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</si>
  <si>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</si>
  <si>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</si>
  <si>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</si>
  <si>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</si>
  <si>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</si>
  <si>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</si>
  <si>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</si>
  <si>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</si>
  <si>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</si>
  <si>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</si>
  <si>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</si>
  <si>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</si>
  <si>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</si>
  <si>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</si>
  <si>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</si>
  <si>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</si>
  <si>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</si>
  <si>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</si>
  <si>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</si>
  <si>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</si>
  <si>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</si>
  <si>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</si>
  <si>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</si>
  <si>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</si>
  <si>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</si>
  <si>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</si>
  <si>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</si>
  <si>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</si>
  <si>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</si>
  <si>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</si>
  <si>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</si>
  <si>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</si>
  <si>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</si>
  <si>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</si>
  <si>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</si>
  <si>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</si>
  <si>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</si>
  <si>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</si>
  <si>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</si>
  <si>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</si>
  <si>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</si>
  <si>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</si>
  <si>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</si>
  <si>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</si>
  <si>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</si>
  <si>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</si>
  <si>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</si>
  <si>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</si>
  <si>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</si>
  <si>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</si>
  <si>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</si>
  <si>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</si>
  <si>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</si>
  <si>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</si>
  <si>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</si>
  <si>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</si>
  <si>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</si>
  <si>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</si>
  <si>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</si>
  <si>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</si>
  <si>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</si>
  <si>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</si>
  <si>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</si>
  <si>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</si>
  <si>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</si>
  <si>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</si>
  <si>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</si>
  <si>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</si>
  <si>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</si>
  <si>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</si>
  <si>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</si>
  <si>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</si>
  <si>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</si>
  <si>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</si>
  <si>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</si>
  <si>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</si>
  <si>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</si>
  <si>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</si>
  <si>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</si>
  <si>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</si>
  <si>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</si>
  <si>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</si>
  <si>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</si>
  <si>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</si>
  <si>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</si>
  <si>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</si>
  <si>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</si>
  <si>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</si>
  <si>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</si>
  <si>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</si>
  <si>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</si>
  <si>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</si>
  <si>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</si>
  <si>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</si>
  <si>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</si>
  <si>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</si>
  <si>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</si>
  <si>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</si>
  <si>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</si>
  <si>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</si>
  <si>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</si>
  <si>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</si>
  <si>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</si>
  <si>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</si>
  <si>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</si>
  <si>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</si>
  <si>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</si>
  <si>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</si>
  <si>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</si>
  <si>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</si>
  <si>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</si>
  <si>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</si>
  <si>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</si>
  <si>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</si>
  <si>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</si>
  <si>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</si>
  <si>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</si>
  <si>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</si>
  <si>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</si>
  <si>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</si>
  <si>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</si>
  <si>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</si>
  <si>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</si>
  <si>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</si>
  <si>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</si>
  <si>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</si>
  <si>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</si>
  <si>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</si>
  <si>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</si>
  <si>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</si>
  <si>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</si>
  <si>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</si>
  <si>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</si>
  <si>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</si>
  <si>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</si>
  <si>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</si>
  <si>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</si>
  <si>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</si>
  <si>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</si>
  <si>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</si>
  <si>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</si>
  <si>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</si>
  <si>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</si>
  <si>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</si>
  <si>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</si>
  <si>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</si>
  <si>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</si>
  <si>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</si>
  <si>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</si>
  <si>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</si>
  <si>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</si>
  <si>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</si>
  <si>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</si>
  <si>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</si>
  <si>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</si>
  <si>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</si>
  <si>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</si>
  <si>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</si>
  <si>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</si>
  <si>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</si>
  <si>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</si>
  <si>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</si>
  <si>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</si>
  <si>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</si>
  <si>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</si>
  <si>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</si>
  <si>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</si>
  <si>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</si>
  <si>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</si>
  <si>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</si>
  <si>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</si>
  <si>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</si>
  <si>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</si>
  <si>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</si>
  <si>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</si>
  <si>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</si>
  <si>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</si>
  <si>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</si>
  <si>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</si>
  <si>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</si>
  <si>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</si>
  <si>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</si>
  <si>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</si>
  <si>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</si>
  <si>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</si>
  <si>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</si>
  <si>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</si>
  <si>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</si>
  <si>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</si>
  <si>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</si>
  <si>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</si>
  <si>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</si>
  <si>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</si>
  <si>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</si>
  <si>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</si>
  <si>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</si>
  <si>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</si>
  <si>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</si>
  <si>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</si>
  <si>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</si>
  <si>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</si>
  <si>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</si>
  <si>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</si>
  <si>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</si>
  <si>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</si>
  <si>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</si>
  <si>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</si>
  <si>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</si>
  <si>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</si>
  <si>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</si>
  <si>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</si>
  <si>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</si>
  <si>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</si>
  <si>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</si>
  <si>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</si>
  <si>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</si>
  <si>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</si>
  <si>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</si>
  <si>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</si>
  <si>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</si>
  <si>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</si>
  <si>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</si>
  <si>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</si>
  <si>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</si>
  <si>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</si>
  <si>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</si>
  <si>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</si>
  <si>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</si>
  <si>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</si>
  <si>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</si>
  <si>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</si>
  <si>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</si>
  <si>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</si>
  <si>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</si>
  <si>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</si>
  <si>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</si>
  <si>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</si>
  <si>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</si>
  <si>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</si>
  <si>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</si>
  <si>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</si>
  <si>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</si>
  <si>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</si>
  <si>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</si>
  <si>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</si>
  <si>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</si>
  <si>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</si>
  <si>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</si>
  <si>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</si>
  <si>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</si>
  <si>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</si>
  <si>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</si>
  <si>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</si>
  <si>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</si>
  <si>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</si>
  <si>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</si>
  <si>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</si>
  <si>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</si>
  <si>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</si>
  <si>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</si>
  <si>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</si>
  <si>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</si>
  <si>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</si>
  <si>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</si>
  <si>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</si>
  <si>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</si>
  <si>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</si>
  <si>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</si>
  <si>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</si>
  <si>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</si>
  <si>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</si>
  <si>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</si>
  <si>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</si>
  <si>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</si>
  <si>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</si>
  <si>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</si>
  <si>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</si>
  <si>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</si>
  <si>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</si>
  <si>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</si>
  <si>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</si>
  <si>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</si>
  <si>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</si>
  <si>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</si>
  <si>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</si>
  <si>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</si>
  <si>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</si>
  <si>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</si>
  <si>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</si>
  <si>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</si>
  <si>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</si>
  <si>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</si>
  <si>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</si>
  <si>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</si>
  <si>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</si>
  <si>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</si>
  <si>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</si>
  <si>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</si>
  <si>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</si>
  <si>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</si>
  <si>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</si>
  <si>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</si>
  <si>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</si>
  <si>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</si>
  <si>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</si>
  <si>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</si>
  <si>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</si>
  <si>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</si>
  <si>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</si>
  <si>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</si>
  <si>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</si>
  <si>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</si>
  <si>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</si>
  <si>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</si>
  <si>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</si>
  <si>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</si>
  <si>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</si>
  <si>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</si>
  <si>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</si>
  <si>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</si>
  <si>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</si>
  <si>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</si>
  <si>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</si>
  <si>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</si>
  <si>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</si>
  <si>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</si>
  <si>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</si>
  <si>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</si>
  <si>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</si>
  <si>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</si>
  <si>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</si>
  <si>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</si>
  <si>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</si>
  <si>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</si>
  <si>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</si>
  <si>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</si>
  <si>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</si>
  <si>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</si>
  <si>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</si>
  <si>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</si>
  <si>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</si>
  <si>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</si>
  <si>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</si>
  <si>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</si>
  <si>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</si>
  <si>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</si>
  <si>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</si>
  <si>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</si>
  <si>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</si>
  <si>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</si>
  <si>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</si>
  <si>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</si>
  <si>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</si>
  <si>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</si>
  <si>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</si>
  <si>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</si>
  <si>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</si>
  <si>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</si>
  <si>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</si>
  <si>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</si>
  <si>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</si>
  <si>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</si>
  <si>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</si>
  <si>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</si>
  <si>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</si>
  <si>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</si>
  <si>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</si>
  <si>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</si>
  <si>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</si>
  <si>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</si>
  <si>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</si>
  <si>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</si>
  <si>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</si>
  <si>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</si>
  <si>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</si>
  <si>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</si>
  <si>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</si>
  <si>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</si>
  <si>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</si>
  <si>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</si>
  <si>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</si>
  <si>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</si>
  <si>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</si>
  <si>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</si>
  <si>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</si>
  <si>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</si>
  <si>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</si>
  <si>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</si>
  <si>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</si>
  <si>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</si>
  <si>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</si>
  <si>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</si>
  <si>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</si>
  <si>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</si>
  <si>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</si>
  <si>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</si>
  <si>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</si>
  <si>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</si>
  <si>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</si>
  <si>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</si>
  <si>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</si>
  <si>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</si>
  <si>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</si>
  <si>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</si>
  <si>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</si>
  <si>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</si>
  <si>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</si>
  <si>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</si>
  <si>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</si>
  <si>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</si>
  <si>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</si>
  <si>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</si>
  <si>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</si>
  <si>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</si>
  <si>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</si>
  <si>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</si>
  <si>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</si>
  <si>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</si>
  <si>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</si>
  <si>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</si>
  <si>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</si>
  <si>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</si>
  <si>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</si>
  <si>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</si>
  <si>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</si>
  <si>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</si>
  <si>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</si>
  <si>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</si>
  <si>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</si>
  <si>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</si>
  <si>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</si>
  <si>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</si>
  <si>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</si>
  <si>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</si>
  <si>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</si>
  <si>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</si>
  <si>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</si>
  <si>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</si>
  <si>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</si>
  <si>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</si>
  <si>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</si>
  <si>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</si>
  <si>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</si>
  <si>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</si>
  <si>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</si>
  <si>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</si>
  <si>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</si>
  <si>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</si>
  <si>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</si>
  <si>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</si>
  <si>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</si>
  <si>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</si>
  <si>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</si>
  <si>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</si>
  <si>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</si>
  <si>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</si>
  <si>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</si>
  <si>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</si>
  <si>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</si>
  <si>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</si>
  <si>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</si>
  <si>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</si>
  <si>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</si>
  <si>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</si>
  <si>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</si>
  <si>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</si>
  <si>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</si>
  <si>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</si>
  <si>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</si>
  <si>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</si>
  <si>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</si>
  <si>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</si>
  <si>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</si>
  <si>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</si>
  <si>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</si>
  <si>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</si>
  <si>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</si>
  <si>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</si>
  <si>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</si>
  <si>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</si>
  <si>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</si>
  <si>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</si>
  <si>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</si>
  <si>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</si>
  <si>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</si>
  <si>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</si>
  <si>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</si>
  <si>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</si>
  <si>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</si>
  <si>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</si>
  <si>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</si>
  <si>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</si>
  <si>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</si>
  <si>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</si>
  <si>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</si>
  <si>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</si>
  <si>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</si>
  <si>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</si>
  <si>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</si>
  <si>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</si>
  <si>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</si>
  <si>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</si>
  <si>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</si>
  <si>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</si>
  <si>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</si>
  <si>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</si>
  <si>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</si>
  <si>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</si>
  <si>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</si>
  <si>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</si>
  <si>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</si>
  <si>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</si>
  <si>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</si>
  <si>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</si>
  <si>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</si>
  <si>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</si>
  <si>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</si>
  <si>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</si>
  <si>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</si>
  <si>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</si>
  <si>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</si>
  <si>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</si>
  <si>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</si>
  <si>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</si>
  <si>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</si>
  <si>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</si>
  <si>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</si>
  <si>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</si>
  <si>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</si>
  <si>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</si>
  <si>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</si>
  <si>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</si>
  <si>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</si>
  <si>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</si>
  <si>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</si>
  <si>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</si>
  <si>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</si>
  <si>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</si>
  <si>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</si>
  <si>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</si>
  <si>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</si>
  <si>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</si>
  <si>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</si>
  <si>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</si>
  <si>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</si>
  <si>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</si>
  <si>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</si>
  <si>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</si>
  <si>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</si>
  <si>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</si>
  <si>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</si>
  <si>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</si>
  <si>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</si>
  <si>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</si>
  <si>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</si>
  <si>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</si>
  <si>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</si>
  <si>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</si>
  <si>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</si>
  <si>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</si>
  <si>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</si>
  <si>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</si>
  <si>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</si>
  <si>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</si>
  <si>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</si>
  <si>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many they buy?</t>
  </si>
  <si>
    <t>Which products are popular?</t>
  </si>
  <si>
    <t>Overall gender split</t>
  </si>
  <si>
    <t>Where do our customers live?</t>
  </si>
  <si>
    <t>How long we take to ship the orders</t>
  </si>
  <si>
    <t>How happy are our customers?</t>
  </si>
  <si>
    <t>Logo</t>
  </si>
  <si>
    <t>Color Scheme</t>
  </si>
  <si>
    <t>#9FBFAD</t>
  </si>
  <si>
    <t>#748C76</t>
  </si>
  <si>
    <t>#505947</t>
  </si>
  <si>
    <t>#BF7F5A</t>
  </si>
  <si>
    <t>#BF3939</t>
  </si>
  <si>
    <t>#4887E6</t>
  </si>
  <si>
    <t>Accent 1</t>
  </si>
  <si>
    <t>Accent 2</t>
  </si>
  <si>
    <t>Accent 3</t>
  </si>
  <si>
    <t>Accent 4</t>
  </si>
  <si>
    <t>Accent 5</t>
  </si>
  <si>
    <t>Accent 6</t>
  </si>
  <si>
    <t>Emojis</t>
  </si>
  <si>
    <t>🛒</t>
  </si>
  <si>
    <t>👕</t>
  </si>
  <si>
    <t>💰</t>
  </si>
  <si>
    <t>⭐</t>
  </si>
  <si>
    <t>📅</t>
  </si>
  <si>
    <t>Orders</t>
  </si>
  <si>
    <t>Rating</t>
  </si>
  <si>
    <t>Days to deliver</t>
  </si>
  <si>
    <t>Format Codes</t>
  </si>
  <si>
    <t>#,##</t>
  </si>
  <si>
    <t>value with thousand's seperator</t>
  </si>
  <si>
    <t>$#,##,.0k</t>
  </si>
  <si>
    <t>Amount in thousands with one decimal</t>
  </si>
  <si>
    <t>0.0</t>
  </si>
  <si>
    <t>Other numbers</t>
  </si>
  <si>
    <t>How do our customers like to buy?</t>
  </si>
  <si>
    <t>Grand Total</t>
  </si>
  <si>
    <t>Count of TX ID</t>
  </si>
  <si>
    <t>Sum of Quantity</t>
  </si>
  <si>
    <t>Sum of Amount</t>
  </si>
  <si>
    <t>Average of Rating C</t>
  </si>
  <si>
    <t>Values for display</t>
  </si>
  <si>
    <t>Total Order</t>
  </si>
  <si>
    <t>Total Quatity</t>
  </si>
  <si>
    <t>Avg Rattings</t>
  </si>
  <si>
    <t>Avg days to deliver</t>
  </si>
  <si>
    <t>Values</t>
  </si>
  <si>
    <t>Total</t>
  </si>
  <si>
    <t>Average of Days to Deliver</t>
  </si>
  <si>
    <t>Female</t>
  </si>
  <si>
    <t>Male</t>
  </si>
  <si>
    <t>Other</t>
  </si>
  <si>
    <t>Unknown</t>
  </si>
  <si>
    <t>Quantity2</t>
  </si>
  <si>
    <t>6 to 10</t>
  </si>
  <si>
    <t>11 to 15</t>
  </si>
  <si>
    <t>morethan 20</t>
  </si>
  <si>
    <t>Map char for Quantity</t>
  </si>
  <si>
    <t>Map Chart for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</si>
</sst>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4" formatCode="_(&quot;$&quot;* #,##0.00_);_(&quot;$&quot;* \(#,##0.00\);_(&quot;$&quot;* &quot;-&quot;??_);_(@_)"/>
    <numFmt numFmtId="43" formatCode="_(* #,##0.00_);_(* \(#,##0.00\);_(* &quot;-&quot;??_);_(@_)"/>
    <numFmt numFmtId="164" formatCode="0.0"/>
    <numFmt numFmtId="165" formatCode="_(* #,##0_);_(* \(#,##0\);_(* &quot;-&quot;??_);_(@_)"/>
    <numFmt numFmtId="166" formatCode="&quot;$&quot;#,##0"/>
  </numFmts>
  <fonts count="7" x14ac:knownFonts="1">
    <font>
      <sz val="11"/>
      <color theme="1"/>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color theme="1"/>
      <name val="Aptos Narrow"/>
      <family val="2"/>
      <scheme val="minor"/>
    </font>
    <font>
      <b/>
      <sz val="11"/>
      <color theme="1"/>
      <name val="Aptos Narrow"/>
      <scheme val="minor"/>
    </font>
    <font>
      <sz val="11"/>
      <color theme="1"/>
      <name val="Aptos Narrow"/>
      <scheme val="minor"/>
    </font>
  </fonts>
  <fills count="9">
    <fill>
      <patternFill patternType="none"/>
    </fill>
    <fill>
      <patternFill patternType="gray125"/>
    </fill>
    <fill>
      <patternFill patternType="solid">
        <fgColor theme="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rgb="FFFFFF00"/>
        <bgColor indexed="64"/>
      </patternFill>
    </fill>
  </fills>
  <borders count="2">
    <border>
      <left/>
      <right/>
      <top/>
      <bottom/>
      <diagonal/>
    </border>
    <border>
      <left/>
      <right/>
      <top/>
      <bottom style="thin">
        <color theme="4" tint="0.39997558519241921"/>
      </bottom>
      <diagonal/>
    </border>
  </borders>
  <cellStyleXfs count="5">
    <xf numFmtId="0" fontId="0" fillId="0" borderId="0"/>
    <xf numFmtId="0" fontId="3" fillId="0" borderId="0" applyNumberForma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cellStyleXfs>
  <cellXfs count="26">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0" borderId="0" xfId="0" quotePrefix="1"/>
    <xf numFmtId="0" fontId="3" fillId="0" borderId="0" xfId="1"/>
    <xf numFmtId="0" fontId="0" fillId="8" borderId="0" xfId="0" applyFill="1"/>
    <xf numFmtId="0" fontId="0" fillId="0" borderId="0" xfId="0" pivotButton="1"/>
    <xf numFmtId="164" fontId="0" fillId="0" borderId="0" xfId="0" applyNumberFormat="1"/>
    <xf numFmtId="165" fontId="0" fillId="0" borderId="0" xfId="2" applyNumberFormat="1" applyFont="1"/>
    <xf numFmtId="8" fontId="0" fillId="0" borderId="0" xfId="3" applyNumberFormat="1" applyFont="1"/>
    <xf numFmtId="166" fontId="0" fillId="0" borderId="0" xfId="0" applyNumberFormat="1"/>
    <xf numFmtId="0" fontId="0" fillId="0" borderId="0" xfId="0" applyNumberFormat="1"/>
    <xf numFmtId="0" fontId="1" fillId="0" borderId="0" xfId="0" applyFont="1"/>
    <xf numFmtId="0" fontId="1" fillId="0" borderId="1" xfId="0" applyFont="1" applyBorder="1"/>
    <xf numFmtId="10" fontId="0" fillId="0" borderId="0" xfId="0" applyNumberFormat="1"/>
    <xf numFmtId="10" fontId="0" fillId="0" borderId="0" xfId="4" applyNumberFormat="1" applyFont="1"/>
    <xf numFmtId="10" fontId="6" fillId="0" borderId="0" xfId="4" applyNumberFormat="1" applyFont="1" applyBorder="1"/>
    <xf numFmtId="0" fontId="6" fillId="0" borderId="0" xfId="0" applyFont="1" applyBorder="1"/>
    <xf numFmtId="0" fontId="5" fillId="0" borderId="0" xfId="0" applyFont="1" applyBorder="1"/>
  </cellXfs>
  <cellStyles count="5">
    <cellStyle name="Comma" xfId="2" builtinId="3"/>
    <cellStyle name="Currency" xfId="3" builtinId="4"/>
    <cellStyle name="Hyperlink" xfId="1" builtinId="8"/>
    <cellStyle name="Normal" xfId="0" builtinId="0"/>
    <cellStyle name="Percent" xfId="4" builtinId="5"/>
  </cellStyles>
  <dxfs count="5">
    <dxf>
      <numFmt numFmtId="0" formatCode="General"/>
    </dxf>
    <dxf>
      <numFmt numFmtId="0" formatCode="General"/>
    </dxf>
    <dxf>
      <numFmt numFmtId="0" formatCode="General"/>
    </dxf>
    <dxf>
      <numFmt numFmtId="20" formatCode="d\-mmm\-yy"/>
    </dxf>
    <dxf>
      <numFmt numFmtId="20"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[dashboard_tutorial.xlsx]Sheet1!PT Trend</c:name>
    <c:fmtId val="0"/>
  </c:pivotSource>
  <c:chart>
    <c:autoTitleDeleted val="0"/>
    <c:pivotFmts>
      <c:pivotFmt>
        <c:idx val="0"/>
        <c:spPr>
          <a:ln w="38100" cap="rnd">
            <a:solidFill>
              <a:schemeClr val="accent6"/>
            </a:solidFill>
            <a:round/>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8100" cap="rnd">
            <a:solidFill>
              <a:schemeClr val="accent6"/>
            </a:solidFill>
            <a:round/>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Sheet1!$B$9</c:f>
              <c:strCache>
                <c:ptCount val="1"/>
                <c:pt idx="0">
                  <c:v>Sum of Quantity</c:v>
                </c:pt>
              </c:strCache>
            </c:strRef>
          </c:tx>
          <c:spPr>
            <a:ln w="38100" cap="rnd">
              <a:solidFill>
                <a:schemeClr val="accent6"/>
              </a:solidFill>
              <a:round/>
            </a:ln>
            <a:effectLst/>
          </c:spPr>
          <c:marker>
            <c:symbol val="circle"/>
            <c:size val="8"/>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Sheet1!$A$10:$A$21</c:f>
              <c:strCache>
                <c:ptCount val="11"/>
                <c:pt idx="0">
                  <c:v>1</c:v>
                </c:pt>
                <c:pt idx="1">
                  <c:v>2</c:v>
                </c:pt>
                <c:pt idx="2">
                  <c:v>4</c:v>
                </c:pt>
                <c:pt idx="3">
                  <c:v>6</c:v>
                </c:pt>
                <c:pt idx="4">
                  <c:v>7</c:v>
                </c:pt>
                <c:pt idx="5">
                  <c:v>8</c:v>
                </c:pt>
                <c:pt idx="6">
                  <c:v>9</c:v>
                </c:pt>
                <c:pt idx="7">
                  <c:v>10</c:v>
                </c:pt>
                <c:pt idx="8">
                  <c:v>11</c:v>
                </c:pt>
                <c:pt idx="9">
                  <c:v>12</c:v>
                </c:pt>
                <c:pt idx="10">
                  <c:v>13</c:v>
                </c:pt>
              </c:strCache>
            </c:strRef>
          </c:cat>
          <c:val>
            <c:numRef>
              <c:f>Sheet1!$B$10:$B$21</c:f>
              <c:numCache>
                <c:formatCode>General</c:formatCode>
                <c:ptCount val="11"/>
                <c:pt idx="0">
                  <c:v>13</c:v>
                </c:pt>
                <c:pt idx="1">
                  <c:v>5</c:v>
                </c:pt>
                <c:pt idx="2">
                  <c:v>28</c:v>
                </c:pt>
                <c:pt idx="3">
                  <c:v>4</c:v>
                </c:pt>
                <c:pt idx="4">
                  <c:v>2</c:v>
                </c:pt>
                <c:pt idx="5">
                  <c:v>12</c:v>
                </c:pt>
                <c:pt idx="6">
                  <c:v>15</c:v>
                </c:pt>
                <c:pt idx="7">
                  <c:v>94</c:v>
                </c:pt>
                <c:pt idx="8">
                  <c:v>2</c:v>
                </c:pt>
                <c:pt idx="9">
                  <c:v>3</c:v>
                </c:pt>
                <c:pt idx="10">
                  <c:v>8</c:v>
                </c:pt>
              </c:numCache>
            </c:numRef>
          </c:val>
          <c:smooth val="0"/>
          <c:extLst>
            <c:ext xmlns:c16="http://schemas.microsoft.com/office/drawing/2014/chart" uri="{C3380CC4-5D6E-409C-BE32-E72D297353CC}">
              <c16:uniqueId val="{00000000-00DB-EE46-94AE-0130C89B1FE3}"/>
            </c:ext>
          </c:extLst>
        </c:ser>
        <c:ser>
          <c:idx val="1"/>
          <c:order val="1"/>
          <c:tx>
            <c:strRef>
              <c:f>Sheet1!$C$9</c:f>
              <c:strCache>
                <c:ptCount val="1"/>
                <c:pt idx="0">
                  <c:v>Sum of Amount</c:v>
                </c:pt>
              </c:strCache>
            </c:strRef>
          </c:tx>
          <c:spPr>
            <a:ln w="38100" cap="rnd">
              <a:solidFill>
                <a:schemeClr val="accent5"/>
              </a:solidFill>
              <a:round/>
            </a:ln>
            <a:effectLst/>
          </c:spPr>
          <c:marker>
            <c:symbol val="circle"/>
            <c:size val="8"/>
            <c:spPr>
              <a:solidFill>
                <a:schemeClr val="accent5"/>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Sheet1!$A$10:$A$21</c:f>
              <c:strCache>
                <c:ptCount val="11"/>
                <c:pt idx="0">
                  <c:v>1</c:v>
                </c:pt>
                <c:pt idx="1">
                  <c:v>2</c:v>
                </c:pt>
                <c:pt idx="2">
                  <c:v>4</c:v>
                </c:pt>
                <c:pt idx="3">
                  <c:v>6</c:v>
                </c:pt>
                <c:pt idx="4">
                  <c:v>7</c:v>
                </c:pt>
                <c:pt idx="5">
                  <c:v>8</c:v>
                </c:pt>
                <c:pt idx="6">
                  <c:v>9</c:v>
                </c:pt>
                <c:pt idx="7">
                  <c:v>10</c:v>
                </c:pt>
                <c:pt idx="8">
                  <c:v>11</c:v>
                </c:pt>
                <c:pt idx="9">
                  <c:v>12</c:v>
                </c:pt>
                <c:pt idx="10">
                  <c:v>13</c:v>
                </c:pt>
              </c:strCache>
            </c:strRef>
          </c:cat>
          <c:val>
            <c:numRef>
              <c:f>Sheet1!$C$10:$C$21</c:f>
              <c:numCache>
                <c:formatCode>"$"#,##0</c:formatCode>
                <c:ptCount val="11"/>
                <c:pt idx="0">
                  <c:v>799.5</c:v>
                </c:pt>
                <c:pt idx="1">
                  <c:v>262.5</c:v>
                </c:pt>
                <c:pt idx="2">
                  <c:v>758.80000000000007</c:v>
                </c:pt>
                <c:pt idx="3">
                  <c:v>266</c:v>
                </c:pt>
                <c:pt idx="4">
                  <c:v>218.6</c:v>
                </c:pt>
                <c:pt idx="5">
                  <c:v>435.79999999999995</c:v>
                </c:pt>
                <c:pt idx="6">
                  <c:v>660</c:v>
                </c:pt>
                <c:pt idx="7">
                  <c:v>7590.7</c:v>
                </c:pt>
                <c:pt idx="8">
                  <c:v>42.2</c:v>
                </c:pt>
                <c:pt idx="9">
                  <c:v>252</c:v>
                </c:pt>
                <c:pt idx="10">
                  <c:v>263.2</c:v>
                </c:pt>
              </c:numCache>
            </c:numRef>
          </c:val>
          <c:smooth val="0"/>
          <c:extLst>
            <c:ext xmlns:c16="http://schemas.microsoft.com/office/drawing/2014/chart" uri="{C3380CC4-5D6E-409C-BE32-E72D297353CC}">
              <c16:uniqueId val="{00000001-00DB-EE46-94AE-0130C89B1FE3}"/>
            </c:ext>
          </c:extLst>
        </c:ser>
        <c:dLbls>
          <c:dLblPos val="ctr"/>
          <c:showLegendKey val="0"/>
          <c:showVal val="1"/>
          <c:showCatName val="0"/>
          <c:showSerName val="0"/>
          <c:showPercent val="0"/>
          <c:showBubbleSize val="0"/>
        </c:dLbls>
        <c:marker val="1"/>
        <c:smooth val="0"/>
        <c:axId val="1951904447"/>
        <c:axId val="1951898175"/>
      </c:lineChart>
      <c:catAx>
        <c:axId val="1951904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951898175"/>
        <c:crosses val="autoZero"/>
        <c:auto val="1"/>
        <c:lblAlgn val="ctr"/>
        <c:lblOffset val="100"/>
        <c:noMultiLvlLbl val="0"/>
      </c:catAx>
      <c:valAx>
        <c:axId val="195189817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904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[dashboard_tutorial.xlsx]Sheet1!PT Quantity</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Sheet1!$A$46:$B$53</c:f>
              <c:strCache>
                <c:ptCount val="7"/>
                <c:pt idx="0">
                  <c:v>2</c:v>
                </c:pt>
                <c:pt idx="1">
                  <c:v>3</c:v>
                </c:pt>
                <c:pt idx="2">
                  <c:v>4</c:v>
                </c:pt>
                <c:pt idx="3">
                  <c:v>5</c:v>
                </c:pt>
                <c:pt idx="4">
                  <c:v>6 to 10</c:v>
                </c:pt>
                <c:pt idx="5">
                  <c:v>11 to 15</c:v>
                </c:pt>
                <c:pt idx="6">
                  <c:v>morethan 20</c:v>
                </c:pt>
              </c:strCache>
            </c:strRef>
          </c:cat>
          <c:val>
            <c:numRef>
              <c:f>Sheet1!$C$46:$C$53</c:f>
              <c:numCache>
                <c:formatCode>General</c:formatCode>
                <c:ptCount val="7"/>
                <c:pt idx="0">
                  <c:v>5</c:v>
                </c:pt>
                <c:pt idx="1">
                  <c:v>1</c:v>
                </c:pt>
                <c:pt idx="2">
                  <c:v>1</c:v>
                </c:pt>
                <c:pt idx="3">
                  <c:v>1</c:v>
                </c:pt>
                <c:pt idx="4">
                  <c:v>5</c:v>
                </c:pt>
                <c:pt idx="5">
                  <c:v>1</c:v>
                </c:pt>
                <c:pt idx="6">
                  <c:v>2</c:v>
                </c:pt>
              </c:numCache>
            </c:numRef>
          </c:val>
          <c:extLst>
            <c:ext xmlns:c16="http://schemas.microsoft.com/office/drawing/2014/chart" uri="{C3380CC4-5D6E-409C-BE32-E72D297353CC}">
              <c16:uniqueId val="{00000000-6DF0-F94B-B523-51729D73C7A1}"/>
            </c:ext>
          </c:extLst>
        </c:ser>
        <c:dLbls>
          <c:showLegendKey val="0"/>
          <c:showVal val="1"/>
          <c:showCatName val="0"/>
          <c:showSerName val="0"/>
          <c:showPercent val="0"/>
          <c:showBubbleSize val="0"/>
        </c:dLbls>
        <c:gapWidth val="219"/>
        <c:overlap val="-27"/>
        <c:axId val="1715707775"/>
        <c:axId val="1748118911"/>
      </c:barChart>
      <c:catAx>
        <c:axId val="171570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118911"/>
        <c:crosses val="autoZero"/>
        <c:auto val="1"/>
        <c:lblAlgn val="ctr"/>
        <c:lblOffset val="100"/>
        <c:noMultiLvlLbl val="0"/>
      </c:catAx>
      <c:valAx>
        <c:axId val="1748118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70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[dashboard_tutorial.xlsx]Sheet1!PT Popular Products</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Propular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Sheet1!$B$70:$B$71</c:f>
              <c:strCache>
                <c:ptCount val="1"/>
                <c:pt idx="0">
                  <c:v>Unknown</c:v>
                </c:pt>
              </c:strCache>
            </c:strRef>
          </c:tx>
          <c:spPr>
            <a:solidFill>
              <a:schemeClr val="accent6"/>
            </a:solidFill>
            <a:ln>
              <a:noFill/>
            </a:ln>
            <a:effectLst/>
          </c:spPr>
          <c:invertIfNegative val="0"/>
          <c:cat>
            <c:strRef>
              <c:f>Sheet1!$A$72:$A$82</c:f>
              <c:strCache>
                <c:ptCount val="10"/>
                <c:pt idx="0">
                  <c:v>Crop Tops</c:v>
                </c:pt>
                <c:pt idx="1">
                  <c:v>Graphic Tees</c:v>
                </c:pt>
                <c:pt idx="2">
                  <c:v>Jeans</c:v>
                </c:pt>
                <c:pt idx="3">
                  <c:v>Leggings</c:v>
                </c:pt>
                <c:pt idx="4">
                  <c:v>Sandals</c:v>
                </c:pt>
                <c:pt idx="5">
                  <c:v>Shorts</c:v>
                </c:pt>
                <c:pt idx="6">
                  <c:v>Sneakers</c:v>
                </c:pt>
                <c:pt idx="7">
                  <c:v>Sundresses</c:v>
                </c:pt>
                <c:pt idx="8">
                  <c:v>Sunglasses</c:v>
                </c:pt>
                <c:pt idx="9">
                  <c:v>T-Shirts</c:v>
                </c:pt>
              </c:strCache>
            </c:strRef>
          </c:cat>
          <c:val>
            <c:numRef>
              <c:f>Sheet1!$B$72:$B$82</c:f>
              <c:numCache>
                <c:formatCode>General</c:formatCode>
                <c:ptCount val="10"/>
                <c:pt idx="0">
                  <c:v>4</c:v>
                </c:pt>
                <c:pt idx="1">
                  <c:v>6</c:v>
                </c:pt>
                <c:pt idx="2">
                  <c:v>105</c:v>
                </c:pt>
                <c:pt idx="3">
                  <c:v>3</c:v>
                </c:pt>
                <c:pt idx="4">
                  <c:v>10</c:v>
                </c:pt>
                <c:pt idx="5">
                  <c:v>2</c:v>
                </c:pt>
                <c:pt idx="6">
                  <c:v>2</c:v>
                </c:pt>
                <c:pt idx="7">
                  <c:v>10</c:v>
                </c:pt>
                <c:pt idx="8">
                  <c:v>9</c:v>
                </c:pt>
                <c:pt idx="9">
                  <c:v>35</c:v>
                </c:pt>
              </c:numCache>
            </c:numRef>
          </c:val>
          <c:extLst>
            <c:ext xmlns:c16="http://schemas.microsoft.com/office/drawing/2014/chart" uri="{C3380CC4-5D6E-409C-BE32-E72D297353CC}">
              <c16:uniqueId val="{00000000-9A60-4F4F-A6EB-0AFBE185EFAC}"/>
            </c:ext>
          </c:extLst>
        </c:ser>
        <c:dLbls>
          <c:showLegendKey val="0"/>
          <c:showVal val="0"/>
          <c:showCatName val="0"/>
          <c:showSerName val="0"/>
          <c:showPercent val="0"/>
          <c:showBubbleSize val="0"/>
        </c:dLbls>
        <c:gapWidth val="10"/>
        <c:overlap val="100"/>
        <c:axId val="1584359487"/>
        <c:axId val="1700769151"/>
      </c:barChart>
      <c:catAx>
        <c:axId val="15843594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769151"/>
        <c:crosses val="autoZero"/>
        <c:auto val="1"/>
        <c:lblAlgn val="ctr"/>
        <c:lblOffset val="100"/>
        <c:noMultiLvlLbl val="0"/>
      </c:catAx>
      <c:valAx>
        <c:axId val="1700769151"/>
        <c:scaling>
          <c:orientation val="minMax"/>
        </c:scaling>
        <c:delete val="0"/>
        <c:axPos val="t"/>
        <c:numFmt formatCode="General" sourceLinked="1"/>
        <c:majorTickMark val="none"/>
        <c:minorTickMark val="none"/>
        <c:tickLblPos val="low"/>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359487"/>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[dashboard_tutorial.xlsx]Sheet1!PT Days of Deliver</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Sheet1!$B$175:$B$176</c:f>
              <c:strCache>
                <c:ptCount val="1"/>
                <c:pt idx="0">
                  <c:v>Total</c:v>
                </c:pt>
              </c:strCache>
            </c:strRef>
          </c:tx>
          <c:spPr>
            <a:solidFill>
              <a:schemeClr val="accent6"/>
            </a:solidFill>
            <a:ln>
              <a:noFill/>
            </a:ln>
            <a:effectLst/>
          </c:spPr>
          <c:invertIfNegative val="0"/>
          <c:cat>
            <c:strRef>
              <c:f>Sheet1!$A$177:$A$181</c:f>
              <c:strCache>
                <c:ptCount val="4"/>
                <c:pt idx="0">
                  <c:v>0</c:v>
                </c:pt>
                <c:pt idx="1">
                  <c:v>1</c:v>
                </c:pt>
                <c:pt idx="2">
                  <c:v>2</c:v>
                </c:pt>
                <c:pt idx="3">
                  <c:v>4</c:v>
                </c:pt>
              </c:strCache>
            </c:strRef>
          </c:cat>
          <c:val>
            <c:numRef>
              <c:f>Sheet1!$B$177:$B$181</c:f>
              <c:numCache>
                <c:formatCode>General</c:formatCode>
                <c:ptCount val="4"/>
                <c:pt idx="0">
                  <c:v>2</c:v>
                </c:pt>
                <c:pt idx="1">
                  <c:v>7</c:v>
                </c:pt>
                <c:pt idx="2">
                  <c:v>6</c:v>
                </c:pt>
                <c:pt idx="3">
                  <c:v>1</c:v>
                </c:pt>
              </c:numCache>
            </c:numRef>
          </c:val>
          <c:extLst>
            <c:ext xmlns:c16="http://schemas.microsoft.com/office/drawing/2014/chart" uri="{C3380CC4-5D6E-409C-BE32-E72D297353CC}">
              <c16:uniqueId val="{00000000-57EC-F744-AADD-35B4764BBCE1}"/>
            </c:ext>
          </c:extLst>
        </c:ser>
        <c:dLbls>
          <c:showLegendKey val="0"/>
          <c:showVal val="0"/>
          <c:showCatName val="0"/>
          <c:showSerName val="0"/>
          <c:showPercent val="0"/>
          <c:showBubbleSize val="0"/>
        </c:dLbls>
        <c:gapWidth val="219"/>
        <c:overlap val="-27"/>
        <c:axId val="1596702719"/>
        <c:axId val="1567662847"/>
      </c:barChart>
      <c:catAx>
        <c:axId val="159670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662847"/>
        <c:crosses val="autoZero"/>
        <c:auto val="1"/>
        <c:lblAlgn val="ctr"/>
        <c:lblOffset val="100"/>
        <c:noMultiLvlLbl val="0"/>
      </c:catAx>
      <c:valAx>
        <c:axId val="156766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0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[dashboard_tutorial.xlsx]Sheet1!PT Trend</c:name>
    <c:fmtId val="7"/>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Trend of</a:t>
            </a:r>
            <a:r>
              <a:rPr lang="en-US" baseline="0"/>
              <a:t> 13</a:t>
            </a:r>
            <a:r>
              <a:rPr lang="en-US"/>
              <a:t> weeks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6"/>
          </a:solidFill>
          <a:ln w="38100" cap="rnd">
            <a:solidFill>
              <a:schemeClr val="accent6"/>
            </a:solidFill>
            <a:round/>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38100" cap="rnd">
            <a:solidFill>
              <a:schemeClr val="accent6"/>
            </a:solidFill>
            <a:round/>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38100" cap="rnd">
            <a:solidFill>
              <a:schemeClr val="accent6"/>
            </a:solidFill>
            <a:round/>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38100" cap="rnd">
            <a:solidFill>
              <a:schemeClr val="accent6"/>
            </a:solidFill>
            <a:round/>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8100" cap="rnd">
            <a:solidFill>
              <a:schemeClr val="accent6"/>
            </a:solidFill>
            <a:round/>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6"/>
            </a:solidFill>
            <a:round/>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Sheet1!$C$9</c:f>
              <c:strCache>
                <c:ptCount val="1"/>
                <c:pt idx="0">
                  <c:v>Sum of Amount</c:v>
                </c:pt>
              </c:strCache>
            </c:strRef>
          </c:tx>
          <c:spPr>
            <a:ln w="38100" cap="rnd">
              <a:solidFill>
                <a:schemeClr val="accent5"/>
              </a:solidFill>
              <a:round/>
            </a:ln>
            <a:effectLst/>
          </c:spPr>
          <c:marker>
            <c:symbol val="circle"/>
            <c:size val="8"/>
            <c:spPr>
              <a:solidFill>
                <a:schemeClr val="accent5"/>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Sheet1!$A$10:$A$21</c:f>
              <c:strCache>
                <c:ptCount val="11"/>
                <c:pt idx="0">
                  <c:v>1</c:v>
                </c:pt>
                <c:pt idx="1">
                  <c:v>2</c:v>
                </c:pt>
                <c:pt idx="2">
                  <c:v>4</c:v>
                </c:pt>
                <c:pt idx="3">
                  <c:v>6</c:v>
                </c:pt>
                <c:pt idx="4">
                  <c:v>7</c:v>
                </c:pt>
                <c:pt idx="5">
                  <c:v>8</c:v>
                </c:pt>
                <c:pt idx="6">
                  <c:v>9</c:v>
                </c:pt>
                <c:pt idx="7">
                  <c:v>10</c:v>
                </c:pt>
                <c:pt idx="8">
                  <c:v>11</c:v>
                </c:pt>
                <c:pt idx="9">
                  <c:v>12</c:v>
                </c:pt>
                <c:pt idx="10">
                  <c:v>13</c:v>
                </c:pt>
              </c:strCache>
            </c:strRef>
          </c:cat>
          <c:val>
            <c:numRef>
              <c:f>Sheet1!$C$10:$C$21</c:f>
              <c:numCache>
                <c:formatCode>"$"#,##0</c:formatCode>
                <c:ptCount val="11"/>
                <c:pt idx="0">
                  <c:v>799.5</c:v>
                </c:pt>
                <c:pt idx="1">
                  <c:v>262.5</c:v>
                </c:pt>
                <c:pt idx="2">
                  <c:v>758.80000000000007</c:v>
                </c:pt>
                <c:pt idx="3">
                  <c:v>266</c:v>
                </c:pt>
                <c:pt idx="4">
                  <c:v>218.6</c:v>
                </c:pt>
                <c:pt idx="5">
                  <c:v>435.79999999999995</c:v>
                </c:pt>
                <c:pt idx="6">
                  <c:v>660</c:v>
                </c:pt>
                <c:pt idx="7">
                  <c:v>7590.7</c:v>
                </c:pt>
                <c:pt idx="8">
                  <c:v>42.2</c:v>
                </c:pt>
                <c:pt idx="9">
                  <c:v>252</c:v>
                </c:pt>
                <c:pt idx="10">
                  <c:v>263.2</c:v>
                </c:pt>
              </c:numCache>
            </c:numRef>
          </c:val>
          <c:smooth val="0"/>
          <c:extLst>
            <c:ext xmlns:c16="http://schemas.microsoft.com/office/drawing/2014/chart" uri="{C3380CC4-5D6E-409C-BE32-E72D297353CC}">
              <c16:uniqueId val="{00000001-5325-B048-84E4-3DD429402BE2}"/>
            </c:ext>
          </c:extLst>
        </c:ser>
        <c:dLbls>
          <c:dLblPos val="ctr"/>
          <c:showLegendKey val="0"/>
          <c:showVal val="1"/>
          <c:showCatName val="0"/>
          <c:showSerName val="0"/>
          <c:showPercent val="0"/>
          <c:showBubbleSize val="0"/>
        </c:dLbls>
        <c:marker val="1"/>
        <c:smooth val="0"/>
        <c:axId val="1951904447"/>
        <c:axId val="1951898175"/>
      </c:lineChart>
      <c:lineChart>
        <c:grouping val="standard"/>
        <c:varyColors val="0"/>
        <c:ser>
          <c:idx val="0"/>
          <c:order val="0"/>
          <c:tx>
            <c:strRef>
              <c:f>Sheet1!$B$9</c:f>
              <c:strCache>
                <c:ptCount val="1"/>
                <c:pt idx="0">
                  <c:v>Sum of Quantity</c:v>
                </c:pt>
              </c:strCache>
            </c:strRef>
          </c:tx>
          <c:spPr>
            <a:ln w="38100" cap="rnd">
              <a:solidFill>
                <a:schemeClr val="accent6"/>
              </a:solidFill>
              <a:round/>
            </a:ln>
            <a:effectLst/>
          </c:spPr>
          <c:marker>
            <c:symbol val="circle"/>
            <c:size val="8"/>
            <c:spPr>
              <a:solidFill>
                <a:schemeClr val="accent6"/>
              </a:solidFill>
              <a:ln>
                <a:noFill/>
              </a:ln>
              <a:effectLst/>
            </c:spPr>
          </c:marker>
          <c:cat>
            <c:strRef>
              <c:f>Sheet1!$A$10:$A$21</c:f>
              <c:strCache>
                <c:ptCount val="11"/>
                <c:pt idx="0">
                  <c:v>1</c:v>
                </c:pt>
                <c:pt idx="1">
                  <c:v>2</c:v>
                </c:pt>
                <c:pt idx="2">
                  <c:v>4</c:v>
                </c:pt>
                <c:pt idx="3">
                  <c:v>6</c:v>
                </c:pt>
                <c:pt idx="4">
                  <c:v>7</c:v>
                </c:pt>
                <c:pt idx="5">
                  <c:v>8</c:v>
                </c:pt>
                <c:pt idx="6">
                  <c:v>9</c:v>
                </c:pt>
                <c:pt idx="7">
                  <c:v>10</c:v>
                </c:pt>
                <c:pt idx="8">
                  <c:v>11</c:v>
                </c:pt>
                <c:pt idx="9">
                  <c:v>12</c:v>
                </c:pt>
                <c:pt idx="10">
                  <c:v>13</c:v>
                </c:pt>
              </c:strCache>
            </c:strRef>
          </c:cat>
          <c:val>
            <c:numRef>
              <c:f>Sheet1!$B$10:$B$21</c:f>
              <c:numCache>
                <c:formatCode>General</c:formatCode>
                <c:ptCount val="11"/>
                <c:pt idx="0">
                  <c:v>13</c:v>
                </c:pt>
                <c:pt idx="1">
                  <c:v>5</c:v>
                </c:pt>
                <c:pt idx="2">
                  <c:v>28</c:v>
                </c:pt>
                <c:pt idx="3">
                  <c:v>4</c:v>
                </c:pt>
                <c:pt idx="4">
                  <c:v>2</c:v>
                </c:pt>
                <c:pt idx="5">
                  <c:v>12</c:v>
                </c:pt>
                <c:pt idx="6">
                  <c:v>15</c:v>
                </c:pt>
                <c:pt idx="7">
                  <c:v>94</c:v>
                </c:pt>
                <c:pt idx="8">
                  <c:v>2</c:v>
                </c:pt>
                <c:pt idx="9">
                  <c:v>3</c:v>
                </c:pt>
                <c:pt idx="10">
                  <c:v>8</c:v>
                </c:pt>
              </c:numCache>
            </c:numRef>
          </c:val>
          <c:smooth val="0"/>
          <c:extLst>
            <c:ext xmlns:c16="http://schemas.microsoft.com/office/drawing/2014/chart" uri="{C3380CC4-5D6E-409C-BE32-E72D297353CC}">
              <c16:uniqueId val="{00000000-5325-B048-84E4-3DD429402BE2}"/>
            </c:ext>
          </c:extLst>
        </c:ser>
        <c:dLbls>
          <c:showLegendKey val="0"/>
          <c:showVal val="0"/>
          <c:showCatName val="0"/>
          <c:showSerName val="0"/>
          <c:showPercent val="0"/>
          <c:showBubbleSize val="0"/>
        </c:dLbls>
        <c:marker val="1"/>
        <c:smooth val="0"/>
        <c:axId val="2003073023"/>
        <c:axId val="2003067199"/>
      </c:lineChart>
      <c:catAx>
        <c:axId val="1951904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951898175"/>
        <c:crosses val="autoZero"/>
        <c:auto val="1"/>
        <c:lblAlgn val="ctr"/>
        <c:lblOffset val="100"/>
        <c:noMultiLvlLbl val="0"/>
      </c:catAx>
      <c:valAx>
        <c:axId val="1951898175"/>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904447"/>
        <c:crosses val="autoZero"/>
        <c:crossBetween val="between"/>
      </c:valAx>
      <c:valAx>
        <c:axId val="200306719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073023"/>
        <c:crosses val="max"/>
        <c:crossBetween val="between"/>
      </c:valAx>
      <c:catAx>
        <c:axId val="2003073023"/>
        <c:scaling>
          <c:orientation val="minMax"/>
        </c:scaling>
        <c:delete val="1"/>
        <c:axPos val="b"/>
        <c:numFmt formatCode="General" sourceLinked="1"/>
        <c:majorTickMark val="out"/>
        <c:minorTickMark val="none"/>
        <c:tickLblPos val="nextTo"/>
        <c:crossAx val="200306719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[dashboard_tutorial.xlsx]Sheet1!PT Quantity</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Sheet1!$A$46:$B$53</c:f>
              <c:strCache>
                <c:ptCount val="7"/>
                <c:pt idx="0">
                  <c:v>2</c:v>
                </c:pt>
                <c:pt idx="1">
                  <c:v>3</c:v>
                </c:pt>
                <c:pt idx="2">
                  <c:v>4</c:v>
                </c:pt>
                <c:pt idx="3">
                  <c:v>5</c:v>
                </c:pt>
                <c:pt idx="4">
                  <c:v>6 to 10</c:v>
                </c:pt>
                <c:pt idx="5">
                  <c:v>11 to 15</c:v>
                </c:pt>
                <c:pt idx="6">
                  <c:v>morethan 20</c:v>
                </c:pt>
              </c:strCache>
            </c:strRef>
          </c:cat>
          <c:val>
            <c:numRef>
              <c:f>Sheet1!$C$46:$C$53</c:f>
              <c:numCache>
                <c:formatCode>General</c:formatCode>
                <c:ptCount val="7"/>
                <c:pt idx="0">
                  <c:v>5</c:v>
                </c:pt>
                <c:pt idx="1">
                  <c:v>1</c:v>
                </c:pt>
                <c:pt idx="2">
                  <c:v>1</c:v>
                </c:pt>
                <c:pt idx="3">
                  <c:v>1</c:v>
                </c:pt>
                <c:pt idx="4">
                  <c:v>5</c:v>
                </c:pt>
                <c:pt idx="5">
                  <c:v>1</c:v>
                </c:pt>
                <c:pt idx="6">
                  <c:v>2</c:v>
                </c:pt>
              </c:numCache>
            </c:numRef>
          </c:val>
          <c:extLst>
            <c:ext xmlns:c16="http://schemas.microsoft.com/office/drawing/2014/chart" uri="{C3380CC4-5D6E-409C-BE32-E72D297353CC}">
              <c16:uniqueId val="{00000000-A69E-B548-8A73-D5CC97C2A17D}"/>
            </c:ext>
          </c:extLst>
        </c:ser>
        <c:dLbls>
          <c:showLegendKey val="0"/>
          <c:showVal val="1"/>
          <c:showCatName val="0"/>
          <c:showSerName val="0"/>
          <c:showPercent val="0"/>
          <c:showBubbleSize val="0"/>
        </c:dLbls>
        <c:gapWidth val="219"/>
        <c:overlap val="-27"/>
        <c:axId val="1715707775"/>
        <c:axId val="1748118911"/>
      </c:barChart>
      <c:catAx>
        <c:axId val="171570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118911"/>
        <c:crosses val="autoZero"/>
        <c:auto val="1"/>
        <c:lblAlgn val="ctr"/>
        <c:lblOffset val="100"/>
        <c:noMultiLvlLbl val="0"/>
      </c:catAx>
      <c:valAx>
        <c:axId val="1748118911"/>
        <c:scaling>
          <c:orientation val="minMax"/>
        </c:scaling>
        <c:delete val="1"/>
        <c:axPos val="l"/>
        <c:numFmt formatCode="General" sourceLinked="1"/>
        <c:majorTickMark val="none"/>
        <c:minorTickMark val="none"/>
        <c:tickLblPos val="nextTo"/>
        <c:crossAx val="171570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[dashboard_tutorial.xlsx]Sheet1!PT Popular Products</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Propular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Sheet1!$B$70:$B$71</c:f>
              <c:strCache>
                <c:ptCount val="1"/>
                <c:pt idx="0">
                  <c:v>Unknown</c:v>
                </c:pt>
              </c:strCache>
            </c:strRef>
          </c:tx>
          <c:spPr>
            <a:solidFill>
              <a:schemeClr val="accent6"/>
            </a:solidFill>
            <a:ln>
              <a:noFill/>
            </a:ln>
            <a:effectLst/>
          </c:spPr>
          <c:invertIfNegative val="0"/>
          <c:cat>
            <c:strRef>
              <c:f>Sheet1!$A$72:$A$82</c:f>
              <c:strCache>
                <c:ptCount val="10"/>
                <c:pt idx="0">
                  <c:v>Crop Tops</c:v>
                </c:pt>
                <c:pt idx="1">
                  <c:v>Graphic Tees</c:v>
                </c:pt>
                <c:pt idx="2">
                  <c:v>Jeans</c:v>
                </c:pt>
                <c:pt idx="3">
                  <c:v>Leggings</c:v>
                </c:pt>
                <c:pt idx="4">
                  <c:v>Sandals</c:v>
                </c:pt>
                <c:pt idx="5">
                  <c:v>Shorts</c:v>
                </c:pt>
                <c:pt idx="6">
                  <c:v>Sneakers</c:v>
                </c:pt>
                <c:pt idx="7">
                  <c:v>Sundresses</c:v>
                </c:pt>
                <c:pt idx="8">
                  <c:v>Sunglasses</c:v>
                </c:pt>
                <c:pt idx="9">
                  <c:v>T-Shirts</c:v>
                </c:pt>
              </c:strCache>
            </c:strRef>
          </c:cat>
          <c:val>
            <c:numRef>
              <c:f>Sheet1!$B$72:$B$82</c:f>
              <c:numCache>
                <c:formatCode>General</c:formatCode>
                <c:ptCount val="10"/>
                <c:pt idx="0">
                  <c:v>4</c:v>
                </c:pt>
                <c:pt idx="1">
                  <c:v>6</c:v>
                </c:pt>
                <c:pt idx="2">
                  <c:v>105</c:v>
                </c:pt>
                <c:pt idx="3">
                  <c:v>3</c:v>
                </c:pt>
                <c:pt idx="4">
                  <c:v>10</c:v>
                </c:pt>
                <c:pt idx="5">
                  <c:v>2</c:v>
                </c:pt>
                <c:pt idx="6">
                  <c:v>2</c:v>
                </c:pt>
                <c:pt idx="7">
                  <c:v>10</c:v>
                </c:pt>
                <c:pt idx="8">
                  <c:v>9</c:v>
                </c:pt>
                <c:pt idx="9">
                  <c:v>35</c:v>
                </c:pt>
              </c:numCache>
            </c:numRef>
          </c:val>
          <c:extLst>
            <c:ext xmlns:c16="http://schemas.microsoft.com/office/drawing/2014/chart" uri="{C3380CC4-5D6E-409C-BE32-E72D297353CC}">
              <c16:uniqueId val="{00000000-0431-E94C-B5CE-2ECF0C986D85}"/>
            </c:ext>
          </c:extLst>
        </c:ser>
        <c:dLbls>
          <c:showLegendKey val="0"/>
          <c:showVal val="0"/>
          <c:showCatName val="0"/>
          <c:showSerName val="0"/>
          <c:showPercent val="0"/>
          <c:showBubbleSize val="0"/>
        </c:dLbls>
        <c:gapWidth val="10"/>
        <c:overlap val="100"/>
        <c:axId val="1584359487"/>
        <c:axId val="1700769151"/>
      </c:barChart>
      <c:catAx>
        <c:axId val="15843594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769151"/>
        <c:crosses val="autoZero"/>
        <c:auto val="1"/>
        <c:lblAlgn val="ctr"/>
        <c:lblOffset val="100"/>
        <c:noMultiLvlLbl val="0"/>
      </c:catAx>
      <c:valAx>
        <c:axId val="1700769151"/>
        <c:scaling>
          <c:orientation val="minMax"/>
        </c:scaling>
        <c:delete val="0"/>
        <c:axPos val="t"/>
        <c:numFmt formatCode="General" sourceLinked="1"/>
        <c:majorTickMark val="none"/>
        <c:minorTickMark val="none"/>
        <c:tickLblPos val="low"/>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359487"/>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[dashboard_tutorial.xlsx]Sheet1!PT Days of Deliver</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Sheet1!$B$175:$B$176</c:f>
              <c:strCache>
                <c:ptCount val="1"/>
                <c:pt idx="0">
                  <c:v>Total</c:v>
                </c:pt>
              </c:strCache>
            </c:strRef>
          </c:tx>
          <c:spPr>
            <a:solidFill>
              <a:schemeClr val="accent6"/>
            </a:solidFill>
            <a:ln>
              <a:noFill/>
            </a:ln>
            <a:effectLst/>
          </c:spPr>
          <c:invertIfNegative val="0"/>
          <c:cat>
            <c:strRef>
              <c:f>Sheet1!$A$177:$A$181</c:f>
              <c:strCache>
                <c:ptCount val="4"/>
                <c:pt idx="0">
                  <c:v>0</c:v>
                </c:pt>
                <c:pt idx="1">
                  <c:v>1</c:v>
                </c:pt>
                <c:pt idx="2">
                  <c:v>2</c:v>
                </c:pt>
                <c:pt idx="3">
                  <c:v>4</c:v>
                </c:pt>
              </c:strCache>
            </c:strRef>
          </c:cat>
          <c:val>
            <c:numRef>
              <c:f>Sheet1!$B$177:$B$181</c:f>
              <c:numCache>
                <c:formatCode>General</c:formatCode>
                <c:ptCount val="4"/>
                <c:pt idx="0">
                  <c:v>2</c:v>
                </c:pt>
                <c:pt idx="1">
                  <c:v>7</c:v>
                </c:pt>
                <c:pt idx="2">
                  <c:v>6</c:v>
                </c:pt>
                <c:pt idx="3">
                  <c:v>1</c:v>
                </c:pt>
              </c:numCache>
            </c:numRef>
          </c:val>
          <c:extLst>
            <c:ext xmlns:c16="http://schemas.microsoft.com/office/drawing/2014/chart" uri="{C3380CC4-5D6E-409C-BE32-E72D297353CC}">
              <c16:uniqueId val="{00000000-ECF7-7141-9CA0-469B0C81695B}"/>
            </c:ext>
          </c:extLst>
        </c:ser>
        <c:dLbls>
          <c:showLegendKey val="0"/>
          <c:showVal val="0"/>
          <c:showCatName val="0"/>
          <c:showSerName val="0"/>
          <c:showPercent val="0"/>
          <c:showBubbleSize val="0"/>
        </c:dLbls>
        <c:gapWidth val="219"/>
        <c:overlap val="-27"/>
        <c:axId val="1596702719"/>
        <c:axId val="1567662847"/>
      </c:barChart>
      <c:catAx>
        <c:axId val="1596702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7662847"/>
        <c:crosses val="autoZero"/>
        <c:auto val="1"/>
        <c:lblAlgn val="ctr"/>
        <c:lblOffset val="100"/>
        <c:noMultiLvlLbl val="0"/>
      </c:catAx>
      <c:valAx>
        <c:axId val="1567662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670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title pos="t" align="ctr" overlay="0">
      <cx:tx>
        <cx:txData>
          <cx:v>Califonia county  vs Quantity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Califonia county  vs Quantity</a:t>
          </a:r>
        </a:p>
      </cx:txPr>
    </cx:title>
    <cx:plotArea>
      <cx:plotAreaRegion>
        <cx:series layoutId="regionMap" uniqueId="{00000000-D394-0541-B0AF-F8728B426354}">
          <cx:tx>
            <cx:txData>
              <cx:f>_xlchart.v5.3</cx:f>
              <cx:v>Quantity</cx:v>
            </cx:txData>
          </cx:tx>
          <cx:dataId val="0"/>
          <cx:layoutPr>
            <cx:geography cultureLanguage="en-US" cultureRegion="US" attribution="Powered by Bing">
              <cx:geoCache provider="{E9337A44-BEBE-4D9F-B70C-5C5E7DAFC167}">
                <cx:binary>7H1pc9u4svZfSeXzSw8AAiBw6sypGpBaLO9bnOQLS7YV7gT37dffVuJkRpQ8R64a1VtXdZWpmsRU
w00+RPfTjUbj38/dv57j1bL40CVxWv7rufv9o19V2b9++6189lfJsjxJgudCl/pbdfKsk9/0t2/B
8+q3l2LZBqn3G0GY/vbsL4tq1X38z79hNG+lz/Xzsgp0elOviv52VdZxVf7NtZ2XPixfkiB1grIq
gucK//7RXsbBN12kwfLj5jXy+8f7IkiDqv9g6zqt+o8fVmkF/7zvs9XvHzfGIR8//Db+dVuqfYhB
+6p+AWGKTiyTWMxiXH7/WB8/xDr1Xi8bmJATSRHDJsc/f+3lMgHJd6j0XaHly0uxKku4te//3x5g
4z7gcfzx3x/D8/pxrBHwAIzfPz7AM1q9fLirltWq/PghKPX351X0tl7f68Pd94fz2yaG//n36Afw
uEY/+QvM42f73y5tIvnfUF75y2R5EJCxxTliBP8AWW6DTEyKKccErT9jqPfW6w2kN+X3AXpT4shw
vtOpPgTOpjihpuTSItZ3GJG5jbOFGadU0M3JvL9GuxEeye+B8EjiyBD+Uj8dYB6b8gRTzBiWr/iC
td801viECYsLygH5Hz7ih7HeV5/d6G5I74HtxvePDNm7uqpWxT9vo9fYmoQQ/NNGi21sOWGYUsk3
sd1fo93ojuT3wHckcWwI63iZ6gMgLE7W+AnLMn9YZ/Cym7OXnCAqBUN0jPDeGr2B8Kb8PghvShwb
wkEZBb2u/3mMKQY6jZkg3HyTaXGTcYbGFvruHTq9gfJ4hH1wHsscGdKfwAnWxSFcMT0hAgkTmdYP
oMfmGssTIk2MOIIrf3XF71BpN87jAfaAeSxyZCjfBaviICDLE8aRKYigb/BpdAIXkeBgtNefUdy0
v167kR7J7wH0SOLYcF6m1fKDWhZPy4PATU8oATAt+UaYDHOaSwGBsvmaLNmc2XfvVe8N1HcOsw/4
OwWP7x34cF4H5Yerp6DMDkHTGFh2wrGk4sek36Jp6ARyKQhjAmmUv1p2wP+9qr35BuwcaL93YKfo
sb0F1TINynhZl/88hzOtE06RBSztlafviLIRItQ0rZFrh8TjO7R6A/vtMfaBfVvq2BCHybXQy7wO
0oNALiEFTgnY/++frcQZBjZHIPaWux39+5R7A/kdg+wD/Q6xI8MeVkaWzapYHmKyixMsOWRdrLdS
amDtBZKQHh8F5e9Sajfi20Psgfe20JGhvXaj02KZPgfls/7pYf+BpS6w6xa4dEsI8WZsDvMfondz
h2P/pdE+1mc33Bs39muYPSDfLXiEsDvByjsEpSMnsOxhMUm2onTrBHNTYGGyH+/Ez/ftR9p8/eD3
1ult0DeH2BPwTaEjBFutinRZvAQHybXSEwzZGcD1lcONHTq2wKFTJK0dU/19ir0N+45x9sR+h+SR
vQDXcQ2lF7+M4I8w6p8w8vJEmtxixHyN4bfqGRDUMwjJpMk25/r+Gu1GfCS/B9IjiSNDGGwnJGvs
oh4OgDI/kRbUKyD8mogZ23WoWkFEgLffWix7l1a7kd5xZ3ugvUPqfwHif6/ixm2vi1v++Dmndkzl
d1YmAV0jjHIOybjdeZh1Ng5DqQMsie/y3cCTf5VTvWleflR0bZUm/VV24x5/3OLfP5T/dWVHa5aj
VlA7dQjqxU8Eg2VP8pNgbZUe4ROKCOJQfPTz3fmTe+2v1ZszdXxnO+Dc+BEU2+14HkeH+HMBRXzp
QRAXJ8zi0oT06Y9pueWBAXG5/mP+WFUZL5os36PbW7hvjbEB8u7qwrvt33xkuE/iD44uli+HmOji
xCKSA/F6Da63JjpUmkoJ9Q+wpLb+jGB/l2q7Ud8eYg/Qt4WODPPbAFJnZfCyOgANM0+kQMw0fyD6
HdONihaIskxIrBE8DrPepdRutLeH2APtbaEjQ/uVZcaHWSAFOE1qSRO9ZtC2aDc+gewapoyOgqt3
qrUb8V2D7IH5LrEjQ/06Xj4fpChRnAhIkYDRfuXg4zQKwSfIolDmQl6t/iaH21+v3YiP5PcAeyRx
ZDjf+ctyHVQfYBcIs6BoWJhvrYKQE8iSIgEL45sI76/RboRH8nsgPJI4MoQvYGvAP48vbAwgjFlQ
p/Q6TcecfF2tBvkSqCsf5UP31Wc3uhvSe2C78f0jQ3YWr9JDLF1DjRqB/VlyPTM3yBfkwLAUGAoZ
oIDhr3Uqe2uyG9RN8T1Q3RQ4MlgvVsUz7Dn7x00ypL9MxCX/NWe3uBY6oQJ2gmBrZxi9v167UR7J
7wHzSOLIcD5N+0MYZkiPIQIT2ILSku+f0STG6/oEyTnQ6s1JvK8+u9HdkN4D243vHxmyF6v0RT8f
ZhlyvWELYLUsvDuHTcwTwJ6bpgSP/Fcb/S6ldmO8PcQeQG8LHRnaEA1+uID9wYeYzBZYZGpBfPxa
TDBmWeCRgWXBG0FHya93KbUb7e0h9kB7W+jI0L6vNSw0p4fIfVmQ+4ISAqgJfGNqIwiZCMaCjPZi
vken3VhvjbAH1FsyR4b0xRJaJByEhsFKM9QOode89hYNIycM6kxg08DIQe+t0G6MN8X3AHhT4MjQ
tWEalwdIfMCuW7Iu7uT4R10v2qr1hkICKCTicpzR3F+j3fiO5PcAeCRxZAh/0fEhXLI44RZwa+hg
MiLWkLmECxbG474m+yqyG9YN6T1A3fj+kUH6R5wFB3G9ACpwLJizr0HT2CZDNsuCD2S8Rm0u9tdo
N7oj+T3wHUkcGcLny+gQ1ErCPngTQy7yrQ040JMIM8yh1cVm1LSvPrvR3ZDeA9uN7x8Zsvc1LCEe
AlsOS4ho3WboDdq8zkTL9SIi26LN+2q0G93RHe2B70jiyBBW60YmByDMkI+Gai9wuG8YZ3C8DOr6
YPvkKAjeW6Hd+G6K7wHvpsCRobuOBjJ9EMr8PcsBLePE6145gHFj3QFmsOTUEtCE6mdKcyOz9Q7N
diO9dW97gL0lc2R4/5FAVdch2hKJE6j44FBMDVRqA2YC9VwWgR4Xr5Z8NJv3V2g3yCP5PSAeSRwZ
wOfLslwdIMEBDSChpRgUeLzO5u2ecbABEi5TSHGMyda+Gu1GeHRHeyA8kjgyhM+g3eghdsQA44Ld
rbB5+TUrPS7MBHvN4Rr44xHAeyu0G99N8T3g3RQ4MnQvV83y5UAZLE4s6ET0msHaVaIFzSyAjo2C
pf012o3vSH4PgEcSR4bwGexnPACfZlBC+51OvxbZ7qBbCAsJzQPH03dPfXaju3E3e2C78f0jQ/YK
dqN7h4iVTCiJh+JKwd+IlaB+WjAgWHxcLb+/RrvRHcnvge9I4sgQPk2yVREs4wPMX9h7DvvO2bpI
9vtnbJ8xgyZjDJq6Astef0Y8+j2a7cZ6a4Q90N6SOTK853XypOOX6p/He91QXcBuNrpdjwd70jmG
2nnyWoW5Saffo9JuoLdG2APoLZkjA/pymR2CdEE9LXTZpsCZv8/Z7aAJKj0gZkKQJNlEeV99diO8
Ib0HuhvfPzJkLzRUbR1g/q53JyLoD/Bza/lWWS06gUZRQKfxKEG9t0K7sd0U3wPcTYEjQ/ePGPan
HiReAkqFKNjgnx16dxVpwdS2+GjmvkOj3QCPB9gD4rHIkYFsazi9Y22eD7KpBTY9rAMjCX36fuSh
x8vE6wJ52KbMLDwq3XmvXrvx3jnKHqDvlDsy5GGjB3TRXx3gQBuTQ8UH1HyY6K0zMPAJhyMwuDme
4O/RaTfiWyPsgfaWzJEh7aziD5caTk86iKuGno2Q2lzP8vVny5RDk26oJABTPrLl71JqN9bbQ+wB
9rbQkaF9sXyBPo3/PNQwq6FLI+xkgkLM759xFgxWo6ClPpRf4/EGtr012o3z6I72AHkkcWQIn+vy
wx+QDYtXh1iroCdwSBUxxc+1irHLhu0w68a7ULf3w7qPkiXvVG434rsG2QP2XWJHhv0UDnA7yPZU
vj41A5Jg+O3G65Zg8AeP+grsr9FurEfye8A8kvj/gfDbp9P9OunPWVbLyfczAv9yQN3fX/3+gOBs
w5Ho666kHf28fvnU05ffP0IexGSIQbD86/jB9UAbe5rWx0L9zIZsyqxgW/vvH+GwQWgngCSFhrvr
HJq5btfZrn5dAsoGVfiWaULC3ILfngKt8H//CDXcEMtBjT40GoGvWGsPUOr6+yUBhYLQBhL2NRPI
s1NT/DrC8VrHvafTX8/k9d8f0jq51kFalTAwQh8/ZD++t9YX7g94pYXh/DTY5AP1pxhuN3te3q4X
buER/L+4KirU6Q5dVaH+7MqUzXhkGmfEqDMFW3GzG6ZbPa9TKi+7yC2nWgfYrkq6KDRLVZt2uQqo
ZOdFMdSKiqhRZctnTVvfxaLLLqKS2kGZMgXnRpY8DiYkaecmr11n4O2pdMU0sDLkZIE3q0s3Vqns
E9tq6UObFnMa+Ol97nm17WXZM2/Fma6zhwLTzKaJGSju5c9xLyNHlzRVedvOu6zrbG/QfnoDh2DM
cEjptWHyM5e3clK1yLWT1nAdAxe1Hcf5de9WS6v2nt1EtFPSp2ji9Vl+KlKZqFwbt1Us4mtZFVgl
3JcqNgum3N6yHDfg1PaMIVKp21/7HS0mhTRfyoDf+Cy/FFXgq8yPPgfEvK+0zBwjJKssYt3EHbyH
okknQV6e1tzwVTLguZvLF4SiVIW+P49kd5Oi8KLk5EuSemfhIO9xmFmKDZVWBUH3mRUSNQAIlZ9V
duy6qU0qtuzrsrNLq/ws2jpSZRZglTPutBRdi5hix3eDm0A2WBlJK9pF36PC7tPsGyqyBeLppRiC
s6bX3qkZlrc1l4XqGGrUUCSlbfFYhTw2lJXFjjVEncoNo84BMGIVSlZxGc2FLpJJkJbiSpKsn8Wp
IKrh4SlOc3nhlcWK5A1ScrC8G6OOkBoC9ixJE13mPfkWa9ZzVXCNHD8k8jL2C89O0yJSbsQ8p2JJ
NE3jNFt4kb7ykyKzUSyuWkNXNnTcQ8rr9bckoqYqsV7UBbnMdJbatTkUqgpooXCtU4WZMQu7htoN
rr/yzP8URVENDR+lnRM/dQbiw3Pz4OHGaaiVKIdPVtAr7OqnxHNnNcTeC5oaN1hk36jfT2q/m9V5
J+w04oWNqsI85XF+mvFk0VVsQj3zqsfRFTXrzpax5Arp8BG17gNLjHJeRVLbvmE9FJXHQG1y7mak
VIaoa5XnSahqhG6TvlqgNpjlUXgbBN6E1/GXFhVPTBbaxhEunb5sLkUR1U7B20JplF4wAQ+XUWPR
xCadceQm01r2kZN61jnK8bMgg+mUVf+YmaRWDc6mWTmYSldD7vRdcxq5A7KbFF22cfvkw7OecDNz
7ZQHudIk+2ym2YXU5YQLPQ19s1SCuM8VaqdWkSfKiNvc7iyt7Sisz7o+yu1expGd9uylatlFm5NO
JSI8z92C2EGWRHZEyCz0y68izM+SJH3A0fAJG+UN6BergTIlW3lRdGnsgMKONzStI3F0IfKuU/WA
bktpfu0rmV151I/toDO6hRH1xqlO2sJJm+C8ifI7WhsrP4tuBU+ZnSU0EYqabnnqWjDKUPhsnlh0
Urh57YSmEZ8mCbkJEUkVHJ/C7RyXgzK0FdmJhpe4F3FjE8+6CnUZg3o6dlw/jlTndTch1CUpl6Fn
MeDQ/usBrhsW/FlnfRF4/us5vL/++Z97ncB/3090/fOH62N8//zXbKXXLQfL8ZfWfvbXt/48FXbt
134dETvylj/OAn7Dlf7txff5WaBBf+NnYSvNDj+7pk5/+lmIo+Q6WoLYma5LrX/5WQKH4EBDCbSu
+rPgr3/6WXCmkPcWFlu7VKjvhXD7Tz9rwsoWF6aQUEkGnUbe42eJBBo/8rMCceD5sM3DIgLWTzf9
bFW0YRqTsLvKKtdQmagcyy3uK5L4dkj6yhlwqu+DBsdXpEqSu7J2i7mBcD2vBxfbuO6UJ7VbqZya
lyb0T5hUcdLZvRWuzIE3dgX9KM/8vHmSdZvd6x5mZ5TH3XURFGctKeVM1q6+T1gBXq5gdhfI84xq
7tDUTOyWCa3cIaEzH/WFKgc+T3vUzEthdJP1ZtRpFt2zITJtgnPDNmIhnI43KjHqayMPPCAK5gXr
rNbuaEgc3mTBVRx0iU25/Gog3s5lKz6lAwkectrqCx887bQaZG0bUdrZGB7MVYCFO+1QJee51uzK
awlXVSKTeZtZ0ok9U86zdKiU51mfdZm1imYh0IU6Oa/zfhZJ40sLXFxVuralZqHNfPBpNZ1Elocm
xGsWUWGcNVp8gmd8obWbKVTpSmleJyqN/K+socuOy04B3Xn08uixYGk8yXyvVa4X3FUUprkZG1yZ
KbZs7nnzaGjyucGTlen5sepSvuAFCVQ1pLWSLAynlcG8qe+2SKVs+ALwh7bk2Z023Esa90/gbeem
G2dwJ+aL25fXRpk255EQhSqqAU3yVlyagwQD6A6XTAPQVdY5ed9eR4n5RMzicWijZ8PNwOj7/iKK
uyveuj44aFwp7CHwJC05Xecf7LjuSqf15BUTorJJQue85Oe6S8REW6arGPa/ZN5wA1uDz8Lc8pXR
DYZq0kgqeG06m4s8Eldmj0LzCRgr60+tqowmlu+dGS4dErvAhefErCiVb7GVUUbToBZUYaOf8sHN
lStDdoGaeNGEQaEsloaKJPjctFio4qYJlYuw73hMBLOeRRORY6FKYyC3BWON3YgitakXPecko6r3
g34SJH090aGcAmsKFY8GeMhB6Z4afZnbHouw3cK0txGO56aX3cZp2jlNQE87IUuVRQm6T323VC6l
c6zTThUsbJUleeIQt7UHilJl9u6q78k8MAQ7jRi7Lyr3K0nTyrZgJgCdvqQli09byrhK2hopK+an
hijolVX1WnWiqOwMB3zaFfSuicAfuhU7R0Gb2TLtpY0MtijiOljgXp/lNManuQ4ApUrasfm5xO6V
0XrTdrC6KQUCUOVFENkyKWZlH2VAd3xH5PGTH7Op0BkYAJgmWWZ18GCTr5lfLmA+ZqeRYQknDjC+
8tvMdNza8G/DIPcWKXB1VQv3sskNrULJJ6SXA/CeBt7zJkmVm3U3PS5b1edZtMj7QaiaEHeO8opO
RKnprPdc6SADeGyWp2eej6xJ79XmouTesMhDbMyoztFE59kNN2QxHaJ+YSDvc2Yk5jUJg84Gmxid
GhA/2H6ULQyztb3Ocyc8zL7kVuh9K9PEkT5M4xsrDFdDOFQECKdZFer/vOqP6BXc4Nte9ecG+h2e
db0Q/OpZoZgWzpOBnjxwpsx6h8RfPSsUUsNWcVibIJTD3jYIbn9GsOtzuyGshX1RXMJXCLjqn54V
DqOCH1iQ4V4vSMPhwO/xrJBS2fCs62MKoVsQRMlweBmFcPi75/1LBIsbViSGTpKrgfkLE3wAbTRT
XQR0Hkj8tIGVExW68QXN4mjKTDpHNZ4FWXXl18YpGGVHtuQmxQbECnjRltkyqukXt4ztKK0uugGf
e5LOB58XKjJ0b/uW96Xs45vGdaMJT5KlRJzbEA2AlYvrzB5wG58lfQwxROQDNU6q9FGb/llda3EO
3vZa+BEwRg0hy2AZdiGjJ26wqeliCCP1VQaWSGUy/Nzihiud8ivBgJGSOrJUhNvgqub6hWsdKtb5
lT34FreDJsKnrBfnVWWdmm5yb/bdqqfDRUnlU+yW923faCeMvRm4uzPO1ly/4VdMW4u4isF9++zB
NAxn0NXX1ufTsikaVWAjV60U11QWZ3Gir8I2ugzbcJoZ2LVr1gZ2aEE8iAvjEaxSpvSQOYiF534x
AJ/O+jNTRtVpyuJcJdGApz6XydQI5dfOSq5ZU5/TWujLLL9B2pwmUTDpLXwFJ55Ma7O77XGjujAM
lFngpYl9O4iNzw11H+GcsymvIUKSTcvmZpw8BX39kBnIdJIBol7chZd9A48uj+ob1LmdU0Y8+ZTT
U96XolKV8LQyc6u59JCYui0QgYTx1u7r5s7vwwn8PZgGvIydKk8/1aCGmw+DHQVGp4C7zFgAEXEh
sK1Rf5Y3gEMYGpYKkYgd3QuIDHrzNhD6rG3dF5pnoQo4vweqdWsQy7SNip/LRLuqZpZv+1keq6Dw
bw3mnrKwoudMV77q8vBeuOmzQIGTuslN4kcvYVp88iSqFZyoDWYSbmqeubi1peEKBT7as2Fny9Sk
VacCy7VjHUTTLKidASgUULcZos08ImY8Seuun5CyXgnGMofyvLGRlX3WOplInMXnPpABO4/LwPb0
0Kq0w6Uyy6KDuNTCaujAtcFJg9nF0BcP+RDdulktbIpCYCGBgVXQATlMauBAcaHPkO7icwyRey3K
zwG3zqHN6m3a6MC2ApnYBh6GWZKGNWRRinYq+xTeTJN8zdL8TjQAPGs9p2fDJardF7cxsGM27FZm
4rZu3XlrphDWu+6pFRlCMXjpFbQem3aDiIGQpFQRLwJn3xatCvOisY2hX3rmUNqsNDw7hieqKqNY
VI3hoIhPcG9lCsdJcAXFq7NgIMmkj26NUGHfparxhiXElMuq4fde19xHMXbqTlxD6BrZrTdQuyVm
qMzA+NQLI1VVbE38oZr6fcMXQZC3CmgZA9gbT6VGvwRc+wUQiInOgNNE0HLFIQZdka68iJFxAUwY
UkSiTyeoH5YaqGKfVczWPOkBriBTfWtZqi90rUje3iVWq+28rPDMJZ60oTsE6NPEqdPW8AbCz7+R
uOtVz2JXRTSwlIiN27xGqzKBV4LyJFhoy3rIivyyjP1GQepxlWXoyjLaaRl2XBkkppO0tciU43Dq
o6E4dzGadUAjnASe+Fmewk1HKbxNdZV+oUmspxrYveMFQtpNU1AFycu5S3k317hf5jzQMwmmkUbB
NDdrw/Z9ejFU/lUZm4liFhJOH5h3bZi0yqP6Oi/RLCzofTaArdT4Dns5sfUAZBlpa+l52SLj/oLA
zTltgLhiqH4w+IBtF+jOJA6BYxYMXuqodL80fPhSVPmtX1Jv7sXGPAtxPUnAwCla1XeZwIlTRICv
aWhHmEVrt5abKi8pnsIiBlOR2dqXV2DoZl7uJ4rQ8r53208RqR6LXJhOHNWPVA5ojkmLHTh50T8b
yrBxAuEzu/fjRGkv71WMzdOiDO9Sbs6GrNaOG+EvbdRBjiwOpyyWoS1kRJSZcSUL8qnhN225GNzP
bXBGffMmDXMFvck/hUbyEJgJQJNWM57qSwL7KO0sxuUchXyFwdBPcCevm4DD1KaGOzdYHyuLD8Ek
toIaMrjU0bI9L7P4tpFkbnUxmF+g2UOP71IGkaXuBxV49SNQ21ABBVzk1WXDe1WxOlCe5V3T3gyc
WMtgRvICwq8ieMT9MIvjIjxPDTD/g1FcyN4ypk1fR1Oz6kI1YBPSdZkAtNxk0mbegklh2CUX/qCw
9mSu+tokc9rplQgS/6JNK4iWPLDY1mMIyZ1ZUQUWhFz50F9iHwW2XwLOVg8BrCeqSRC4tgb7tXAh
2LzCZqGv0GAMc7es6Glj+Zdx4QuxrGnfz4auI2CPRT4B5xFOZe5NE4YvSMZOwRotuAuvjqAEQjNj
cIyCmp8gcQ0Wosk9RUtj7uf0ktLSm6c+WkGktHJ77wlcTgjxSjfvkeEkwnJIhODWQcfSxNqJuvi5
CyDryzx/RhCkHSvXBPPg8c9+lzSzHlfhpM39CSSftCJkmPLGCGzoIXDmwcPOniq0wNS9jVxrbkCw
dxkU1pWZda4d1Am2oxg9wOMHL47jVdaFiwYSVtMs726Kks9CUZYOM610mnYosvsCZU4A7S8UztvP
adUVdhffMdo7PGYPiYRceR5Wig8RRDx8WgTxdQPzRJW6m+Iqu7c0fQbjel3JNrUhdxvaAc9vsVFM
wcDhWUsLcNm4vEx9iJEtSHmnHMi8DJMrSxa9ily/ngQy6idFV8H70Hqx4/PBh4RwOUm6GLLpnJYq
0GQ5lJCTi9t2ZgUhGGfBLyFF8bkosvPOii1bJ8YEQ2zBWgHZ83DatBBF5s0ZzNy5RTiCdQL/IRvK
zA6D+KLF4GojfB641Zkb60eW4c+tG4GPSK3HknQXurMauw2koUIDw5II8z4lPUptDBnCIVgUtLjo
PG+atSRy6kBA9j8DH23whzprLobOVygNnmLKFnmEY4C9P286Uc/7oq8maccvEixSmydgCA1/hljA
nZzReaTJeYuGs7owTQhnh8LmA38M2yS5Nl00OF4lDAjvC+I0Ph1UU8sMAl5iKpakvZ2VkMgUQzEv
KdFOgcInqwUOI7r62spKcyaLRs88WZbnSV70dm62Z3FoCTBK7iyKXWMmkzYEzulWMLlYLAZ6zytj
wQMrmXFfn0pgW5mKMzPkamgkD/4vHHtdTISs39+FY+t2EDuCMZD6FYyte7RhBKEVnECzDqz+THNC
nMagRmx9EBgQlI1gDBaj1wt8CHKgUCgKlaJ/BmMMavuh8wgsTq6bnnOK3xOMwUHxG8EYQ/CLYfvP
92JjCnnYdY+ivy4nem6O8jTR9eUADBRcSP216FtfRVFlKcj/OH0RPzIMxrTX7kVQiNZhuC3tIm2u
k1KfWhKSoyUjEJM0uVMawZlfhxe9BURUk+AOkj0vDWoi29ANcG6jTWy3JRd6gGUHF3HPTsrsCszZ
Yzvwr6Skn8GM90r4kk7dGLizNIZpTA0Dcmu+r0gBq1meUaggCz8xkX7Nev3Q+AGBlRAwDy7nn4oc
Ipgufayk8eim/ZnPwcCawUUT+eeVDr6WWiQqkNZ1YbLnWHpiksCNqT4O+IwQWIfC+guYi35CQ3OA
YfsIqHU7F7J96ElWTLyqnVI6VA4JIfkBaZ4YgkzxkvsNc0TMz8sqvm/TIbKFxyYsErc6kC95Ka8D
BnSO5L2nkBdWE7dtL0XWfIYlxGe30l/cnFyVOn2mkIG166jwJjWQt3kJkZeXyXkAgSkNva8xqZpJ
FovMaTkEpW2mn1ssLyIDEtJJD7w5I+bg9DSR0yBvClti6xwSf4ucuucpWOghyIppr9spKtqFJ+Xc
I+y2H5pvAQ1XVlLcm7Cu65rD58QbEgdZoCSAJBGsoratBTwVgXciXc5veFNe+LL7FocSaJCBZhq5
yK6LsFQJIo/UY7e06l1HBNE99ci3mvDmtA/W4qyup7DC9hmy0fNS+5mCWslpXdUBZLuqcMZ5/EXT
MJqSrL4kPkMqiKwY1nOAjSNqrD3aFAIgSCIKNMsrXysvyhpVZ4BaUpHWJrCEWtPAVPkgpjwoy5lb
ZmeBm+SLIYk8pwjdHhzWcGvFbNambFrnNLfpAHGZF0G2E1UdVgL4nxPX8MYxqzVsMcBL3JeAYUIy
b9IWw532IOiuUzH13GbqovpuEOYiaCNTWSROVZm7nuPFYQbGPnqudPdZwPFXwOGyJ4R1oVLt2kUL
K1ktCuY8LwxbG/4cpUboGFaU2gjpGe/RDKOgtktkyHnltz2k+sQqCfNz0elGZWWYwTJ2dcq9voeU
A6xSe0n3oHO2cEkRQBwBzJWb1VO59jeowFzRIRuuk46TM5r+D3tn1l2pzW3tX6QM0QpuaXbjvil3
dcNwlW0h0QiQQIJffybJSU7e5ss3cp+7xFXbdu0NWmvN+cwFun0XBSk/t35aB0XT2Bc/aaalnIiu
xTPehsrA3WDclrGIgkNcdbT/xubWqCI0A1SJdGp1nXtJx+5IVYsYPYeo74LR8TcxD6VucQllYR1W
N4PWmTTxnCfWZTTip5ql/LEeKcl5Grl72pKLio8iKFG/A8xdSbsVLon1eJ4ZrSAPCGfQSlEoCIVe
gxyqzb1SsRuPELn918ZSKq5hN884Z9rag9/BflI+zzJv4nXqtsxWKt3KqgmjEY2mz/g3alir3/xq
4VVRB/CSi5F2cfW9iQRmG+pDpsra1GF6+Ee9/E29RHX7i3KJ7ZjCrP+lXuJlv9dLAPE44yjCazTE
s5z2ldN/2ILBLzt/GUReBM3kD+Uy9H4BcbPvN0a/hC3G+5aQ35VLrIHZqyhWOaXRr89d/jvFku05
yH/1BEPUcBRJuIVYvBpE+El/Lpakx40zjrq7670hDK+1P1cCE4+gXQT3wfpp5tyyJFnLhp/j0n3f
1FYfHekfMcLVWcB+rIuty2HmpwkW/4jVdZC3ohanFbuhxhtzIuc2U4MLoRClSxHBNMAxGM9ZPfAb
QqoGkzlERFmpW72aDxLDWIhS+xEORJU1Zsg5hYyiEnHpwg2+QCqvyTDeTVRFhcIlflObeClMhT9j
6/QBFgN8yjz9WIQ54Gxcj1jC8oM4aH/WeBlz/MSYuUE9G9ER1PCdRvtmE/LUmrXNZeM9BpF55Xj6
3hFzIPAd2Km3XKyqhOtroJ00E1Qa/s7Ypo46WpYsSad73Hy3KoSQVm/+I/XYmNWzuHc+veho9Bma
7ogJ/l2HmJl91N+JkNwl/iXOOfzt9NTR6XUOxFm5OS76hsNdjF9T+SOwqgCJ/VOn6c/J17fTJl4i
5X42YQKTKEATjtH7Dt4QZsLInrpaYEQwEEE2MvPD2ohHLYKbeSA3WzBWuaToK1a/RYs+Jt1ZenqE
7Qaxz1IgShE041FXPItIzWCCeJeyjvlRkjk+jLy9rqHVwHRxT7EmF74dQdwwc5EoTJI07W6HFRYK
QIvkPA29f1yNPSaLROsv5jof1jY5NqyeCkm7pYyXypXR7FNoXfhTBodr4va5StihFfNdTOdbqnqb
E5KOxynsc4cF0KhkzdmPOAAHYzHw2m3NYjqdOxJN+eST6ogbrcqtWi4pozc1Pgr8TcglZHqIl+jO
cnrmksFJ9OUxlOqpM+Ep9Rwkoy1+MijjtOPPWplP7O0hebP5KotmCPfLmNaHZN5eoXUMBfeHi4oN
L2SeddFq+0RSg0LU8bbcWjKWwdI8rsRfy8CPoeV5III06XKhhutwTW+bEP2SWZ2fJcpezW6xpUPh
u2W247hXpqSQSvh51aQnayAxN8Hk3k01yILqoSqCSZMsaOTL3BSsFU+BwUSXpIKVuNeKMFxQjQwz
x14bjPR2Gk7O86s8UPRyHew1wKGt6KQIio2Q+3WRdbn241Ywv7sRPWbalTho+UGAyZtv58qp98aN
dL/WHsPggqxfDUWfS/j0oJguIXfKoq5ZmYTqmcbsi3oUzgELv6aNvqU6vaK2vRnW9dGHuZNB86zL
GFpEtnZQvrCatoVxm4n1nKjtIpzTXTOF8oRrTwJ8CvMpWb98PX3nZL60yty3A7mGcgFntwet0Ljr
IF3g3aMbz6Le+pncia45rZd8MuYLHl+Xtc76RevYuxin75hQKNQC0mS+AjTobBJfmBlqko5IAjU2
fMWpO2Yorjpb2vin8XYDOfYF9LPkUpPJHblGq1dvywVkEtA3E3+Ia/cuRcSzIWzCgxk1LHtuvFyH
4ynuMEvXYstN7R4NTJTcyb5sXW2LsRF+2ffRhJtO4ZZI4ut2ErJUrrpRbQCzea5czgh/rKrwVg3p
Y1qFp8CtSR73YATmtYXuPdxw7o0HzOLt62ShLVZ2uSKU+TlaGtzYkXzBnnxoJouF8ZRaAIN+/cP1
Ks7QT0KY6C9woD+soVpO6BTgVPjz/RAufiaiqFjg1YPHEDxfdBBmUay+VUl/UVeQdoF2XOl6uRcR
uEdfYvgRoLCYmrwSbTleuyyPUSyTE1iEH1pBX0+Hqcr83q/zWALh4Bv5wkp31It6EsckJfd4VsSP
OMC9PbYMen4HHa6FsAFhfutv6JiG2aTGV7RmVW4SiIfdClU48K3KapiAhcKZHQ09PUhBzQEd3Y85
FS9qwIVkq/6wGg6pHh95hnI35TYImsw4yg/wB/GeQpg8BwEwER520MvCBjdN1OJdWp7qtbm3qIm5
kYBURARBDautId+TFZdbwqC6SHwtaUF5DWSzRRNiYCQBgBYLIIVTazPSxE+RWY9Tv35EKrqTfPh0
Hr6dDuVrHBuR2QlmVzz3V14Qjzcs2sDQUZcx1p+o551NO0x5uPpz2SRUvY6tbM96G58C8DBF2wcv
ZA1vjTAfdmwPaSWfUOzpJVykHmhMetaC3zIxfku35hQQWOqsXlzWzhDv19Ceqgg9fr9qmHKhxa8S
LYXP2E/hFETDSfF8VMOGMSt58DB0lFFUh1m/ub4chk7gXpmrM53W95jgYjD14h+aJvnmetZkSUUu
BOfvk2QFb8CaOjkc1ajwejbcqQYoKHxIXhIv+jlIF2JsEm8hhT8gx/iOzvGzCuNjNbTutPHgS1LL
cMZ68Bz8qS4T19eHmLVzZmLdQIdfcfnJHT4Ra4ppyXuLgSamUPjLbcAHOxGc2vUa8EKy1eYxke+0
968bYevciErm44K5amnxVpvpuG7hDEsWKM9Mm5PkxuUigcNCjd9kow/kVUHSK+M0+ag5zLkx4dNh
AdIFBXBZCthzuWq2/VSNX7qEeyCHqijvRvKtnuzTlKYKxEiaK9tezdqLMj4DjeFajYUf1o8mZmNZ
teY881nnHU2fwn6+461N80AbW3YDmfMxxv0ULObgOGmh7fZngs4JN6SkcIP0j4F3d85HPce7hRIi
T2NMAZeM4tMOsKOG+Cum5BsJEhSBDjJjkzZfTHd14bf+z2WdLlNU8mxl0U+9sOOYzIAZuXdR9UFf
pBsoVhc3L7wDnTs6oJTJHOewAjBA/qAJv0JjEGZJCLrDm+XFEE1ePsxS3vhCnasRhkySNG+cRDBA
rfzmTUmfDTN5YB04Vb9T5zC1Lw49VxbX25CZQfXlaAKer9EMBb4Z8c8JR5EldgpLpcLLZFR3SQJ7
sGFjm+O++8KSpy7DNeNK3gQHusyvw4Jbt568+5b3U45r4TqIBYTQCPbh3AyPscBnhHRrgPbS4Zye
+mug1f1hisMLLzE/Zbfq3BPmZXRgrrqZPm2tuHBr+80PSVdYjSOV0R/LAjA7sXATU8NsgU3sV4Oe
Dj11SUZXbXAcUoWrVn6m6I3rJYa87PrPrZsuthRsEp+2s+/3rxCYC8Pk07AMTa7R5bEGRx+k/jmv
U8uOqhX4JWd2pG76imu0dEy5t6BDz7dID561fJ1Zf64qDIRN/14lzQ9p5tswHC86YbwC0/WhWnpU
ymA8rSN7cLVXuqjjMJ3Vo9Ng3sL0nEYEk6S8M1uQr8KDjRfUZV21pZiWq8mp8yyGvAWp7V9o6UHP
5cxv7tt+i19XJeLkZiTRgi9EZliKNYlh3g/k4p8Z9LcZFArnX8ygn/V79/5fRlC86o8RFAMloFMs
iA0gsnr/NoICDqGI5uORSViJhQHwf/mZfYdhhMfXJZBr8ejpX4Xe/5tCMZ6GmEOB1uNFfy8BgqU8
/zGFxnHk7T8LtTb+NYby5ym0b7GIrcWvcbukdaPBPgdPPKIn2ffkYm556ZlwyyOyrFm1zGdnVxSN
zodfvqQXJmrifAgC78Dl+i0hajzOsgOX6UHJhFldynn4yX0HKmczs6ugxqmZFAGZnzVshYcVpusx
nuLqqg7X+CwdK+LRD/KBLdN15IczrDG/Pjjm/TCV/qJQ9E6D7W8mX3oijxUgROFm0CLuni0yvh+H
rs15Y5OCtkAQpiTGvZXC6OdQrLI1HVIEOTpUruYg+UxOnmRVKbvdEJ/Fh9f7bi70ginc9HIBJImJ
jA9blZmg4fCoeu+28hEMcHOPr9Vpf2Je68HZd/ebgEg3QQPAT4Hot0FYyKYgGYs0sNctqwCK1xeu
909m6kZ8e//d4Ka/jDkAFGWWKFsq+aAiDXlJXS6Eot+KA5hoHejWrfbEPleXyTzW+VTHVUkxNcPE
ekyn6TTUNDlH43Y32WYtQCC/gG/5qSZ1M0L4B8hT4+yM7iJTfeMLTjcLKH5p0q9pCM90Tq8jbXXh
axKDxA3ZcWjVq7TtRdyLNyeNBr1PvhxPajj70IHb5XvUp59Dz8azF9aggHqTZH2MtwVxgyELal5f
CWGBK41aAJhEVVjlc0NRC2ynFBBDpGAIJPCyU/2GGIt+gfr7lsQuV/CryobDkV65wOTajs8KFNGh
oy2ILmjHhabum8JH37b+EuRioSgem7fkSKaonIfz3aChUUImlCUCST/DwbwuoGc63sMCCLyPoWqA
L4CcuugrP6tIEhx4z5ZD7DC+bqPm+PE+Qh1Q/zJahR3MAW+MiiEMzmRO0yNPOpkHicKNoJKvVYKg
bvSPYIDHkaLhLD2p0ZHG+sv2Q4zfdk8zJXTIh75pD2JjKKZVmjG0H/kocI9gymuzRdVbUUGvCVoT
ZIC1jnyJ06JO3G2wVCc/6oGG9bdxk5wJEYfZRzahqOx1iu+pQ/M4jBYhmJUBDI5fGPQAcBhQ8wO5
FpV0x8bzcoqmQ/fmlbU1LRRG80zJIS01zNdcpSbNjOwPqhmufX8+YmZ+0nw+NyO/Mt3QAWPQufDX
O79dTuEMTILZFFe7c7dd628XCW3fai1uonjoIQtYdgZEfOWnmGvNcGwJZqBEr8A1mmbL9n674LWX
5IR74jxLceXPApDQ8NZ6GAwTq2GgetVTyKKXedK3PlI9x7pRaeGkFwPsDqNi6s2a1RwtLpnNEVMD
Gu14czlZuwcbVy8bkmzZOMwaGaMARw9ex7sWDL1pi0E252qbPsc+CEt/A4A9AnmgoJ3QkMRNluJt
zRdTv/hVcG8sDPlAzGu5SB0WzTLFp2akXxD2LkMhrgQm8My1XYDLeixoJ962OPhWVfjcp0qxfDRA
5BrpPURJ+uZVGNV40N/7xNnM25KvOJ2PZiNrNvZJBSpruZ/q+Vj1/rel1gCmCQfOnVwAEQNdyLr7
doTGzgS5qG37JCLTF3AXLuI1KRfegsZwfpTLsW0xptqmbAFOFButr7fewngAJQZyof3iW/VtHHiQ
rR5a6UDUw9HV8mMagN0rzIQ0sVsRAidD4ieklxYxt5NJhgOzjGfbuN2vmNVKskB6aSC6u0CUs09O
aTVcpmm3HMJhukDytUYVqDG8jN16DCyk+jZW0QHY02s30YPh9H3UThydX+8q/nIDEv/Jj5arjSm8
1BdluISHSfIS1P4ljKaT1JU5bbiIcth7MKZDegQy+HPzhuuI48x2aQB0eKclpk8jxbVx4/vmeMkw
YGR6nXMYoG8q6YHZgH12toJ6T0/M4DTl5oC5+0QpzqMAlYKJNimipm9zt7JvwyyukUL6bAwOShHE
qlxamGkUwJnZxLUXIHeFZu12Sjd+9EP7DKMH5GcbgkWxU50vPoxGKJWY7JYs3sVLChUTtXMqlajn
jNSQOOH5gvXcZU/CMExPenoVUESjfm7BOaVPHjNvchdNwaw4WDG4NKALezhBwNZAZg2qxB0nYNb4
/X6A+sB4k6gPvWuzqfSWot/12r6RUVFBwkXNu7a7pmuH+tLsKq+Bvxfsum/azR/VrgRTNn4EdX8r
ZarzaleLzVJde7t+HO5KMhjWpeDOQF3edWbcZWNeJdFNzSjusl2NJgIUGOTpNQLEwnBO7rq1hYC9
7kq2IPJ7A2k7siwP6q47gqg9oo/AZ1Atjx5QDEyEI7vYCDsPpkYp7qEMtGiNcuFtKwZIT9+mW1jw
tYM21qg86eytY4iRAvC7ooHocuiDX8DxeEnD9M0q4pVkhLrO+/i9qaMoGzh5peNc3WP8ucZprtPq
OlzqYy3CCArIXCdnipzeCFmoVTXyiYJCFAFStmwl1OOxvvqnj/61jw4RYf5/99GP+5Mbpv/so/dX
/amPDj3sp/uTZfOHleP9gm3eoNRDz9sz1jBafufQ01/AmsNeQfMN3Jzu+ebf++gEEX14Q4DHMVCi
Nff/jpvjJ6Ay/tXNwcOXfCDyfoisGQDFf0MfFqhrZiTpehvFqT5Q0kJs7KpovkrMhNxWqu+l4+w+
odJF2bhE8CGiCklKi6w0HJ8jUpsIT+8xalHT6Mrt0epFQheeNVKnWFmft2ugD75n0pt4D2W7BckK
PwR6HYeGgDnn0VEjxZ3usUOC/GE/QnL16u2+Ewox2j2kSIY934HcIiDZJe/3KCMfEGoUygK5S1AU
ZsH7vEf2ETHw9rwg2VLgX1HSPSBJ9qgkhH599hpY1ai5iFIKZCrBgnxaZCzVrsLtocuJxgTtPIKY
PEU52vZwJvSk777vP6R7bLNCfjNMqC1CJDr1Hu2skPGkId6aPfTp+HJPkQLtEPhOkQoFsfCdkuAo
97io2CxqExKkYYQjeEamdBuSD0Sl4KnDBckTf7lc9wBqtUdR0SF0WR27Q4qUarPHVRF3O1RIyDEy
XvfIs0p02RnbI66iRtjVRuuPTfg3npjwP8nwIGoOQUMGY3Kng4SsRzL3K+Ld+HkVtUs+TsBEPSTA
B3X0EdehqQXOZy5nLz140/a5JYkoI7Zc9g52CZuAWmm9osjNwEzCTqJXSOwA9ROalPXDl2Fur2cC
nWwMh3JBTYdD/VkxRHR8xL39ir+va/81M64K1kR9gQFNHTxq2uuk9e+qCTlqFo8UWOtwD0j1PYG1
lHmoGHndqjifgB2jYVfnxTfPUqr7mXYUfRlCdQm4020EegqRtg56JJ7je2f5i+kxOZlOX/IJHdRC
4CMlMS7XREcVeAqONOMK3JW1vShVp+EZ8gr85Zg+D5VEW8pH0MmI4dtkKlaUfcS5xTvIZo6Sot6Z
g+ehHREgfirgmUaFhTVNAy0/FCAkkK2iHtIFLuQhWjj+yCoQHBtI8RPCTtdmj6jNe1it2mNrYg+w
Yda+bIm9j5Fs6/eIW7+H3SKk3rrYP8EnNvmCPJzrAUG2BF0Tq70z3UNz8QAFM9qDdBKJOuXIeVJo
l1dk7WY5v0hk7wZk8GQ4u8LjSP9FHsZRDnkTeT1kEmgp9whftYf5UqT6AqT7ZAhiWw818grrDyux
SsHvH8UeCOyQDGxHA2dkDwsme2xw4EAlTRW/QYu89/dsoZTNp9yQNlz96rjNKJf+nkTUeyYxRThR
7SnFgIu2JEPz0iPA6E01DDpEGgH/fe/3jKO3px2HPfcoVHCNLMqzRCDSQzAySTtaUheVMSKT1Z6d
hDCdL3uaUiJWaTCAMqmukO1Ht8CgXqPvfjWbb7JmT2Uuez5T/5rU9HDhAU4Kb/1GJdCsok18/FMe
fyuPqBZ/UR6FbmBzz/+lQOJ1fy6QIVZ4BBG2b/t7YvnPrAOWiFA40mmAR/n+KagV7k+DRL4Z4WSa
xGD3UDv/t0BCg/o1noU4NcqLB9Hp7xRIjyEo9q8FMsQC2X2tv4+yi19lL6B/DmpVswaKFqs7N1F2
6HezI4TdlW2hBb6Di35Z9+OcWgrGDv4JbTtMI6BOm3O72y6iq/Q1KC10v0EwPkr4w6fIzfrGNtXw
gVx1d2S7DVS3bGUZ91aRDymxQdZ5xN3pqTO3o5ThGxLJ5uBVfpTkVeWBYuur/qYBF/eRIB25uhZz
kOfBZ+e1PW6QkJ7geEVv7cKmRwvc7Nromp1RABWqxkyagxet6jmYqclQXfxPFc3tawQB6sQjnRb9
UOn3JUhpCZ1GlJj9gS5LO13O9TLcIwKJiDV4CS74UCzWC5fbmvTh8lNpXoeXHgy41R2MauajBw2N
fIY8lfVNHbbzmI04ZqZbVmPuZtxz9WONWxYj9AwpejPBthN3KYHhSLEZAf6Oam3CQE8vgyUFMMtW
XMYEcZRMzDiZ5OKPXenbFPh75d5i2wbvK6YRlcGZ7g+8jqOLdY7XR2PVhnBOBHMAgxq95LapEQ/w
UnhFC/+BK0nktN+290rX22cs3Cv8tUPPxQVhShedh8S6jWCQk8FywHHejAg3YjOX3DPrVaPcUEQm
xY4R1ymChJTl4qA7A3UJGMyA/O74EmJEO7ep9xQ0Y30aCOIUNWoxavtkTrHU8WNSD93ZEJM+DXSM
b1wKL73z4XdlvolgpmqKBQpLm/4gIPIuIL0wmADdrUw8UkxmcceFEO1K246jKVwlhi9GlD6vQ9U/
xF6izxEFZco3jyFkBZPAQVq6YhL2oyajxLDPFAZVtl7pZlNv2+zIJS5engO5t7eST9VrsnX2qd9d
rFk58UiEG+7q3f9CxpW1RQ+kQKNTCD2ID2ltSu0iXXAAtbCUkMo4+Yv/mSKHH7bBBXM2uF/jKQER
qmLvE9tPtsMoUNDSQSNKb5Mo++cs/u0shgz/V2fx5zT9F8l/F+//OImxuo96WNKUAP8B8ogz9U+j
CkWKFiuf8IgiEGkYcP5vVGEMD4BM8BzQX09pfMPfRxVMMXiaDawAEN6YL/5eZBbPyfmPk5j5DOul
gJzRX5939a8n8YZpu/aVwDmLiGFWdZssY++74h80zbYIUsoU91ciWTCK2BRJhAFfn3x2i4DR7TwO
hzjhD+08f9d6yymwlaNu6td+io7jwB6CPrke0tFkmr0BOEdQwJlyY82liZjOOLgtBPMQ2XT9N0n7
EcwIBY4LHregYnhDXKuII/8yQhaz8yDg7FEgub3C3xvzzpmLOurL1EkGSEic9AwiRvbbq8fZydaN
yMPG3DlWv0mskdkSdYXh4RXJ5i5rIv+L2P5lnObnxuv8LJyjw5SSw8a2OyRPWIZ/2RHJ2zmHuAnQ
GDEUaCrQOit7NgK2JlnBQfXhkY3kMGlweWuXPI8W22wGs7Iz0qceqFBsUKCtyqUlJ0RJgbCIqTrN
GBpU6M4+8qR2iB/sANPCdNNTG63v7QB3MR6TC0ToXzAJXqLYdflA3TVIZJDSnJEykv0JQUWZu3m+
RM7oHKeQ0scKB7L3ofv+O6/mpzWJYBeHOIu3xH5vqMbGqjGA+xB+BgyOcxp5T7+uYwBzBv85rA5G
Q81Y7RKjAVwhsK3HJLHlgCI6a7xnnLfoxFcuY4SfJRSiG+OMV5cVGsIjWvjIXYKCX1HBB2rOKkl4
aVi6Fp5vEM0ZFZ1Y6YuwWkqtA5O+t8toz9JEvinihrouc4FdwxynMsaCNsQGiHocc3ie1908jiWC
wT/7ehozLJnwiwAJGYAHCv9laWE3/TOu5jBPm/ELzUacrZUs1h5kLvPWJcMOiAe2p5BZwG5IDcrE
+AO+B0WomtSvrQvf+sTZfHHL4zA3NYK0gyjCMfqQg/7yEaDezLRmC2ufOVbvZkEQQI8FsN1osIM9
EaW0JijDaIHFj1ENNsUprKe3pInMISBhW0ZV8rbusMIQxqDLmf3QiY9AbQtiee0MGgOhE4yVKb9u
ObnhaDBg72Mzg5MfIfZ1RB2ul57nUbNdxn1/lGq4XwLom3XjnoZ9oogVP7ZQBBki2hmn8UsF++sY
4SuJZ1/4Nt6LCnHFkOgrq9/6KMLCi5WoSwKAUhT4VkCnAdCQuAYGj/1ehNQ6bycHDt3iE5f1+DDv
68CaGvlF7AfbsCfMYV8YHi0+5W24QMYd12b6+U9d+a2uoAz8RV1577FcMEcE6L8VF7z0j+LiYQVw
4jE8YmVvyvcK8kdxwTMa4CYHKCFh+OtmhT+KC/sFywLjALUnxLq/vZf/o7jEvySoN6hF2O3w24rC
37c93f3/NwqG3r9HgEBGYb8RTcK9AUxA5v5rcWEe95D6jNStn0wtei3kKj27rqVzAB18x70zAnaH
NljPfQf1JUv7+q1L2UW3iEOSGkAV6obN41lG5HYjEOdDZJ6RT1NXrWBYQyCm55WCFgTDUcBWQr6H
mHJZm2/xBJeVmg39IUDVXkl27xBJ5Nm0yYGWbRJT6DSRpQjD0putFgsomnA51tjclTcIAGU9Ndg0
4KXlJqGqeRwnGY60rVIiQ9QJaxBj2xU4jG7cOsA+WTeZQ+uLitoZrJdZ6NOCKsbkWlrf6MIAfcpj
Cjc4mqKfMf6d+bAvShjTfSHb0qqMOovy28ufqUiTcq2woW5G2B9R6fq89WF1bgcZg291peqRicF5
2F5GEbFXlcA2wgprWvJwkk9i7GCEteAeJy5vFTF5JFdAbRuQyHj+NokxzttmfIoZvx1GD1pBYK9C
J8YDyOQZm176uehJu0cI6ZinE97TZpyvB+hHebOq9rAt5DhM0UXU+8+dXB5SiR6hsjLKNuudWDAi
5dqID9BX17zfbja/QwwcebNsltNra0he7axbI4YrCOqAVEHEw6XH+qfNGbiCFZbuKRmgjEpkp31w
ACa+byooZIHVtvA3Xo4gEg9Y9ocVQMiP+lTf+PCgwpEgKNRddQjtg2a+DLDtL+9CjcUMuGYwb96N
Iob52OCtocgdlyEUNo0zVcv5OKI0sqhuDiZVBE6DVKfG64tmIMdJkrvGKX0NUh1iEJZo5XMSP/ix
f53CHi+nFehr2MGIAPQFyxv5/KwNjS4lbG5kU6tSc/3Npa4+LLK/5mH1fR2X9dDC3eE6iDHd0Odw
HL9DU2SFhx0k62hi9Bz8nlvvynNdsXF3Ay3lA0v9hqJbNN5DHZ+RaAFJEUdXZta3QumRILTC2u0T
U2tzYrCF02Z4bpB8yZdtudRiC6Evr82FTdwP1dAHE00fybDm0wjaa+Mwv+Ni0PYiNehpqH+p2vpG
KHXhJKK6ChnfvmmKUcOUbKvZnuMq+tpiMmPrhcVqQTFXDONHv2yAjLdrPk766IGJwjAbORjQ8QV2
WgAomI6WbbpcWX2yW3A3RW+aeIDI5vSpT72slfxy2gNGnYnOtg525uJu3vxTtQg0NNF8j8MO+hpi
cj5wNSI4rr6xugOJd4WHjaE1SwxWg4oH7FjOkbt+3AY3ZfE0B1ntBFZNTQY3Ssf6Y8q94DAhnncI
mvjYYuY+jS3BseTXWIW1gjIgM66cfgAE3Xt+iOWcWNjiyCsL+y810Y8uwbqHULXPW8+vIu9/2Duz
3bixLGu/SqPumc15ALr6gkHGoJg02RpuCFmWOM8zn/7/jjNdKStd8l+ou0YBBWQZGhiKIM/ZZ++1
voU7a6orHR810AS5CSzXSqovdi8FByeNjsAwWCZk+TIvmRD3Vq2cRy2D2IYkTl7Glx7GFYKU6Zoy
qNppxfColBg5dPl+ji2aufXaEXLAfOJ5sfVW30x9eFdMTu+lI1A2e94MAS6Fqrl04mwv41u3hnBY
TXF8TizG7LGZbktYUxeWZHyyga5y5WEFefYWGJ66iQwO40utVD7u8Mnvx3jr5El/ZZXOtTG32ynT
41WRDTloK9VVoSSI5qHqGlbn8beikhF4VyeunyIYUatuBj5iZpmPtPY1dJ5jDgNtp12nvCfsAwq8
xCIDjGFf4qtby5HEpzikulsFVuMOC0CZcUg2VICWGyeZ486d9DXm16FTrD3DCC8yIzzBBkWR2MfD
XpcUTgK0ebaGOl2LCQIaAkpIALVebxdbZ6ptHtsmRKoxMb/0UlvbR0yKkGdbj3K7xDuWYwTvzBxC
fVpLUX2jxkiUIJus6HX0/sSYkQZr+5yq6FwknNONYeG2rmtopkbDXVPd9MZ00NF2riQN7RNKIyOt
TmNZZbtKGc+oVq9lhrtSoM1rw7T2Ze1sJUUab6Nl7tdjr76kTk9Dy7KgvFgJNgZEfv+pp77VU8qH
9dT3vLe/9kzFz30vphT9N05/Bu1NAxLeNwXe92JKMX9TZKwRtmqjmfrWGP1+UtcE3MqiCCNW6Y8S
7PtJXf2N3o9hU3IzcCRlWP+XeqaaGBq+xTOLI7qhUpgZqphgOuIk/6ZnakVIYCeaW8dJA6OwVlJq
r2MlZlWv8rIUhozbApAhe1AsW8u2NHFdwm6bEjyWpg6dR8XuYBfBuG2UwcLvaarPTDlaRD/BU6Ok
N2y++eWMGwvBtglAyGBdBi/ZHkvTfIWHkXhpzklQKdp4HfW9xhg/bvzORN815IpxWPo230lF1tWu
kqbAByYTC2dCf+tU0SJxB0iTidmlezABIKCrcV43BgqLrk6R5uVIo3JHYbHOFHh6w3yBWfJgl12w
z2NwXankpIAvGfm6tsoJJU+NeT05VuQBEFEhF0wpEFyr8uqJNR2FNIIYXXrITOVcmVNxYUX9rWIi
eQpyveTAZVbYQ2fp1CTm81igFKtLS9kw83hdkuTRGuM2Bx+m5JSoVgAhM5k/0TYOECJHPPIaUtso
eenCRX1A0i1fLRgd1gPIX89qM+qSuUSnEzqFg4IvUHxzlKULvZrkg4FpZhNHKitN05uHhsfdzsLk
JlcACEbzrVQB0y51mguyXV5ZJvBfJwB6SO6T6UUlGt8ltSCbyaPiQtSVDkrETAfPXWQ8DFW4qwJZ
o8ESQAzZhLkEYgaibWM254jPblDTND7OSlyzvYWKKA4SfhNbiiN158p2ajTrKlsEKotZvZXUPot3
YJmXCzjVzjkeQGJD97JLXPm8CcHZCTAlRDESwkFx0gM9VTEJW244ESqT95/V6/fTIOORD06DEfS9
nx0E+anva5eKsFiQ+WyqHtmxTKQN39cuVSM7hFMYY6DvwIc/1i7srRinOJiBwmLi8w3n9+e8h1RP
1jobjAQTGsv4V9YuQl3frV2cQUU/kxRQgyRf1MU/rl0oKMCEZHV2KWcWrh29b10FcdRg4WxEKXFG
typgs/ExzeihNbO9hWdQAS4Baj1M9gsV3RHYxa0udFiFUkOEEtqsNoSkYGtbO+vXJuKtfFK2wNb8
PMdbNuICoPX60BooIoXuS5si+uZUKBa2oK5/sWigjAjFmIZzaEE6Vk/6M7OxTYhuF9BZCVwizvtt
guAMlea+RYBWqgYSq8SXtCYCIT4cTLX8ZCFZG4V2bW70eIPh8SmjH6LK8n0kD8baCoJ+VQntW6Nk
MA8MO3J1s70wpm5Y20jlOiGZ0xI/jZKbQGjpJqGqG6BuFooeui2Cu9HM5W0uNHiaUOPR1AM9VDAT
k3Lr7GjZV1Vo92aVMUyMw8KV5uC2ycrXrGI2LQvNX9Emx1SoAONQTf1iqDIYRwBhramcWT5sn6Ym
HVV0hCGCQg4H0kWOxBAwH8IB1rLCdi6UbypEozs6yBJrTgIc6a/iKZb8XigXZzBMMlJGZmw4rdTi
aoo45+vIHRNkj3NbSbQpUUL2cL1Ws6ndLogkEah6o1BNxjaNVw0hJX0E0LPyKy1lc5ssk+6pQnUZ
AROF8aZdEY5wFyW8/lBoNBeh1jQrnRM5e18llJw5SLsSaacEum/EbabHLQuyUH7KSEBjeWrpEKIK
LYvoHnnmNVRWBMc2k7NF6zdghXEVCVVpNzuGNwqlaUbLkpoS9SlAk3NZ2oJcwueOPjUVSlUZyaqC
dBWt4aGJnXjH4mqvDKFv1VWUzY7QvOZC/Zoggw20EviRc6hjw9plsH5phccnOSkf6qRm78rYD/u4
QeQAD4gOtDsKE4uC4rZW5EsVBW5ljDlH1GDfoM1ti+pTLw2bsi2OUVmuAas5wCbjFg/T4IB0Q5No
CrGvLQ/3wnLUDioe12kzxtXsJUIgjATkLM/8VSiHSyEhTp3hxkZTDFaqXk7dcAxQG8+yswtRHyuo
kFXUyJmxnLElO96ATlkVguW+53gsJMzqQsPHTDI6iTnoLcINApodgmLJLy1yo1rZdOLpMuC0zuXh
lUZm6k25RpNYCKg1lNQTGrwRZbWVTP2uZI7GKR7ZtVIYu0gIsZdvmmwV2JhLSMO0kSQEnoYQb5dW
BEFQCLqbSqWqR+JdCrF3Puhfe6PD24YOvNSG+xpdOINR3J5CKh5q4+Xc0+hIYoaSc2d2PssR2nKj
L9Rmz4i027P21F5iV5xLproGQZt3O6PIE3Ot9ZVpfBrk1MarqTfKptdnbMpjXbBPW1Oz+HaPo9a3
C0nHojaomr1FyDZXeANQR5xAAMz9jSPnSnczOo2k7fuphx0Jezq6bxZdHc5pV21L4WmtkjnzS+Fz
jYXjtZaXJ6jL163wwnbpdKHjUFs3widrS+besKbYoz2nuz1mWpjarZt2JihOjLapZNqrSGCXFUaY
F5rw46YFow6+HYClUT5Wgf4UJeClOhvJsrbUr51w9mpRKXPcx+0rC99v0zUgyLECz1XrgRRP1jRP
8Dk3V1LQ73O7fOT8/rpI2mqchNGXthtHeyNbtdp0Ec0MUMccI3v1FKflNdav0e1UI/JpUlpu1403
spqcAozMUjI/ZJH6ugiHcxsar+mQfy6AY0rLBZ36xNONxg/wRaeixShHMtwEb8r2WWQdZShonoOX
GkbjLvpmrhY26zrGGsjNeDKtdGHg5KAQxZVN41X1RvyfHraS4wLi0zHAqfEuVFuroGfSlnK30YTV
u9IrzxLm74V+AjZZ6bZLvcUI79QGm7itJ3i+pDTx7NQZubjAn+ErB+itrJYJdbE2Yu2lLVOe86ka
fQtHemV3WNNtCJGhYp3jsThyUs1XU0XJVYBfydtt2HdPpjNC8BRWd+F5X4T7PRA+eCPpPwXCGd8z
5qKLepFIKa8R83wvXPQ8dYAmuwVnvfDYo2p6gW3wiQV6LcP9TPOoYzCnbTXs+fUQb6QYv/6Acb8e
tcsBGZxjlF9i4ewnyeqko2/Thed/oE+5CRalWRlyswuFTwjXYuiqhpO4EdgAx2BuNiAqTGy13rRG
PK5ivT2ncX9JJbJGNfmZk8SWoX6E7xouwdzrk58KVgFhmBhowNttJECLKyw+JYOjYVNIkrLBfGnv
0Dg4qzbKznIlXMBAEXoyQ9zapOcBLiErStmfSzZBQVKQYvTZ0qjss8IxV4zRaQ3zpKE6UC9NwWKQ
WirdrpDz3SJIDSB+sfN8ozdY2k7X40toVJ8luQzXUkG7mEWOBQ5b4JKrPBKGfak2A1wIRcs9E1RE
UYZ3mlGf28J6XkBJTKa8Zhh/XwrKRIg/pIM7EeTVvVzaW01HXQKXQkuklSZAFXIW7VXIFRgXNr3F
pJ+CPIRsgeCgxtco3xQCelHADmatj/7TNPgdwaZ/6Oe7+TaEcZ+aLz8fw7yx9YFbw7Oni56BYwG1
oDD/R/UtE9ipygxUEAMLzfKfM37jN6HPcsCt/V5lvxnD0FQw4Q/adBaYyotWxL8yhnlfezsGkyCV
YQ9bimNqvLq3fQMtosfUzbl+isDGtKdpenhzGvlj7PM2OOonYx6RFg6FTuP84Rh4cn+8Qh/gPAqQ
X536xfDphL3OlX7KMLEZTfdKYhJcrCb2cl2rPUUqdqrlbJs68XurYnApmeWmHLVNYZFy0cq3Sc/6
1FZfpQynm+oceoOdpe3S0V14tpVBMdIDRutaO4dg4kbAckx4eRNxA1FiA4SdlxaSirGbojZ4RYR5
1LQ8Mr0ZPihkjjj7WqsCfbso0G5bugmNjPA/ofXL8qI/k+OTrzvFCpEPRPVeIc+FJdg+WxWj98xu
7p0m1Hx05viEdR3x58Q5XFNLZGQNlvS5KfZDEz+mqnqgmePhgpkPY4hgk/VnS2LAQru0vg2MbKNx
3LEjZNY0bx4leTQ4Ek3kFknnbhKziXxZ1j1M3bDqbiy2XkmmL1w7DPOlLTCqiw7jMqXJfDWl9gVl
MlXk0nhKB5PNsp4CZWAPtZJt6Ehen8ZPXRuA6LR0VzfsLQ2Hs7Tw48VIFJT60KbhhdNb27w2DnpB
cdWowzED+Gbmmt9UEDSwJNOVcD4n8YLzJs0u8TQxq1mwjMTyQ1Wr3WqWkgtd0m+7TIHsscB10Bb9
JtYKoo1azl69He/mDJ+4kWC3CBJzI9cxqAMzfex1xx9l+DFyiHqs4FwUhcXFxAjH0Yc7vaRsiIwT
SRUPbbewX+jXUQ6Gtxc6P304RmOzK+eR4jS5iwbILrkzbrNhPERqdmPSSMfTlt2pRfsZKdYdWoF1
2ZgXNvxgaWoekcxThHXORtLaBwhnnjrnlJPz8jWF3MykAv+W4WnpdKjGhOiDOiSoA3kBhKUW7YgV
uKFpPfIUQLxIHsIgSLAAdckaNA23Tf3KprO1wbfqWvXYN/KDJMk3rQUkPkWmMEzEPxjZlyUNrtKc
JnM0h4c0adKNElZAiCWL/jAOwQpADzMKoAd5/sVRoD1IVYT0erGMoz1hdo9jkyNhhb3HMG8SR7/v
q5bNSWXKmFXi6UmoopRkT5qbDS5wpI8OKsCF93A92ejB+7nP9uzx2KFMrfWdDPKdqseBP7bmKexU
04/hC9NqCD0kgfYXoEmDH+EqxeyJD4jnuxkC+AizBAMviYf4NDWxeagrk6KLt4KavgpBLjFESvDP
eHpEqz/rJeJrFnCuRRek1yWHgk54+ffU0sAaZzC4dbPvOrJy9KrdASxHRaNhXFXUut3S2Uh8LKIH
E/Gy26ZVgS7S2CD9Zmw7qQrUkKzyy64uVTbo7GxlMjp9DlxXTDFDFJ8Yjpb5cxNoT1Zab1nfjkmk
4BRSIOBTUR2C9BsbSTHc1DSmVZeV+Q2STolHFWsR8J/iehxgQquqedZjGxYF6JxE94jZ6z0yx/ZW
zYEGgjbfP14VPciECrI4a9RFWHN+0mofGvWqWrpDlkgMYaKjnMl3gPJWaEgvRifINsWUPlJBkgoW
dxSJgblXiOkjriS2viDdpBeAVzV29XrMbxEzjesh1jaaBVedWp3a3l5Sf4nj5rjY6UlTq22K/USp
TeQdbYuqsufUOxoeSx6SpKD3Q81sdtk8fDKl6pZ+74ruYp95bdMDKRq73GHN6S9G2SwfC7wmrL/S
K1NB2Zt7jnxcTvcaAL1nBtQAZefUGrbwjSjUmN1jiXCiu6DmCmqf3RYk9yEQkp2Lfm6SC2Z/p4Jk
Qnxdmr3rmbS4emndGnWZ8P8SnfmY2hJLpgfB2kjrWzPAZ06ezv0SFNiA+7Jdw6NQMNohkkVCuqnk
odiUc12uMn7QbQajv4dWDBfenoEBMZ1koKZH3VYfiCVMx2qt2Tnyo7x8MIdqV4D/nyyi3VpxOLYu
0nr+JEeJP+ByAKUWfeoz9RYftkOyGVFpJdgorwwyoLt9Ai9Tlh9osGmeNun1fY+XwKtKJEn49pAj
wTBEyqTdqxPsMfTHE2QryVklPajJj7fnH8cGNsMHKgzhhXIITADr+k6DgSuCaUKYFKeOE4gxLTvD
HK/Gpl1/fBmByXsznvh+HZSEaAkRNP6lCOgsgcCMilOeZcfWVD+xKl3aBNCwXDY4mQE6cTraDlO1
zux026rRIYJvZKvFnpXqYARQHJ30Kgr6a5OoGI12Wg/prQgDun8oW2ceAX2xT6Yc0iz9Rzv1JwXM
T1+5ofJQ6hxTYDD8WL4YeV/GnZMWJ9hfhOncyrhwovJ3Nx8haqSK/uQiDpL7H98fhx6s5qiimYpr
03r3OaB3r+Y87YdTFYJclUx9B7tex1les28Mg+EH0nAvISm4KhzuQUfeEcyIe2YGPxtoDBiSfB1J
S3/VR5pzU7Ar9eVwIhcs4ykB+W+oyeIaZXiKJTAoATPJUeW5MfMxg0NgLNeGkj2lXbaiBxlvlhEX
cauYfpTFqZ922rPUqGtjEmGYWo2CTudwWta4rKKG1lMIFHWOzF29qC+xbj1NlsgvQDAKZ/s4M0l2
LWuWACSNyVFGbO0uUx9RN9H/ihyIQ0ocfg56Jb+tRwIcHYWBeV4Z69asUGgr9DpLtjhFCGkSC6+P
rJ4N2cLfjGeX9T47BPJTT9uGdhnr4oMt0a2xkJvMSPgJ4oz8gkAwt0Kopkmyx/mKTYzHzLNCSPqT
lG+bDqdnrkwXvTw8QfyKnhnwb2SzzsG3RUe1FEjDtl7DziLnihlyjgju5PQK2LFl2tdWe/z4nkP/
+5P7QdgvuB2gYsHb+PGuCwgUKPhad7IU9UljuO8t1ZCdTEKUcM5Ej4yVUS4JBqo5IQfJsOlr2ZF3
ZXGDKLW2atgeAdAj7VGPRmnfazoIpjY36nXfy/ouN9TeDWM6iYM92Ogn9Xyrsql7I8Mfz24k6hEW
Ihnwwio26pswB5SuRMDll5HufMfpt6jqtZkvz01pPjmqYawGheZtk6ufTLh6ejsjdYRcA3qjXjUG
HfdmNO8T22Ripn41rQm548gy4GRbs5huyf06gPKAYKXdmAZC0akCnqbeYIQ+pkl0QzP0OrecjTl3
93aKFoC6UfbNuqcWrAe/7XHX2UZLbzAhpCMABqeY0pPEPYG1Q3tQNOleiSBF17BxfHzH62EBBSVN
pa/ozUaWk51TDL5aArSKBlANnbxC4Lq3moS3BHG9gugJWNutNlYnx552bTk/oS59rrXmqcBwZ8y8
ToaK6ZCeIRIdrMJcj7jTItjzq7hA/+PEVzS90t1sLzQUZ9/MAi+vKGhKM+RcwsM4SM7VWHevsSUh
1Zxlmhxkw3U92rAW1FPYrUjlPZioC2KNPqPNKI3k0IU2KRVq2kcH8nZ8on/uShxcoRRfCv5XGJVr
NcX0yS4ejeHWVjIGge2aNILCoVXhKQAmvSwY1x3be9HkldfTTSWZggBUgnSXBGGzg4Z0VMJx1cos
uouqrBNy1wDnXwa2sg2LDmNHfShsg6oXjsE5q3Apzpl1oYfjvlKTekWyBJ8NQbOrUU62UTUeab9f
NhkgKi33S+BHQPEuTcO3UkI07BO8I3Nel/oW3dBdJdMny+WjaeCznAL9kEQj7D9oSfteHaxViwVt
ZSVBsaEV7lXUDdtyRlc3m9a2GahCrBLBiYW6eAga5Rdb2y+e1G/DrTeDdzVy5sSp0v5ksu8Dp84J
KpxQwgTjOW2OCieWj9eGHyk87KTsFG9WBu3dcVqNooLTBStDWb4o1tdhIogDxvb9qG8/vpAh9pw/
JQW/X8nUMR9Yio1l2RA745u/bGy7oU6QMp8WWKp+FU+wPQL11mjDcheVEvfcNOyx78tuqcjK0a5x
jkB3kThMkEpIygCfjCK9Mly8mgqN1p7Wf8bofy5l6yajfOPUQ0C0ejOF+DyLjhyNLn4sEv1OirLq
OuzTwTeiqNvkRr83EhkxouLPCmA0SrxN0WnWnaM6N9WCnkczLnqt28Waul9C+sWVcx5TtGJs25aU
7lNVkBoJQohsmqTKXQ5RPc6C3QgWAfOm7XZG/kQTlwDEMXyoJ6e5U4UvVW218Bfv6o+Oir++qcxi
376pqakX6Pzt6WRPj9HyZbZ/52v900riV7//3caBm5waOUznU2zfVAl0Pe3TL26Lj+8K8939BxUJ
goIazidDvYx1sBKdL0fz713Ff/pXiHfhr7ceo2dKUgWX4rtbb8I9SuYOf4WjrtTuuRtzapJP8WT9
4tNQf7zHDdmAmGVZQFhoflGaKu8uNCdxQb+/Uk+UMc9sat5ttib22x/ceHXnFu7dzlwNhy/XJMZ8
nvynzJ+/8ES3W2338buqij7b+7/4zWP97YW+edgc5C+Vg9T11K0HT17J/nTTb/Ir4Bk+MY/NWtnw
Pq8R7rqyG/kkOA6+fiqeP34Vxs9exdtHXiw+b14FEXCZrTa87/dYCnyGK2vn0nLP+LQjb3NnrA7M
4zbOCdDWtrgxtreBF26mLeueu2xKx209Wmee40mHflts2nOErNINvc+l25/k1bwxds6OodW2+ZSv
bz5+6dqvbvx3FbSktjHk2Zj70i3dat2+EFZ9q3hIWDwGLF7sF+v8otxcPh/8fgc7cFolF4hnLpIT
6eErsiRT92uw+vzxq1J/lDb85XE3xdffvKFxXA6NZfKqop3jRqtlC7zktpDddIUrx3SBtKyId9qA
3tuqjzTS/I+vL27f93eVqf/5HL1bbVhqyDmt5ukkL6VvjeN+kdLT0MM0/Pg6YlX56DrvVh0b4CYo
xWw+UVO7w/gsT9vR/DJrfo3XVarWH1/t5x/1P/6q94dJKWfxN+qkByCTcvK7rsKrf+8C78582kSk
hkl89yk19mpCH9CxvI+v8IsP5psF+s19IeWVXVgzD1pZnVpi7yr1funtX3wqv3qf3i1urZKRJWYl
3WkSn8qSrbDDrf69v+PdDdaXS9sXbT6fRoTusXnK02mFEvrji/zi7rLerUpmEEozzTl2AwayulMw
eO9wfvcrC8hnQpzVgM7740v+9PMRthmFOYvsiLzvt8+trYGCqOKuP+n5a8O4WiOaxtx8fI2ffjxv
rvHuockIVpLqSJ9ORqLTv7/K8190FX51gXdL4pLmEzPaejjJLNo0o1Mt+8Xb9G1//OjBFxvKm/s4
Io1bDTLuY84GLoHKF8M2PXJEWF3ABfHDc+/m+4/fNYEg+HCtEX/1m0sq9P+UTo3Yo+5pDBesqigu
XcLLnpTDshvcy4VcK7Zuw89XWMavJPe688WufvlQX2ok7bgQO/y5c7fFKtr86uX9dCN/u+S+v3Pi
ZpTht3Un5Sw2clKKNpm+K5SVm250765wLxhc71/lLxzOmk/zHpDzL1YvVSxPH30o7z73QWrNqHZm
aglv8IjlWVyVXMB95l0DBDpom957UNeQTujYrptNtYGw94sV+lcvwXq370lTD2R6rLqTtIeCSeKq
m3w11opn7fuXaVv5+YFR/UZ6DR+0FeDBM6jnl1/cJz/fev/cJd7dJ+mgYfApuDWb9bRGdOzGoqrb
pavbYTftdgCxXbRLuXsnr0svX1cb6xIQqNf70Q50yWP2i5Xy28HsL5/Kn4+78e4tsSWH2VDBklL7
+sbcmJk3rZf1coj3ivsc7oI14U27aktT7wBS/pNPWisfUbdJ1zexJ4qEP4qD//6hym6/zYafy2pu
4jDq3v3zf2/LnP/9j/iZf3zPjz/xv5uX8vQE4eD9N/3wM/zeP67rPXVPP/zDLwCaz1f9SzNfv7Q0
Sb5Pq8V3/v9+8b9evv2W27l6+fvfnr7mSMDjtmvi546b//ev7b7+/W+/j+6FOP4fLV5xlT++Q/wZ
f/8bo/v/8uKXsPz5D34XzaLqR7cPCQVIl2zZCtf5PrZXrN84N+CFtImZNNGU/zm2137jTMG4n/SX
b+Fq3HR/Cv4NGLya48hQfEWWzL8ytlfe1bu8JH4ZI3shAqDbasnvbm+I0xFylk47EmyYR5h/644O
UW8a6UUe52OFmXJYrAbXlVypk0fXYLnpSwr2CEOS1icWXLtipXUs2jL+MitTlMtRaQnNTL7puFsh
6c7LDi2JJnTetZB8I99F/a20MvlUjhCF54EWXKSzCV4V8Xii3MSWk+kcwpesfXaK0ByPjVY1xpUw
HA9mkb0EQx17ZQFHZMX8uk+IUbIVOCJ2PFyDEOp2OuMYeghLlJKaJM/946JbPU2oOpL3au+gaqzr
xFkVBZE2EbAOLGpN5zMaifew+/VDECxVz7QgcJ76FiElw69gXJgEm6QzF1F/ibpecLEerTR8Tkw9
9/FoYKM3jZeqy1/wy8N1GvJa/zp+C34qVmodjrtikY11hzzocTRDE628HONDSnsFdfyYuDwD9p0i
xRU6gTF4nhAJbntSD4hRw9IfR3MGXrWxTlbdT7ulquqNbgzlChkQI82UnpFhV2D3mx45KPBEPtzK
Mzt7BXKXMLMu39u9Qxs/aKzjbBjLLtWJuozp2bq6E5FwCd6gQbpLHJCdrEqKMpICUg/N/outRxIp
L8sW58RZQ724IYKWqpyy0w0D8O6tPt2LrCy8YgutetPYlIrIrgCkT+rDeEo1zJdyFE0rJzMmD2uT
4SdSpZ5lwl5upNHQrgvTLF4SWW9QBcfFXTLg+ybL+GtBesnv+/8fq8fl7yvmu2Xq3T//j65arDAf
rVrPDctX0f1s2RJrIDaAv/9NQlqC2ogpkgy4A6CITEH+fdniS0zImcH98RV+6rtPSRAOkYeTLcV/
1G9EqO/Llv0b4jkdSJNhi4yrfw0irgou45vahMXRsmgm8urwGwjY+buiV0uGol3KCfwmqCaacjFj
1YGxaZUMq9yaunUrpS1mSUMfHsh03lftRNdfti0eYx44TJs0GQpbuQ5DEzg0Hed8pr2Oe1raY+l+
MgJ1YTTTvYxmDbgvoSlbZcENwdHmsRh4ZuZBq9cVSMSTqWh+EkafybdDXlKQ5u7YFzgOL9DnvqbT
/HmM8gtLT8911njMYbZOHNExSHIevFyrECpggVpmjY1c1pFTOwy1dMN8SSz902hKj+kgvYxDhOdH
UH7hoU94zfOv6JBAhMvSqZOH3lPIGnFH4cUiH/XLTKSJRwNPYco9sAoRs+FBVvgc5eWVaoa+WTJv
s2ZiBeoegUXYbPrwGMY7s9Ku69Y8alnwsjD+mgt0itXoaU3K0NxcL0hf8lpzA8iGUWHcDgbYOjl5
nUPEqXGmXtnCy018kgwfuP2EM5wMqh6paJ9F2XrqICLXDgKtBqZTHnYIAiz6zS2ISlDUUePLRW+5
Swn/PccKuWqDxPFJsG+J6wu3aYSCA3n7pu8lVF9KpnqTiqk9meHeKjEpJkYpaceGsB069QxyUlup
gLkSX9ROrG9SKW/6SWCUlNhrtC5GoZoY2z5w5vRzEUpWeAwcppVcI4gfcGYS5p0NCz4Jc3SHKR6J
jbBfWyfaThHMrK4hNSZvOwseYNc6j42gzxFDbkmMHjMyL3UFBUGLM8ySmXq1i9MTzDFjo9XH8pgv
avzJHu3PTRdPW0b4j2k85StjqOLzqCeqp0+kydi2dgzqGKkRU42sJ8hFj7AIKCTq6EuqYWW/Tfu8
WKcWiPPFbIdtI6Ko5Zm8riXXN+UCSwulfL6CL4/8s7EOytyQSiLX6wkI8C2IThRJfYUVIpsuyeRp
EZCP1W1YD19aVTb3VqoCO0+il0ph4V70WSY1WTlJdhl0royTlEQuhiZO12+bPmi2amNmN7VZZ+eh
tIrbVCXZs1Jgqw96dVvandd1Jrtyz3aFZ3sL5itFYAVnJtF6EjLK+Tx2ToC5FT1eDoPbN2J13HeY
ktZzHJgX3Sw/TUG1qqPxsz3r1Uor5Bn6I5lZoe4QUTrpEtByBxxNMgI/WerAi+2u2ExVmT6nmtFu
eR+BlYG/SUeSstk4bR9dllCULFXgIs1urkZNISEg1OyjPcynFrwFCenSvELwwvOaDxwFZBuoJGKv
o2SjcG4xSkL8mRb/2+L8n11KFLv/fJc6M+0MOai9r8jFT33foaiedUXD34T0hH1FAEa+71CK/Rsi
WEhY7GAGORhsHt93KA1wL6UHtjNCFcGW8KXvO5T2G1BeZCpAfTVDoHX/3cIaRI9BmQ7tENC3YAS/
7S/UpjITSiAHx8aBYKQtWeqsFFF3SlMt7wurxdAgibpUT6KLOJgfyAyi5WAlzxosTI96aLS2ZpQh
S681BstyVVf+hPgvXKmEYn8Om8GcVziGW0awEQ4PiZpMdceKUbKeBfFL18tBs1YLI/KMlhqxwJZV
4NTFVhsntd9lLS7/rNGHdd0kjnkxWxK3eTq7rbDACHoGvewEtQblZPMq2SEoXsiqrhEHgxupzleG
tkA/ZzZDSUucdTbAdmJeDxivwTvfY4ldyn2LNnZZxitFW5DiOFskCQd4BjsmmruJNRb/EoquRZEM
yk02MrXVI4ywyDYr6TJhcnhdBfa+qyLQJyHR5XS7lEPRls1KlUDOzybgp6YidZaK+Dx17VlKGcSN
oTCWALJbynL0AYiaoKnMTqrIu5ub11TrbuJMvpFNJUdxkHXFpVSny1HTyX6AN4ZWProv42FlUToH
aFqPg57B5S8j8pLCZKVWVsiUH5kmaARn1vIbyTRGAAnQOyzkK17T5Jui5s+tMtOdMLC5wWKZnqoU
0XkIx2BLBDRiRaNdd5OEFwVdrmOKuTgrt+ZQdVcqcT6xdFQWDcMvIuW5r/RPrUPrA+qYEDnZaxmN
DbJLaoJ+IQEE0d+DEfRCtyg5TFMLxBurFs3bL/qNnILflF7MInjg0IyYyLyRzQGx+fHGTuRolJH3
EeyECGetZaP6FM3/j73zWq4bybbtr5wfQAUSHq/bG256UiJfEKJEwZuEyQTw9XdA1eqWVN3VURHn
PnScfqmIkkRuAyAz11pzjsn3BPaj+tuU+r/r39KO/Nfr39JbuBrS7n9u3tKu+WdH9R8XwvA3VPcu
6edcDY7WVPDfF8LFsQvU2mYNMiEuLZ6B7wshOezg18jgMW34SW74Q4fBgc/k82OmMP/Wl/jeavmp
rPrnkrSlf/CPdhUHdTDo8AlwBvP7WJN/WQZb8OoAaAABxTxAoMxS598pGZxvs+J/vMYyHQvsJc8W
nKWgxbIkHv241JaiNsHkMJ6Kc/9IaR7uRsvK2p1fjnAMRk9vlri7/UwVuUVw2vKEkFv7YPVNCqCp
D72L3/ohyl/i5C9kZgeQ/wbbkxfPM8wREdKACslshD9vO2hOdaNNFK4kCJA0jZN3HOW8JzfP2mrG
0Ps2ceQW00C2t72Gx1B5t5lfxfsmL83NQOw2QQRxYXHqrpHjVqWe64eqnZOvJcS7nS1YFLN1QGQ2
8ujJsTLKZf5vKxqnFNvEKU37ATx2jqJXjvKuH3kXqaQDiMgaJVLy0W7EmcQZJrzYtVZkvB1tJfe4
oK/04ImV3xvXkGCf3dx+BBL/0ObzVVypZ88l1CTwyHFA+X5FXts2duRVkmQs1XF+FC3q63j0zhot
YGCWi8WKXIkUi50JnGlGbdy6aPSzDHhW4UOAreUN2uzsAIeK7FMa1V5OoH1j+wgvkNkGhXgHD16g
QgyxTIGs68MUI6VjY40YR3df2dF8llNzVpGxH8v80APi2ZeF25KJMRMp2WylTi8okuxtZDuAEDAn
z3N7jNr0PnFlsc8qYOUxYql2rtHPd+JYdSPY9ASBddufE3txEE+m93lSObFDxNKuKYp3Y8OtOgoC
QSg7VgYBHqWKjmMjSbDAFifg1OFrw3mLdY7stsx9cJ2pxvntEAhPyifmvNACYu/Q7pj6i/TUEhLe
HhXFILQx893xhi9sPMEe4VJ5tsMS5mwCiOKuqcj6FaOTulAmgGD4UIFD2mF7SqTP5CkeYSFdI6J+
6unFQOLzVsGEEzGHO2MztSiDO1VVu5DyIWthQgljXXo6P+jC2ge6tzbS5ot3qyVLRH2A7suEG6Wk
H4avs6cuWA0xLrfjyS3M25lfqkR1KfGRzw5G08b4ZHXiHQPskQLtyo6wk/vPY/RaB/PJL8mqd7Gu
t777JGdmI2p8U7Tbhh5UklPm+FSm2zgipM62cgbWefhSxNaLDW5u04KgCh0oWdq5ga2LiyhZJzMw
JRc0vJ8Yj4h8nxxkPGOcjxs3iW8dheXWTKk1gbiBhMyP5CNwilDiuTGSxyAon4wGkWGld37cfLX8
8SRD4zSO5K10mXei8bcvPIIkA7/boJAdjs7g9PeOzk58vkUl9EqljxrVLiCx1S0p1naTXZfOmB9Q
elovNVjjj11QA+oapykiXhiZ4xj5aN3HQmydNsL0kPYksv9uRejhV/TTgHYf6aheLAuqcdPrwVkc
7cU3TwPO3uUJ++Z1kIvtIVgMEPNihUjwRBid5W0VLokoaQiSWYwTvRN23MzoUEGNFWfE6DEVpnvf
m3AO7MV8EStsGAI/hqopuBeDRgYqCCsFpo0c94aHiYMrv5EDUcH+YvAI7MK7RIvpY5yblGFl/ebE
HLE8OWENwSOiHffRXEwjXTaRnoKPJFsMJdPiLFlSWHGaZDhOgsxC+4sHJfK4ynhSkCZzGMuQ6fdf
/VbfYOvOSI4EPmfr4sXKCNrF31JPxmr4ZngRdCIhvgFu6Qh+yBasMf6YCcZ2hl8mk9aX0uvHfYOT
JqvUi7KjvbsIGOcUTCzu6wbvjcz1zsKLA0zmGXs1dnpMOgyvH8Ziuqpw7/SS1ouhsw8x7uAUf48a
x4vC7xMvxh+z8O57nEAU8S8jzqA6c6BiqQ8ax5DQ9Sn1Z7VTTshigauIq7GtcBnhfYeBjO/IWQxI
42JF6vEkIU6jz7zYlDKsMxzr+AYXCxNpYI+4X0+97fXrDpcTO8EZgAHFQVrdposRqs5iPPNYo2yz
Pbh4pVhuNsZAIvJiogLjdBXgqmpxV4nefQkJXYxwXTVBfkMz7pCTytkttqzSyj8ZYPJdsFtDMesV
MTSfCJs5OYTKpou1Cx0cyczTXbeYvjKnO2W4wFrXe41whSlcx06vHiLH34Ahnnd01GocL8mtiaOM
XAp3NeExMx3AehausxD3mcSFhspi3uT40iCFyQPw/+kKH8Emw7s24GHzovpsLqY2SKs9pn1T4ABz
9K25mN+AadlE4LYfKzPBZmQGN0RdkFlRSXnuFvtcvxjpXM/7nC7WOrmY7HTjcb8sxrvJpJ63FzPe
uNjyrG8OPT1ZF0Rh0dcfzmd/O/b86E/8w6EYVNKiu+cUQntTeL8MsEXuirLElH2dZU9e/pyHb477
V8/dv7zEL5OaibvYy+mVkI5M2eXfDM3NmN3++cdYdBY/n6SWj+EtejaSh91fbZyWNYDXCIkPJsub
xfEGz9A4PmJU+vOX+bl7uxzYQgSh+Dkt+E8kS/4y3I7rbLL9XDHXL+etRLPcWTyH8mlwbrUSK68j
/8L9P5kY+mNPxKW78MP3/ocJ5fpTkQIJrNJPf/ypv3dRnN/IInJc06OJTluEX/j34gFUGUNIc2no
/8wjWzIcOGhz3IaSAvZ1OXB/76JYv3HXYAOmqEDdwuH/L3VRlurgH/cj1cNSYwry0CEEEWrqLI/d
DyINVPZ1I4dhvK60HW4VKSmkV9rYN9a5r9WdZ7jTKRuBRm5NM+9fCHJRT7kDf2fVhZX88MO390+e
cbHclr+8G4IplqmsA+XI+lWz6lRTk4cJ7hoL3gbFBkEOQBZrL0Gp3aNbVNoZXnyFfHDVlgEjUYnF
kmzdGUcs4z2/+hL2vXnD70hodBSFeJpdIxD7yXOjdzEZYvx3+ok/VF8g4TygSKzcnIAAIP38/WHf
S7i2U39tj24cb7xxLp7YsYCW9P5UEwI6jSLbpH4UrOhPwHCdctPe0+Cc8FOruv+SjF1HJwJe2KYD
Ss6howQ3RKCkm8dbnuPkNh/CU0lXvNv4lKHPHX7mvND0o1MSPi9pm6jy3yyEf7wMoFxNnwvhcW/A
p//5Q+EBijUeJoChfRQ+1zFD95WDkW8B8wzjrR5b5NwEbXz888v/8xLPpFz4i4KdVZ57kf8sb+uH
e9E1R6YcXVxdVxCjrkWeDNdVx3wyiJLnP3+lpV798T5bXik0LZMi3BN493+pmZvKmWYIcPV10JjO
J6nrtthHZIIgvWqSrSnZvdc2JB02aRtGz7+7aZab4ueX50ZZUALEpjC8+vXlfZ+IxrgqU4bMufsJ
QKf7KS+W9+DOZbf1WiSnk8ml3xNVoa2VzGv/vS+on3XI3Hz07NZc2zqDbEXdWz7ZbWPZhItO03tj
qGZjGnPpr92wdjjN2B75Y3/+7f0iJlsuFBHGLBtMTdhcmLr/fKFMb3Bhj0c0z7Buf0pboPO0xPKe
0EGbgX180rDk3mKAzlfjLImUh5Sfri14hV/xF3J0mmgYAl3N1Hva2ngj3Cbx/52+/tuE8qdv+Zvw
gsZjCOtxEY3//C5JzkjJOEN4kTmyicJgA/Fm3gN2tsNdr4Zh3dInvoMr7A6rhNTPdSvQQuO0RgeG
KiMvZHnfFEDbgaWSmMWQsz4SNU7okiubJ6/Lg00kqwgDX5alq7S3sYtGWYcBsTG6G2lgYIpJUMlW
Bs7Wcm2ppDzAkirurSy+jafKHjFO+/K65wzXW8zdNp5ilxbpZLE2OMM8r0xNJlqRuMFLZA7OKfEC
itB4VFQJJo2KNV8HkCpmgiTx4lfaCE2y+JyNn5tO9g+DaWDm0WXv76JOUoJFlgXvS+h8H/kGLU+k
G9FbyKEXvVUljdeh9MtN03TWMa+r5ihkWHxJsYXz3Ntl/pCG0QgkUjrxifILThrfw16QiXGDa5ku
jm7lTohRqG2BsTReKx3T6FFWAsqts1Fs4fZIIiM2GbDV/YGtxtLryswosnu/+DiW5sJHCZsH1+7d
/RBmhoW3sCTujHHqtjPHbN6pPOCcSp1JrVzor13cNO56tnpzwGNqqZgZaFbzcGi9nWI1BLu2jpIN
8psS2kKzNIEdst08VSocZF0GmoU0CCC/NaMlTt9FhNIGhtO+9XLaM8NkLqMqB41TS/lL1pAkC6DX
YbcfbX+88vJ5LqI75l19yTA3Laaq/QJ93LLml04bo88IOmxZyuvP0Aiy3m6p14ehMbHx9khwT6B2
571iDB4dyzbFvZUxcH0wfcM+coJDOYsvGczFJE2EHnNSBgEThoj9sC9yLdHC6xhgKKDw6CaRpudD
vJ58/NDQo8MeC1pvc0fpqBadXoP1MHYgvLLoRvHoeCS5Bg3pMgJMV7mrirSlhS/ZvKLtqFJvbUSh
CKk5IrNyGB1EJX7acNDRThd+UW47cu7znVvBiVzDYGDFrKycgXeZtHRbFHOK7rZLDXp4dZwGX41B
+am5MWsLbiZ6ouDaNaI4OlW23/tElFVjJ+eJvgmrW0JOXOKX26hTNCjCtmPmP9HJmQ5m15VwkSyA
z2t/dBHr0JpLjTWX1fpgNOUsNigncmg99ALxt1FfdXzlFVKXkkSzow3voIDQ13v389Db9i4zaotu
HgULKUp+YmFjilrVVA9sxvYpAwya74aGdwCAoIihfwmwBOsgm3DGlcHErY0BtGkJexbDqQWgX2zi
yI4HGqKKy5n6MDkYkmb2/F7kFAYbgPgFRMOpTEjbNlPnEBOH5YEdz6W9Ses02sxDlNNo1G0T3mZU
6M7aTiWu4LLJZrQTUeHsRBPFLm8X1NZWTMmMzysVmqjr0EnwrPPvViJMw4rbJ7YlkoYUi2mPx/8V
FcPSAkh5jshDnKsU0HmgHMN+nJgzYI5rwokpFmkvFwp6tqS483N+ICwZxu2g1IvqhdKvSk5yIn95
12mm8rAM4v6Robr7CbhWuaRVcPPuhmr07W3nzSlvfhBZucGUTB8wgO2Y4l99KbTmZJHFmXro8LO/
NfRaDsrXcbQldcOEyxZE/B63qLNxV7VKXGM3tZ27rnfFo+gN/gX6DTI3ejEB4FZWmaWHltY0KjA/
7qyb1PBDuGJyuTmzTHbEiXVJdztODt1FU2I9WyW64o1h9OQ2YAcLn+nmc3eXrJIt1k1AY0fEB5F1
m7VDnt9bQOqc4+hkmtSwsV8On8k03roQ2GD665KXrusZedZolf28N3N/+fDLW9esT7yvphTXjgvf
8G6QLl8VOdj5TOaJ4tGhLZqnd1Xr88i3A6eCmL9jTbV6plpSOGBp8GYmJpdbt+DMSiNBQZ2agxyZ
l0M02k5KWsuiwcO05hOxgIyhWM7JfVU+R5YdngKVgrgIEnSIdNZi75OubN7G2GbTPQheszvHHHOz
M9yLPCNyS+h9V5niWoaxfAFzBHEuISTeOtUBQppzlNSx2kytL2GT+JO9b4CSgLry5fQ5L3L3ljg3
sz5Ikw7wB/CXcXcoI6P8Os3hsoakssAxi/jA3hJHnnS7xivDD4ZJngLSyFiix2CZm1qd3Kd1353D
csk7di3yGVn2qIBXikHpM3h/FW8Lq+IxIWHCxjBb1UK+lyzI04noDZ4NvazY28w1+EZHWPpbNhkN
GqgdLG8dhUWv2GltZXL0ltlrG6rw0Zg4pp/mEPjRF7pkE+oYIXxFI4uG53YsSWJdOzr2wPVyWfTa
yBcJT61UfyFlunjIFLwKOqAHpxyVe5i1x8XJTdHNIPTzur5U3uhcGb3p1NtEVqU6xxPxzYtBukwe
OYl0X0w4cfQT/bRTMCcQGa5CrWCoVdEkH4pYivSjqGc7QCPNCWx6anrbCPllXdRinzZoWRlRo9+S
2DQUWiUaHMc0NMXduARz7tsB6Mg2nQdu0pSIH/t2zIvZvS69BuajbJTpXRyB9WE9cbrptjppuGo6
qFDMtLMPviboOvDwzIDajSrIByFeT3L3gyiN/c0UTSZB0xDS5AftTuIRDAH3Gjtd+My9Xna3VVgJ
FliLlKZdAN8JENTwYqGQCcQqz5X/5FqV1BtwA71zcaIiUPck5IUtmzt3NF5X6Cg7CodpvErtPq+v
/LZJ7FtrpLV4jMY65HONoxFf8pZkuk3ZRawZnMaG/lIUEe+/DfN41yVBnmz0aJrHSTo895PnAcN3
InCD347O/9vj1kuKHb+rv/a/arl/kn//5wm+LUq6fz2UvX5Xn7781Er5XSa+/NT3doplEsRmMxZH
PmL/Lun+eztF/GYxU/XQWS/9kYWe/H0WG/6GUgWxJT2YZRlcNOLf2ylA30zGtD7JbsRMW3+JkIym
+5fKDtUk3Taae7T4eMFf7UgRMkmbuLXphtayPflLtu/EPU1k4ThbemVONO1Dq7oK5uIeddXb1BSc
QA3mOTqBTzilHetPH566HAmwadfr0fDewiS/FEP4DCLoydbkBA/xThqcytPQf0Ge0PAUeksmD/uN
VV6BYSMFK1IoTGb7WptwFgvPdEAo5s8oomcgBh6jr0gCPCJZHRbyRwhZz/E0vxkRAhBGRwcth6c8
7W/b0MGgHIk9g+wHDqxPdT3G19CNT+j/mtVkdGcRELA2VmpXjjWfeYaraq8Atx+HAFOsF0ZIXKpd
lRgfhiYlvt1duVZ4XXCMn9lHNpXvM22pOpQkBFOTww70fYFpouhAgvSlDtObLkczGKdyepjpQacq
stei6dazHD0gZDZBDp7T0OcHhhEa7ks559bWg/dO3INZnJCUhRuJYn5jjNF+9GtmJ1ptCkpGlCUO
2ZosErYYHrypqWF/us+tVDIH09U6D6E/xD0sEbdOF6IWLOMnoTXjYxW4EtmP7M1kWzBWbkkQ+paq
RrK0s4nqGRI9oWuBp7Y5IWxmMbL8k8o2LPlsWYwb1ySxzZ8jhjiEuDk+aW4lsW5N5l4KE3yJ6mcE
9VD8vY4bB57OE6fY17R4h2J2kg6yTJfQuInwuLH1ke4QJ1dbjLSTJWGOTeoSLplz+URCRmJ+mBzv
VC6pdCXxdFK48skpu/u4dO7FtwA7fQSXsh+zDOGMGwGeTqMD1JJ6HUv7PC05eKSp+cfJQBvLFPTZ
UG3AyMrY6dBiRq0CuFb1KiBYbw4Bnph1462cuNqEiuwiUs33aZr4ZJPNt5UV7WyC+jqDWXTbDs9z
UXwoiPKrbb6zKJMfAeZfVVH+BLLtJS7b23FJARx7Bi3EAnbtAoStkwM6K5/IsnJbESFYUkevIed8
VPCegft+6idyWQkdDAkfFIQQQg7vNxGDMLZfEgqLtngcnPYp6Vy1agZkr8SmnXNiDZtZMBHzXyQn
YM5g3qUl82ROwPjb0Qc6iOPenCbEC8OrS2QixdrOJ0LRdtybsSFTUXqzdZUtOYuSwMU5p5NpMwms
vuRMmwcFPq7T0b5OtYne0RGb2p1uU8/dBGbEn2jmub3f4TDtyDfxrE9lFFVQWHPm3ETGg/yxVkpN
j94yWB7rgoFV6z9WVXwOpPkyB8mlCMc72zL2wsyZNkkkZAtwPGTE7PnyqIaSGzB6LOAMbqPMesfQ
iKxYiUdu44/kywBDj+rrPvXuutD+EpKbgoFA39aRzldlJ5x1FFs+qEFG8IWHYyPgZIRmbSwInAjv
85x1BaGcPEYqMbflJPSu8sK3Merpb8nbiLPWOvLdaIPII4IxJ8Ntm7nnJuicW84wwPrqpLrDeJI9
NJX4HE02coV8fkJjdkXs15uoxGkohokjZGhs+9y6TnpYeuRwd9SHAYP5vH+vG1QkAyKuTZs3BEz0
MiSHKuQbCH3A3S5prJHTXgFdhdguTukgjsAr7ttYEfij7aM3O9fjgB2u5FOmBNU0PfxhdzaczUSH
N0vKYU1ayO8Dm//tg8F/3pYv2Ib/9ZZ/9anr3qsfpye/b/nLT33f8uGyLhYtNvtvSanLLOSHLR/V
FcYuUvPQlfr/cEr8nooABgz7gnBpJ9Pi/ceWz0DM4zf6/OWy7f+lCQp+sJ+7uS6TPAYn7nIowSvx
DRH1Q9taDeGIFsLTN5O2O3+bqIhx/rCkZsZTyu5gRed+Jll9OwEIy5/FIJAoYGhL+2MzIyMclTfn
V90U6nmbIWWctzDslihqKjPPhTGsfYJVmjaat33cphMo9BZdt4jDr79zxqeu69odE1isQdE0z+Gm
aOol7zExIoPxnxdbM2jMXDM2maGV0dD8xjAvrRieueOLEjpIgFEChBE6FHNhn7cqdtynQhiJt/Pt
9phaAkVIBWTzQI95Oow2jPWv2g7GXZwF2BHiOCv77eKqO0CBX8qOoHhLI9LIwlgLYzU1k9oaRYsj
q0z9FWcajA0lEhDltu6bWpBQ81za+5742WTlytjZu1Py1dMGmV1V8DWrCofZCCglv+HvEKTCzlRD
u+zo+pzETXcOhIJWlpIES3hNzCJvVG+mD3rAAqfaEhWNILg1DZPtHFUC6mHzELSo5eCUV59EUMwr
b67jU0P/6tZZVLfFKMI9gQLvuQ+Q0i5s6DqJcvZd3adbs6u8VR4T8eQQD36bm0O3lvQGykbBqZRS
bwODAVAc2O9JZ9QHt825LRSnvBLd1xY5GxuiZ7w1hLsdvLkYkBrXQOeRAvsacE5DFsTKL6kh0bOg
+S16y9/XddmdQtfMNhaNPALF2DPj2quR2qt1OmTmBk+Rs3J9Pd2FYeTudVhTZg8JsA1d5lu7ddDu
DhCWqrnlbQb2x6LKWWVlRkXXoumlGwoW0S/ITWgUWb4MA0mA8+RdPEkQ+LHu7/yUhvE8CQn4fJpy
GFsWiYJ0KLeooPViU0NHLfxh4ZvLbTRW+UEUAK1llJWH/y/11H/esrkIA/71srnIV1fvVfpPTWb8
5Pelk2qJSgQ7q28hk/+2CP6wdHrA/5m1/t0A+71a8n5biiEmVMIJHNtnTPd95SRAixM7f+QJAqz+
ojUWfs+vKye8ORY6rLvo98HHL3//w8qJ6tN1aUQa175bZuuiPqolMqAqPII7BUFMuT8Bk3bsNZvu
HdaycK1SQLha0kqa+nrDwfs4t4KZRTZkawqyemXpiXAnGWha9t0bY4lneoevjSkv02AfGcEGVzhc
2y2wRWIy7Sdkg/tSlJhbGMyM3who0v6MHnyNnpPeBcjG0ERCBrLVXQHA/mCO/teRbI5dppuH0sqe
luVzO9OnWw0GJ48ylB+doRk2qSDmMTf0LmNGsZG1satkPjAnIzsxp0PuEPOw6obylJBdQbIDEUxA
+1yweNHovDaFMqa7jF6P2rEMaZJV6q6vHwdIXw2lEYkym5AVGfV9uGsEils67uXWMgd/LeG5KJjQ
BFxnt0MGQSEkb6esA5y8Zval9/33yHSIG00Bgdn9daGerA6iHqUqg6VwYGGd6gd/RDxFrPZrVmDz
BbVlbZllq3VXq7MXdd1JmtWbtAiV2JBtAeQPtB7Lqlc61p38ltea+OSuEONqInbL/QHfw5ibiwfv
Y+XUz+wCNQaGsb7C0jet6dRuK5+qNwbZSmBsJ7p9iS6wIEh2dKOPzHM5meeEzKJkpbXsmEcxcKhO
+Ny08sgOi7y6QFJG3B7v50MQ9+lJpdgIGr4+OtIRgZvaLm+iwHwsgoJ6taHHExLh55Rpz8Fby/Q5
7wyr2KIa9byt0MFltqY7ggWpaDzoexCPsTI15kOspruIILfV3No3Mg6ZSFkHfH13buYfo2Le52o4
JOZM7FEfP/ZBeTOGZKuMFjmsplo7JVdeN6skc5nKldkH8MuPfs28F79aaRBwy8zjMA7xI0DMq1an
D205fEx7cRBjQIxzkTRrT8IGnYEEj0q7O9Qk1kK5vfLALZ655Gw1Q/aejc5Ktbw3Y4rdrW1r9+BZ
NHtnH265+2q1zFgqM1r1Q3GZ4+ge7mRznNwe47kB83vQb5XRMbx7bAfIfdQTd3GSbRp6kVVDmJgn
ns0w05uszvaEyB3SKQOTSK522uWv5QCg1PC9HRlkFCqy2SRNnK6Fgb1bTvpTGIl6a5Z6M3szXQoM
f2bwwcKLVnfGpiZ2jGirN7sxPTCR2cMcJzdaOB9kCw7cFc+FNMXWtKadpE29TnPjOjLDPRnx1wMG
71USVm+KZJmtrQnupKu6shXxIQX/jFgi3Q/9SrflMYiHK9VXZ/7lTJyxbdMtcHvSRxH07gS0hLU3
Mw28T0yE99Be45cstXApYi1Bi/11NrpDnqqXLtQUwmo7BbwFO3jtA2S9g2OsoRtuaC2s+94+tHHz
cfIZyFqLr1Q73lVgDfeBkGDxRgrTtrU/pkN71EgeCkNFRGI5d3YWH5EL3FlVmK6nWV1cpRHDuNU+
qtrgGLYNpy1/T+jSh8zKr2Kze/IrNPEMvu77hMilprgkFYIRc/iATvGB46PPIEl9dsqlwdReUmXh
8C2HYzwJzPipOhSWPMvQuucmOdUDHtWk7W/om+6UTyTqMKiPpSU3lMTFTnUmqh99NkJxNmyTIGRt
HJ3JOZgtQcWtPJazPmhFn4UDLojkfV/Md73K8fCU8mLb7XlsuGWDkhSbrnhi0Pia6/TGke6xb533
zmlOSe0dhZ08qy59cIPuEQpisXK9aKfc5Oir4C1HOSlK3Pgz4/nIaq+mvjpVs8UTJjRBSvmZYJjX
sbAfwgJKP2PYlailuc48c+8QUM1U+MYt63PqB1//ezbhEOEy4/mzs8n1p+af9XB/KOgs1G2eWPSJ
HEsI+qVq+/uphLRNQjPwPAnEOdYSNf79VBJgikfOuOiDiJn8Vut9P5bgRnSpu3ybUE0KPv8vFXS0
UX89lqA/o6IDso32zuMT/3wsaWVXwnyw5hukENwtVg8AiPDfVeNOTyKT+ygJPjsaTW/UDG/mEL2m
HoBjc3Tw4kXFRubGUwjC1nSnizvD6XD7EpV0gZ03Tm+8tNhNUUCEXozsSwwWHgtzn4/hRdvuVV3W
e+ZqhyGzSD5HTxNQGxICjues9/SD59bDrrcxCXgV5U5Imrdy4ovv5bgTKSRWgXS3k0WPVZIuDl/1
aGJyXDdW8Ow39m1nFTdu2Keroa2AkbIkPufeBGmfqLnJDe9Atz/ETO9IIQ02k5uRmVHUIOF7513X
cYbNcGjIW+F1JlftMX5D5HNzbDL6QFSfuSMYi0l4Ae8Dp4lJ8ztuQDXH+dZq8M0P0LQ3pHGs08KF
I1K8kX2z6SfeeqO6/SDbFNiek+1ZeMadbya7GmdFW1W4Enq40qB1W6cQR2uqz7ZZpCdhuKeILOR1
0BI6GuX+lWamtg6198BYzNtNQduvjUrxKcLWuQmYCFV6AII6k2Dmdm5x5EQJDdbG4lwhDe+j1y4O
HjNgBcfUsA/OFL1T8ZMKxPwLr1656VwkPlZdASR2nEOdADsn9NR8ZN3vVsgRjmVVjRsnbuiqFofR
Cfw1c1aBrJ9xbJ120dHTDBhpzhGZjqEzrbphS2z9tJVM9VdunH9Gg1TRMOWcBRXaug8l/N7Zzbdo
gNhNTZFsjF6wFmuTHNVisspL7kXV0SPN4BAHMFe1EeTHJnA3o+8gwXEcm1QsP9v3tVvIQwsTNnrA
Fm+cSFH9Ehs18Yw0/E9zQyAyVdqxlfEjIgzMTb11cIymX5e9tyUv3N0qjDqBqupzFbQXhBhf65Fk
JmfWZ3NUH5uOrYVZ//NgkR6f2qHNEKL5qHDWEDE7X6EGINbddNZtkN3hCVeQFYmN1O6lwtoyRcZz
rwWkCT0fMguGuBc7N3hB90Mgdm6akdTl5DX22W6f+dYVXtN6BeT4FUv5DXFtT+GIaah0o2NsSXev
pr5cZ0KmNBgJFEiT6lNo5pckNtZjESfb2ZC3XWUd0nR0tjJtSBvEEGWNY7elINlgH5tWbWCJT6p1
t8Q7vyiHNCndBxd7lGotiCy883LnlRp50cl/8efuPLkNBF7nHJPRvupqOsJ1bV0gNe8LFAjbxvfO
jEnZ50HkGlZyT0oHuYPp9Gr5j7mxdabg3KTpLlRZh6gA40vVGI+p8gWp3MVdAG16bdXtS2P095k3
ROvKmG8Tyoa1Z3PK0FCqUxItDe8wd0j4e1rpa7PtwnWL47hIwgsuJHbM/CaFQkTz+9haujsrf4z3
eTm/hp7qd33Zrj1SO13qicLACA1Z+GrQ8zFs0jeS2mkPCLEJULCvmjR76Av3LSRVcgP1IVlVkiGS
QTC7KCMeXOjaKzvpt4TRAO8K52JESMD2e/3fXfbbLrtwyf51B+A+Ve9tl355/2PvdPnB7w2AJQ3b
5kyE2dRh/slO9n2nxd2PbnnJk/rWGVj4M993Wuc3tL8+/VR2QEBYP1v4oc4EQcD+TdQCc9a/0joN
l430F4WmB0EAUbyHr4Nx7s8bbWJVylWDbV3aWsrGvzJAQBB0HDpmh5MzdLL8JhwsO98kXsTpNNXD
vBPTRJggMVAuK7pZ3Aw1YcfU+cbRRVVzGcg/3Wirq87MCMqHya70DXEzzdXSTPmMTEmfrFLnD47Q
7RkFKhqpfqQetlBi1U4Q7UTWuvTdZF+/JqbJSMdQIaMEqjUnBA1lCQqWoqJjiWn8q2Gn873Veemw
DpOqXlUT3k08xHjFPQk8JbNW9OrKNcOv/LYsh+jRysLkHqtfkTyYGRJvoIO+kDOkqYRRYAtUwR43
AjerxQsOgGeY+DAHbZH06QCWPSJ0dde2ImCCVLcWo0bsZea15zXZtnTRiT0Z2QxsR6rc99cjch0S
JFrkZitXTfI1H+iCOIpO7WyRa+VDCWkbFDJ9Q6jXAjIwVRu6Z9X8P/bObLltJN26r/K/QHZgHm4J
zhRFarKGG4Rky5gT8/j0Z0HV5bJUajvqv66bE3Gi2oZJgInM/e29NowD/w13kM3kA9LPWHxF2QFE
GCOp65tRreMdXRK80vPJuKbht6PMYOYq5AAW6GkK94Xl69PRjMtmB3Icatg0A8Sgo0iO6CEPJg46
ArhSbP5dEf7Yd/P7+d8rwjGXzWv1Ov59QcDU8GNBQBHE9sWvm72twi8Ya/+fKwJZdqzwuo1OZv13
YvLnioAiiPA3b4vf64Fk3Am4oyAiMFom7Xj/ZDkAe/VhPYCrPXvKcXvpBnv8j+6JrEiNfASTd5np
BP8KxTeWMOgfbYfGZru91xrrLpmu/LmmtlRXWulctU1wh96S4E+yda8AylTK8WhdxIH4qvfJHaQh
Hep8FW/wzr1YDe7tsceulcVbJZA9HT/52lQrn/LUGBOmoj6xYSxe1IYYss5OdhXTnbWewnjbR5W1
pZJ0D84uWsR6eJ+ZzKlH93ESDeMZp/L6qHwe4+TKDfVntJGHoaMumAzlsenwJI84/ZZFGR9awu4L
jpzd/ag4TxEZ+YMsaITAvI3WUcR3SZs+0VQ0IQ2Bm2R2sLacaTuV2lNXZ5euBEVt2TcIlwlzl5L0
LC6I/q4No0cnEtteye/rSgR7W4NxVxteJrtLNQaeCZh3GKNLnOUIMPCpcHN+y4vmhJWqZF7dX7pR
j8wYaTsjX/OzZZab4xG5CcpjZSPjJI/IfeWCf+IGI4S1aGgpS42UmhETdT+JNefON9AtzLredhYr
K3rbJvbFBYjmfps3duf5Ubvqc5AjNQUZSj7RchwK+CDptszTb5UI+2Wj1ShjlbKprAlcYtee2V5v
lVgh8Y7leBNK/bWJImOfSq6X0j1rBrD47OpFmcZoyd71gvoqHJ3x82D5zKhbDgZNRNeFe5kVxtKK
GZDkY3zRByGWb3tJOSx1GMZgLVMFOwCoF5LuoM88NuvqIk0IvmOco1MhYk8Z2ZgoxghfdJNNZ7ex
n81CUJIaNeu2RoOctWIN0bCf1WMbGdlCTh5nXdmAtCJnpTnkzgmkZxMJupy1aIaVzkUp1F3q5McC
ubpDtg6Rr4tZx1ZnRXuate18VrnHWe9OEL7Z4uZLjCr3dEyTyp3V8QiZnBZHnVPhsM1mBZ14JyLl
iK8uyXe6RsdJjM7B/cDfWZwM9NUEHQTUl4JvO+Mg5sATQyuJ0Uxobjw0aCj5LKZMqCp+3VzQNLPT
ZrklRXehkuYlroOdGwYbzu5URaPQ9Cg1RSvuIpQbReb7FiUnt6xdogQngcIjUXqspORLnfoLAw0I
LtWxnUWhIhmuoPFsBp/2cBqlJepR4eaQEYy1iapUBuEe7AyjTFwtBbpTj/5EDiJdg2dZ+kHz0M8S
VW1MazIpp2IWr2g12leoWWZUHJDqtnQVtHxCBK8Y5ctAAQsK+yRRxOpZGnMC7abO6/sAzQyHybFF
QwuD8VpS6Ib4HN4nKXGWProHhLExg5wy98hBMZUbaxbmIrshM4xUh1ZxZaDdoXVcZbOYB7vTC1H3
Old5UGa5D5dxunRRAKlEJKdLRfA0i4Nyyh4wpm/ttvMK1ENtmITXoicSG3+a0Bd70XO67tcpuqOs
4CHMOmQdsDtCmZxq/yF60yrtN91SmyXM9E3NdGZhc5wlTjGLnVDEDi7qpwG9YpjlUIEuSgrmZKCT
+rNgGufBsZ8lVHzkL90sqooqpanK3ZS5e1nNsqtDRVs2C7ERiixaxsWAQqujxcJVvpnmWwiZ9aVA
y83rYKWj7aqBuB/QenVVvVRgDbCByFcVarA2y8LRLBAT1qH9h3tRqeZaziJy6WRPBary6GYN/M5q
m6A3JxI/Z40CbVuUm6NIA9IAwySuiC6onmbcQrhfke5+Ic1+M82StpzFbQWVu8jkUcyyt8+xzEAH
VwtrY6OLG7NAHjeWscJerW2TweC3HLwms5xuz8L6iMKOAxhtWKX3ihr6jT3L8DwUhafN0rwVKNsa
rb5Gsy/R7kc0fB8tn7MaIXbUfdroNnzm22BM75syhHBsnJO5TJGxgBZbTF2zgZx9DqUtuI3mCQIW
sq1gpNBMzq5ixDClKlqyy1ejnsQ8gwgZRrBPvCFCRkOUKmkcqvDrdGp/VejWsX4bZjDDYbDRzjMO
823c4TP40CRgkWyehYQlVL5yog/d6fh1TpTa22SgKz7SOBZ46seNHUiXJjjTwVLTSU7QUbnQYMQu
MM4MC6xFLx291YYl4zVvGJMOQZ2uPKoUsd9SKzTnfUREiTcIjLxzu32cDmxTxfhdViAD+RUvklFC
/IuxFFnR4KxMjGEd0JelMlpwHUP8PTRb2WJBT3tGgVVw0atNcZKl2jzEqs353JwqsW6d3ryqeznt
U2dCR+hTw4EhncGqKno6aPBJX/R6tQcEeNacZG0M8crWpi9Z6V8H1FS2JZEZW4cmmzoULanlg89U
zrODflWpdC0CGaEU3meW3jQvHd5HNXEeGeYdu37kJUODJl1XFOkigdS3haKMS8cOn1lZvyh6tfX7
8KSYw6sf6weqYQkkhVgJIpyetdAfisk82FF29KNU9yzCWHGarIm17LuWV3Q1ts7SqnyUQZPep/y6
qWcSYzbtisC6MIdoq1YThqlil7k9JXJKQvA0CfAG6ldun9008MngVIxLZKpbmfbSQ7U7KFG/UxRx
dA3VYyuECFLuiH1uRBLuArs8BEVzbxk6FdsqARfetLqzTpziqx9jV0mCq8Fnp4D2sZr8cMWR1cMU
+ZqFlLyjZKE4MldpD62bfrV0BUCRK3e5El1XGqQgDT+oEY8LPbO24aDc1Ak8nYYucI9J42JkdjdV
/drvGHX6iCatC80rVrdZqz10juGlMXleUxD3skEH+jyPkUxLVvfkISX5AOmDOQtjSzcBo9gG6U4U
8RdcERvdmc4KuTQgM+rt2KtrPS7uc5WKUz3TZltJ9M2v8s4bSHmsmhATralc+oH+NChoYVFcULpm
b2I32iFzuusg8A9dMr0Wo3nZFHARWN8JX2k8LEHem9Rk2Tg4x0Jd+aPlnHI130ujXeWpYy3DRrlK
DXGRNsPkiUBf17WosISG6qKqlWwbjtaj2ccjTlRQFEk6gAtwWuB1+f1gTleFsB4hMfnrIsI4yWma
QWW7Tuou9dAWBxyZ6tadl56SoFeXg9YMqjT2zCI5FmQskkBMJ8plD4UalOQw6Hcqq+x7p1IhVY6l
XBr8f2MyLtWuvAmigWjklO16W4Pc0rQXUzW/tU3jYVD5ocUKJJVqgHRcjgbx3egyQUum8ZNBTTjV
F4WP+ScadCqbUiKilX/l1umjgvi2nX/uFnhZBtW8zSlO1R+dsLmRhXGl9kN04eooj2qxCwrlVgvY
0eSmMssBm0DJlwrwmzIAPWob1SIws++twyDY0AFA6c4tzJR91MSHpKMgKO3xqGjNA96Va3cosRkU
9mWsBpeZHa9T2xgPcoi/lKn7aAz6tcM6fDD1WK7awKKdrTEep8zdwccTXqxEciMxdB5Eqa5zZoVL
UsXdNk5TbVG/0aOCN5IU8W+NY0QFyGrl/IGbSnRLrLQ/MFQ/nfgYpY1BLn8DybAoKacMQ+UsZX3E
PmiRogyaJqNTXBRULhzraUBNufn1RVCGflJt3tgSXIQBDtFlnfT0B9Um8YdKF3Ud0aa6E/KoYNea
66L7219fZg6Z/yUO/fcy9lxypDApgpDAf//JHOKjvXAKUNi4a9/7/E7ovwsI//3vh4+hKhqmPb6u
j99V7Y5WjhE+PcmeB23r+Ey1fpy+P7kXn/z74WZqfEN8USblJO///YEt/Uk3y+zkcO4wz6b7m9KQ
9xn2v38/H8wzhpWoIcRdxqXZRuD0VtcVzeh0eb6m8fLXH+WTSxH5JiMAxwIR0f1wK/DqKxMQteRE
JWALiEdZ0A0aGB6vYdrlfn2t956gt4/17rbMmuFPtx10MNFcK01Phe65NTs6j5/WzJrp1r++0Gcf
6uf7/+FDSTt289b540IUGENWHMI175H5VVz85ll7L3T+8aFcFc/U3EWgax9Lw3RTajkvXnmqyVCm
z92wMv2vv/44nz1uP13i4+M24WTPA1ORJ+k8x/6jIf4/Hmdy9AZpf5L/5pt289N9AV9sNobQ5Clm
BdRtZk//vKIIro+Gzxf1h2zPPBb++c5LIdnfW2p+muzn3r5sJbpj85u167ObzkNsA61FFldnV/DP
13DDrJAE5bNTxcZv9BzqRsyrjlLWYjnpv3mSP7kWOjkyKiQXW0V/en+tEKOR7pJ9OYXzmXoV5V44
ruwS2XajXb/d/H/d4zN65Mei+zf+DpLnJ+jO+c/8mH/Y/+H3ZkPe0Yw3vfMvuRNbuYWFUTFMFS/4
7GX8MQCBsj+Dj1mHGNHq1ID85YCEiYzMCe7Fwk3JH/tH5SDMPHkG/nrJzfBO02Ewo4LRsGzMmB+e
kXqCsdearXWJTsOhCxs8gd7cCUuDtFLQgYCY/Bb5RUAkTpdO49v5cVQyxsYghuEAN6aSHp02UjgZ
a0B4IXaBuGWr4YvWgO2OtKeRGcZXCBm+b+IWjkWbCZ52JTBEtkhAEhe72qjw1rmdaQ1XFI5oJMtF
Hqxts0J7GOQ9rkJ66A1920ibpE/dNcwXlG5RRRWplkDUa79VbmPJIEda6SpH5CL5eS3HqMKpyCk6
94sDtekHWfoXbOi+0HU3l07DjCyKbNMWuzQLMBUEGBoBWkawh+BCpgPb5sgheNX6bGG7YbrPbPes
MhRZzFYe0dZ0Ew/zMkEOftlnzp50+zcNwscywqbUDKZO53V6yCLOS1k+nutcjuveYidowRX2CJo0
nB2mYZk0tPwoo5xWI2506JvaSjHbcRm3asn2vfsmjOGQQsf0WsgXXuar3wZ4514LXzhWSjJTJQZL
NSX6o0FArqovrUmVQFz2F2D5WmyrHeIMlcnQTNel3dLqlBCAAY6w8Cu/2BkhQfLByC9jLb/GOk5K
pjhEKCLhwOCbvC+JLmLQbfpiAB5YVFQfN7qy6NJkmYb4zLoi2Bs+nNLCsYBjspRpzQC2Oc2TtQN2
ei30hrT4pK6TtIovlHHawBy9b6WMPRjw0UYfeQXibzsPdkXw1aXCuGw4dYLfLJXqPshHnkRK9hi+
3TTBsLKGtFvEg0omK74OZHcRmfqSrHu7sLAArHzIDIvCEP62SvzQUwb3rNAsDHFRf81Ttd6qRV57
pswvTVU2mxAiqdSTO3zHX7KYFbIoT0TbC7D3eNON1EVqSuN1nGZfehtnCtb8VtEfFdT7pR0z7e/T
myExwcvO4DYfITMk4O6NtOrxoGvhoSgqwBDuRDah7++lDS4n1pr7we+/qEZ9a9QYSclCbGihOcW1
6YnYWRhm8zLYUApr2QPPsBNkqYTxloP+qjftDeffBElW5SA3BtAHjWBbNuV1a02PMEqeSpOj8IAj
ElRhVK5oWlE9Q2nvugghW00MunWsEBhmvmcY+4wFAsdFUNKimqs3rmmhYBq3Ra1shJ6fe87oiyHS
b+Z98tIJlQwWqrgMQuOIHi08PYnWQ5TeR4bNoUQdn7NgGiCBBNu2q6isCx1qeEQiOd4SWGsa+RjD
zub7IbOXDpNzcGEdUaqgcJ6aqovIAtLNIW/taymHFrpLFhY+5rQeT/iOX6sUkTWvysvCtu/y0g/3
VaanK0sdXpPIvWZigg9EhwyopgOe32n83ncZ/uQulYi0muER53GofmtUZp9U3vsp2UsfazRWLHuR
qAKlu8ARXMLPAhIUbpNgeLbCho4ta3YDWe6xNcujKozXBJjPMh/wzmBy4IGCdDMJ5XvV48LIo+04
5Y+AIEiDhuXO1mmsxgsMDLHs1s4guqXWWtfGoBm7gGAJbcgsJaoWHyHD7scp3CD7HYBkXYF6PWRp
vAub8sYPy+/NwMZU9lgNc/8E7vi2cOgbgXxULqAoWgeXdZG1MeeXm+orO2/7TZzk9zJHjLV7pslp
7S9Mv69WsAMaL+r6L27dtIsBFWthoLB5MkoeB73Rz3ofbjUFKzdJDaxNQCXWyRjea/1rP0N/AKfQ
lzoah9DKHoeRb1R125sUEu3K73KwCAwF9Fp8Ib70GlIHAn3MVhYcS3ZKnX8F7vQ0Vcr3TuVhKKR1
W6Dz4UwFHmmmTc0SIUnjZva5i4Hh6L66mLlgizTtYLck13zUZd+GJ3ow0OeN0vGCTmiLKbUvbOaZ
AKmUXZuT3WypUd4ZvXmjFf5DaLtwB9LoNetrLPhGj5m9n+S2Tro74J0TshckHhBjHZ6qf3dJb4Nh
BZvk/94lbdJX+UnEbv5Df26TGP06JrUMmEHwY77hBn9MhbX/cGbB6UGMzmSDwubqz6mw+x/i9vgu
URwIkrzNkv90ZLpUPczeTv7PrEVY/6zqwXp/uGGbxJadvTR/pwN+ff7r3m3bIW/Y2tA67knLqpEM
pzoVm0rPA3mlCxlq1I9Ddnhyda26ollHWnuoxdKb8DhasXtRSReTYpa8JGW+H0vgRBol5qPB2rIo
dGRoD11zJwe9XLWde4X7+/vMhvDsynnGf4KJXfOCGnSwWW4g824cqV8OhdiKKH0xq0Gn0j6/COL+
KmHAtrCaahkwK2a7x9QSvq5e9V7kUrfOjo1Rm3upTcoyYk9F5t9kdqWM21HlDCKF+gLqF62uM3cV
+OPCsIm39F8LORwdF9zJijiw9ehW8bLxqY4ozPy1YuFOcHsvYpfoczIzwSch1gPmUU/rVF5JOdpk
2nl9o8RMsES1KjJb7jiq8mklScQ6Z19Vd0eYe1DE4ppUdmJUKy3SAb1o+NmhDVSJHnhqFcAF7tVn
J6kOCb/XZWnYbPDy9jGDUt3G8Q0emBPkEyTUzDfXWc1mSCpy10c2ib+o5qcuMnOp9AYvkMzJN6Tp
9GXLNsjDi3tRxONVZpInC0jvhVr8bcwIlisONlgoXl8cAtMLPRifpUZRT6Wq3xsNG2PX7vpmvIix
jy58l0lNB8pp6/Ztf5FXsBdHQxBfsRrS2OlrJmT/wP08NObTlAE3iep5+nxOy3ivWP5NX8eNx/Qk
rpeq6pbhBSfedlqxHhPbh4mSh7y8m8Qtqeo17V1aO+y+zC7Ege9UdPUEpXukei/c20mOS4GR/47v
pVBWBjrnhiOhe8POr6UWZFThAZc5bUIds81NUZlGukxb3HgqKeiUeVOlXdhp2t47OZY8MSXKw7/L
4dtyOFe9/u/l8Jh/y79+YpLhD/25HL4ljlm6MJybCowz/tOP5VD9D2uRpnM2JHzLovdjOSRx7NLq
4KItYGj7OTb3lkXGzQJJz1UgP2LQ+yd9D7NG8e7MaBgzfxGxh4we2ecPi2GZl9CrQsCgJe1amDXf
cr2mfVIJjOIECN5Cv8kfCeC2IJe5rN+iwSO8qmpNs4Da3PTWHB/unXpLSFb3n6lOiJVV38tUHPjQ
tb9Xw3hUVwGLSXA2EolpdFEaIZQKLOsDk4XJnGCwpaCx5piqtFkgutFiO8P02nVwz46tTZkseLZw
a/ctIKQU9hL7VsimTPIr9vQyq+XCKvu0OgVG2hKg08feXmFjzknWMhxRpqYVr2ZEcuTfR/+PR5+H
5ReP/qvk2Y8+FU34g38+/uQzsDZjNUT/wCE6i2Q/Hn+8oZpGsoD3FAieObH5392AoQDSIX3hMneY
fxdz/8qfuwH0lFkAJ5hByvOfPPsUjrx7+B1TUUz0HGQZh54w21X5af4s4NlpEzjk1sVJFaQZm0j1
FGN6ZapKVZ9JFVCrKxi64nU1BhSZsuhW126ViSvN7oTOXDeXNo2ELu0arjry7qnV6t7HWz1+BRTc
LKwQjjv+HWOD/4nWMc2ZIOBhp64N19iwR5m7mnoHimgEb64Q7rpStQfGPcrXoEwzr9SGYp2HdsrO
GK8ZRHZsUjn/W90ujUWbaNVTUcQqWg2MmynszH0v7X0cV8ypSdmzj2F61IpNq7Uv2aBxxAdTu0hd
SaZdo7FAjEdmRO4io9ozdI3u0pE0LmQVxRAsPfqGdkCaEyXTuAqaCUpSwLnETVb4WiiX9iumtHq/
RByoz5BKdQyrTfoIy2a8UVWOj3W0oNbxMsJps+SNfBVj+1nomormRBjEIZvVRwVOmR5HGiY2eJkN
9ECzX9nOgEOBHOteUjy7MPVo2HEiU1a1WQLiRzQhgjkoOd8ZDiNuiyDlBcrADNxF3OS612DoKo3a
XCRdPlxNTmxvJIb/q6FTTnkRhls3wUbgC/QysEZTtAaZLvG+6zKlQ4vShW3l89acNFu6TJwNZ1k7
NpPUOCRey1ix8G/M+RXcvb2NebDlDqBgt8nqPNr7lnCOkdGzQWlcn0QFf1geVfD9V2obPgJgxc4g
reegysxFX1MtA3D2MYF6uPKb4rvisoFpRHCRztIDbMhTqiSz2pt9DyeTTpCgOdG5ATYGeJRnVE7i
uRLBR3TWrupKe4+zXvU6hrysudymLNsYdN9s3Mrx1MFs0SLGXnMXUVv0/AMarcW2UXW9Zhw73Gd7
vI+emoMnOJtmncyMg5Eg4AL5y9PAT5KOZhxdlS7lODxo9Ab21roqzfJgGXm+FHm+yaseDqMztRs9
TJ/Szl42yqB64G7qfT+QPaZ6jBSG4TuXCWNjkbnfNFGzuc6u8ra982mFrAtbaxeaKC5HEY07zSJC
EOTTVpiA7rPGTG+V2Ifr6Lw2FIBEqU1RkX0xhjQQ2pCOy2GkNHMC9umcnFFemFn2NHXiYKrRRRY6
AXAD0z9Kp6iXwOlgS4bBDeDFYFeG6a6KabMvuUkOGOGiZxMuYttfaInzHLQ9v0ArOg0dbO1ButSG
NF1Gnqf0VCvdwaNaORWNrvCM+pysTo49zubMSmYLwt26AJOodHW+DjQF12JPiDUmRWEc3H7w8J+8
abAkQ4b0Djv6STPaO/zYvP8SN7dOPmCTve9M34tSvTandmfj4NBBouIK1anqpQlFAHHuuufQ0jdW
1a3AQwGBNZ1znchrJ9e+uYhJiyzF8+iO14bApUh/2nGkj0gkhldwj+FH45pS6XvMOq+b8MdxevkK
meEWmjv5tSTeVW14xtF4yhxaSbGlQcbb2hnmTrp7vNRUrjI5XI7l6GnTuJM+/gLkqHASm6lNthis
PNijW9wBawFrj5Uo+mo5LSnVYivYyyahvYKdhYtOcVZSyTdqg0EArfmsNSl4oWA7IFtlubgAXgSo
J3ousbWPyYDEk33XDGyTyHPo957fwLdKX3O/vR4aAL2OsqU9iEm/fDBLe1lPmHkNrtFUVBxpJ8tw
burGWhtETM1gQMtxZ7aRtnRTXKk5ubqMfmMKpnkCfQEVQ1lTj/F9LKNLVrg1R0EP9N/ScgaX8qJw
p6uATabqQVGb/WQ6N7jqH5wQThYOqzajJLl4LRUFnBruFFunh9Yq1rU/LpPAWIXK6AV6eAW99ph3
+rXmZ99VnMFaRX8ThGGcQFvhdlunFmslhA2JexiM6V3Fv9SmFnVhYaHxBXEipV3zU7ysXWet6vVe
97HwDeUqwB4JZ61eIrnJBZ29X/s2f+CvMtYDJuexpquTXxIttpAoR9k/17L2pCMOaZPvJmEjU+Iv
7Bh8haQsFpTclIQWRtR1y95oTXeftfKpKZHhAX1hBQd1Yvhe3lRbSSBOGTLqfkx3o8bdQ18p93kV
X+dC3fjGsI78lu+OaYNstnZj8nTaG7woVzJPD8VEnk0gSkX21hn8E5mAnTRwNPkq6VxQpLKN1nA6
z4Wv7PiBLYreQXEjnagOjwWy/Fgprcde/Q77yFVd1SdZm9eck5SFo9Y3rWkuuwKprZogQJvpRWpS
jQgOC99XcKzmhWrKH8akOWiVuSmAa7ZND9WdKsB+3vSQ/S7k3ZyBULX8IDQjPAlf8V9A96Q3NSiT
GS69x4cAmwGqXoMdS8TfkL7u4iazdxrOYrzHzSNTpoWG/RzX5CqJ1G9WJhayKR+SKtwpmnpivcXn
VSUbldAVyFx+l6mdeJOiPoZmXaxdPbnNqgbvzJBsEl09x4kTw/PFxpH3+hrJdOuDCe41gSETgnpH
ShxLGqfyUZsFACQQeR4CC7/1sB8YgxSiWAk80A3zjIL3H7+AGoJ1Z6/aNqDUSEhPsENIGojNKS+J
wZXbTjjfug42W4QS3NnriG42mZNgzep4ADs0rYdMHsYmOFSNeZubnLgruoclm/uG8CbubbGXmsGz
TqadIqxKzXepaI6T6B/rqvjaOtUqiImk+elA4SNWgkzh9ffTlvYT38WHWfvbDhGaCBhI3aY8w/zg
u2j6qqJJTYoT7qkoRqJPrgUlSL++yAeXwn8vYs0jfSwRuvbBPADWWrGYL4vT4LxU/aZvH4f8e6DT
Y/a78r3PNrw6rXZ/Xmn+l/w0d899EhGTz5U05zI0xkVhQxuZdrn1JW6fotzyfv3BPv32+DXNmTFV
dT5+MM3BE+GneXDuxFPTHsrgq0y//voSn30idstslrnM3IDw/hNhPB0UdyzCc2d4cb9px3GVEqnI
gk000VLU/BEQhIT6eT/iJ5+IQT+HFp1HYq6zeH+5Tlq1NipNdI5kgCeTU+bcFPibz/ReoHw7lry7
yPzff7pLtS8aoARcBKPXoqkuSHktf/2t/e5jzP/9pyuAgwQyKblCVRytnuB3fuvb0W8uggT8k7Tw
94/x4dYUyZgUXVZH50Gg/pmeG51RyFjgHk2SDPVJa+vfXPGzj4Xng9G3aTHW0j+IGUnkZJGM1ehs
l1e0S4HA3tn/sDpq/rEi1lCzw8weN4bz4avzTV1YTlfFZ4iWq8wCzZ57fXr36/vz2VdHdsrlUng9
aIN5f3/yPrRt0sQx9+dREkHhpBjPhkb/Jm4PBiSt3r/69RXnZ+ovHeiPm/XzFT/cLBAn4D/UMT4r
g0D0vIeb8JvFQH1/d2Y6nqnac9GzixLA7/XD4lPnDKbDQc3O8UW1a3a8PI+5Z67Mq/Da9OQqWjue
WP/6U72/5N8/1YdLhp2SDaSq43Nn1RyTo4VGg4aWb399lc+/O4OvhDenaZkf7pY1qZbdZEp89kuX
YpKD4zS/+e7mb//j3TFwSqEFIgvCk3j/PBS1FqljDYDJ5ug7Ohq7zafICGizjH/zWT77xn6+0ocF
jhMxOrdtxWeVIZ9zZfo35fSb5e3zSzB3me2e2Eo/PGqRmuC3noLkLOXJRPwbYLcyPP3NS/WznxAP
24+rfLj12H6pcKQK9RwlX1MxF1mv5uQP/omkOYtkk5q/uUd/+1gQG+GfYf/kVYS37cNWQXOxWWR2
np6bblNWT721Kqfrf/igfbgEWtrPy7bsAr7QsEzPzDiZfgTLMTZ/87X97Vl+uwS+QqiWKs1SHz5F
PAzUm3LSOtfpVzHtSCf95gJ/e5S5AE5Wk98Jwhvup/efgaXT7lWCSWf2eVlrejTW4oFfSPf17bv6
18U2e4v/tyq7Sv/fMq+ev31iZZv/4J+qLEOJWfVXGME6vCfn0qgfqqz6H2p20F7ZiKo4dblBf81o
ZyD6jxHte1UWlA+jBOjnRH4NCAD/ZCqBkPvzgjdb2fh7eP8pvABBsKsfnpIy8AdTqF19os3gS08S
ft3p5VIQREZyqKszLUjBVmZW/mAaUEVor+TUYAsyd9k0kH7p5H4KCOdR+lZ5RH/vGTHayyp2Rq9g
nYUWzuErm/tKzNmD1RhtDjbF7SDD1P1FHE839LxYDBiccG8V9p1by10QhnJtTRXjNDPf8/IJtpVu
7xBv7/3e4jQcFzeAKjANicjdqgq7XaO7HXTlILL2MkegYbeI70GpYpLrJia5oierQYYLGObkQZKB
tZY++o22bywIpGHf3ijEoNZBSUcP0pOysAbzxaoSsW2ageTiYI5rNx9erdx6pdwvXtZ06izrEl73
oD9gE5Z7cot0HdvOM41RV2Heg0WMi6+uzE4JWTNH72xOWnjXvwzxGED8UzcJ1OaNWVjPDILXQZ5e
ZWStOK1nrxZduQMRIDVPi40hwm+8ja57Kwm2isvZO+tMjqv9BLQ9EsDJxXBCPaCjONC+RL5zpPQV
/5WmgtBRHfAGBWJaLFmJu35HneoTLSmcWHW8InTKnqbJ6A+OMjKpjXvnPNR9cFGQa4Fe6xic6ENR
fJ9mFCkJbkDYcUut0MCw2JjZIFnEmbiMcBcX5YiMkmh3asSxoKD7aKvNHclBoj9OCkoKNBG3vW2t
NLjEy1TsJyWr6LwQyZaJ+KoHfabmkFd16cQL0II1Y/HoS9SbBVgVxFRdNPFSDxBDCqug7jhHqMeH
dQ7QJxcWxBmYULf0Y8VMw6tvbTtsKZPYG63kKx6zpR8P91QLf7P17MIXHDCJiLG7q4Cc2KJ9hqs+
Uu2qP5K3eyLmC4w9sDeja1AFTYxcU4Kb0s7r5QDLQmikc8uZfiOTJTxzQIrJheXb9KqB6qXP7Sab
5HdlzvV1Lc4+yxwx6iRU/3Qi/qpa4sHUzPUYDtdp2FyMnbg1RfjUpOlrWCXAyKFYl0N1Cbr8bpDx
Yewz7pavfQky4m1h5d/S53VoYr6hQguMtV7YvZcQV+AM/+jb/R3+V4K+AYGhQSCc0t/0whzkuq/i
y6CoYFq5wcKxuxnMd42DEFKSH11VtIDTN+lBXt4HmBVbqz8UwkRRab44IIkCaV528NLDaNrq+EcL
heAWjPwHhG5nQ3AfV2rkUmfgOAwzS9EuaCQaFj6dVDP+86Gqs73udsdE13YgFr+0MqQqnZy/V+r9
jjn63DSXE1EQ6XUd6S+FnrlbG9/jYrIchK5YX6WkWVHu83pFN1m2piVkOxkEv2K4ADQHFd5Qq2tH
o7x8XnFZpSAVJkZ3zgFyLDSY/+sWRTBQIGOouD8VvgLWpCt9tI5x6341LZp1C9u60yzjqJP79vR2
VBcdZ95lPi9xVTgtof/caK4kdYR3TCsAjdW4U1zVTLdZR8FBiiEswA9Pem+4b6fgRlWMFzvDQxdo
zvH/2DuP5caxNAu/yrwAKuDNcgiAnpREeW0QylQK3uPCPf18UE5WmnJR++pF90x3qCiR4L2/Oec7
aR8FmzBE6ZG02UWxCBarQ6bXk2p9UjH9+UqRsTYwK3/SiH7KY6YynKTrNBbvTTfTlNSEGMSNclfE
PWguxYo/V5F0Ngmv8cuWMyKOH4eov2qwjKFIe4fTie+4AM8aVbK7eJcU5r9B/Oxgh8I7GkpWCC0T
TnFn9qVPmXcw7ObOmYJo1eRIion9eynn2PErvdcgGs1PQU+mmdW3n8xOqt1ZNPSa2TkKFVKVg5ex
Fe+KEKyfimafzarPkBUDa2fciHQ+CYdcL1Nu4BSAGLaxxckSO7RGFKDaB1j6ZNrcaaO8jQN5T3zU
Q9KzzktB5PDbzE9OOp7aenrIDTyyQ3LN88CbMIr7PCVjyoD33oUxOiG5wFWG3Bh24W2hTWfFbPfy
mBx0ebwv2MgEunFthq1XOXqBd5xvtR4BFMjMEUck6fSOSaEcJx27blntVpyxHgu0bVEX2ybpZryb
LceOiYnO1FiGKYG+MpUg20Bz2c0z+jkpJTIqMUGfxYiV2NapO3QuMQPuBN2pVhV+KiPYHXp2iuEY
rzGyJl+rv/+qsiV99q+rsmPZ/s//FuGX7Ev7R7HI8qO/12WAlJCEAFJDFfLVLPCtLlPs32icmaVR
4y8Vm/q9LtNZsXN2QE9BaSXTJH7flqu/EUaDtwC5HTwW3An/pi77tSqjGmT8YaGcRalqE03zc+2e
2FZrD4WTnIl+mA0Yv9FGrx9/eGP+ZOL6VXLyvdnFO8eraNw1GhxGBm0Gb8+PXU6NX5m4eSM5d2US
Z2ikZexUDto0AMpq6ica0+qSPLKjFRIwI7gI3WzGNJupyUWuopss5mQ2ovg4yLLwZMh+HP8iW4Gg
kF05jHaDmu9EH4ErdbaVUI7yPNy0BI3Xc0n+iXYVN+FeTgCd5f2SryLXztpaZOIBOnySrZw3ZSQY
j1BA/scuZYWViffYGBvE3SZKugZJFt9mfn7EEAEmQQnM/UCM6iYYRpahUovq0MEwzK0NmJ+cOFIX
Vf2BpDGLTDlDeyG/s13BQNU2sZxGph+JusIJMcHnKEtl8iY7RecXOlWQwDMtWG71mn02p3YaN5aA
BziadhStOq3S7IdZrYGR1CrphtJsGhulHMa5pgymA6xdYeTdFMCbNKQru1alE//8Co0P55uE1bqU
io1doi+HEddgL1czr7HseKtleroXY23a17xeq70YU2i1B3CKfUlSgXYpUeaM15FCa1eHk4OM2bT2
fSjCZ2hg+iP4V277bJpv9a4Q+s4uKUfBwxgA+2xCD0xXHlqHgCDif8xCZ/sg5AVAO7IvE0iv6zCc
dr1q9GdHCMvveM+JeZnb1zYKD+MEAGMa0QY4dbyTVJDamFxhC1BpXuZe7BMZC5VTKs4lpA5fdQnR
QfbkAImsctkdUx1nu+JZdfwIoqA/8tH1nlnHgC5wwHgtJd1qzMZ4b1KA+laHAaLrMsUtnEA/t1Gv
9mRsths8yNtBL4g4GdX2JkSpgeQiP2ErP/VNW6xJLrvRS2NnRwKLi5lty5jKLdTkaxDAt51i9fdh
P9rvJVvSNkk9cxjN9zIWnpG3XhrUyp0siTWib0q/MiWtCDm33WKkYMfbmtVb23ZQ34E8JdNDDQm8
0fq9M+ZrDpCVpc8bfZRPk91jZei2TO0wYEdoTftPmFVOdS6ts0EB8Q8pQEyf0S2ygP9McKziDWYG
KJpIRC81+mfDjD9lM5QLMmzbfUdMK2mT81HN1Z0WqicTeDlJNM8VHx8BoplX2BZycpMVuL0V8vw8
Bq0f5nQGtVxDSWJhrRARuEOWm3ikUXqEZF3zN14Mrm9vjOfQi5ugdfVejk8RvlU3CtSbLiva01B3
h1AdeZgXM0A9wlgJiB+w8+ng8CWSgZKrTuONtn20K+2oj+WjNHduali3Qg1viro6gjAjYtY5Ql24
iZx4n6mVr4IuI5BiXKlTqiABYVwuCFV2w0Y+p1L6wp7/BcXbHkz1ARf+HpvPzTwoHgGCXpllJ0NP
3DqrpwNIFuIuELjZ0fS5Tq2tWEKjGsxL0cgVPw97u2RjXs9Fse/s8i2fAgu7RcHWMqRSM0Yt3dRO
tQmwjF/mSar/YViqfLBofzl5lyhpWlcbYhb/+fPJG00K/YaZxeeyJvWqzxwshv2UenneZ8cuR+xj
9QE9YZQTTDF/Uaq6vanrVL6zZ5vsr3G8iMUQNAZe6ljA7btNHZnvwF2QjVTNsq6jmDIn6FHzsvkP
YrcM8OQObKhXet2DkLO7bV+WnxprFm6ctA+qFdV+r3TUsKhgVlnhDrXbjjulSi2olAUbZAyQVNOZ
Wm7a3HqDxnMrrGRP7OlhbrM94oCjVZVHu1WdTTcQR9pO8VYd2Ue09ABmABArghOL2xVJgNxe9Eko
bhWZeznCW9BpoXwMOvQQSTPeQ7TWgbwjLlQneD+woN3ahGI3xumpr+ZzBMYuHYyNwSLXizOiiwo6
JxaVCxiFpGESm4ywOhJWSCZ7QaIo2KFM5AwnVRqiCr9CObXrMmmu0iS7oAHFqFb0mWcWEpa5CmBm
01xDAum9fHbYUjfJPYBsAFNjDJEUEQwYEsAwFRDbeU0G7FtayxulQuajK89JDqtDowVw9O3AOaS1
aFsd6yjX9CGhI70FijnTu9UrU6BdSrNcgXGxnGXdMbbMJ1XO1gBI+pUtpc9Tripu0k6pr0fhFfh3
Bc8zTY9eJfaW5FTxALl9OMRx3ZwywkJ2f18k/Dyl/CgRTHZ+zA8XDzQy2Z8f1AQhO54OMs/JyPO0
ZN+gFvr7V/hlfKwvmluIBDZrJHpL+1dpIEHnBcbNMDxnJgIg8yoW8TauLs2AFqXJ3NgkSjjx//41
8Sfze3//AvKH/PKqy9/9w15OVGlX6ZoknbAP3hqEFgLMKW65FZ9CndqDLU3idrbxCAyR/C0ANz0J
1XwrMD7JKp7gopmfSsk6xp0uu8R+EngwKJ/sCDAZ+4l74OiDF6bTwcr0Z1xSIylgmil4morSF7NV
+HYlwW6setu1imnaidHSPpVF0q114nQgIMWfM55Vn3ToyOMEnrwOp79LatGt0JekAim9F2Gv7vJQ
u46m7g3P0JZL6a5tmrW5BI6qRrLV5EjyE5kKBWxMsZlmIbt1buqAMRdaZjxe1KjwijhmHKeF4JWd
6cBD/163CMswe+4aXdpOg343zsmjLqd7owNb1yyq+jjQMjfpYqTAwtilc3JQB/JNp0D1tAzdhRak
nLLyY4+qjV4qP9nRuCmawe+DmSdY9tMuJJma+KIyQdZZQZn0miw4VYshybC2SomP0g7H28hMKOBg
6ooO5rSmdbI7Wx0otkWMIcpXc+HcyflNXWEIQSu9apU9KhZ2awY8rgK4SaUo98UUbcdgHL2+EecK
ZoKXVNg1gJwhOsFTylStNvRNWOlHC8zXPzxu//SM01H8+LThzbIAk/O0JcfiOjxLa1j9D8Nm3hHs
cITQFbmfVdA/e+VUvAyHv39xcrH+7FGHsq7gal+0FT+/uFKBYEoxPJwqz1gVR9Wt1uyCQP8/WmvZ
l++vJPf42Pvgi/tX/i07T0d5tY/XwVlDfvIPv83Pjc3X752GFhn1hbkgZH/ZekzyANFJSaJzJF9j
4lnF8mPTb//+L/75zPrja/yyvJmbXEhRlEVcrl/CZutM/7DB/dO/gZ2xBShEg6byy6eZjyZuRfLL
z6V0XTNgawxqzq8n1H/t+3K+/3X7fvjS/InnbfmZH/t2xVyAFr+b/L/17UBSobaQUEBpZSIb+aFv
h3i6rApxtXHFmHwJvvftOjBU2KUyBpCvdOR/07cvr/HDvcI6xTER4Ts46Ni3KnTwP3/ZLKUKob3P
3dlqLSbYTD6pi5dmDiG5syH54rUNwmFdV0bkK9Oc6NI+b20xOZ4Vq8kzeW0iuIqCUtQ7JBwcacAj
B9lnEius60pvmuG6GKpzK/p69iWWhht622LxXynPUuQMNyRnI5SRAxUXiDOUAcGaZRZ7qj5H646d
S+jVNNDk1xDnzUxV6chWfybCOWHNMTKwG2dPE2Ybt2u1GGNln+cgZG7DeUqlTUwUmOp3ZdhsHMo1
MGUFiah9Z3pNOSSgx6baH2piZ/vUVPxhrJckdbN5mPtI4DkH3TP7GvFRrFNVhyzLTGhmfaqsJe6O
1lNqd3I1mycxEWEKg640b2NzESQz2wU7hp2QEitKu9tUy9gcmHqVXY0QFtRNbfH/T2FbPs2DjvCg
YqqaoPmPSmtXZ4om//ftVD6MKDrP819/O8kv617/x23E/MfZ2vKT376j+FJZKyoGLHJMpj87UdTf
2DMiSqHpWb6JP3xHLXKgTU7vb1Ys7rFvThQTn6tsMAhjVAL76d/N1tiA//ol/TClGqYJTAY9269J
IQ6tiBmyp7jiCS9Bk8MpbNRM9bKxeIyBefvqQjNs1QaVdWphTzC6XW0o732Jhb/kG7GHFEcgYJRi
6ZTFNkQ9avB+eFpTgkksBElXQBUTK/k0BPgLwbCBMizIy8kWBqPFZJ7cj8m5jur83lhojfWwDJIB
OEJtuw/DjiozfgQ2eJejs7qylhSsclTYyizJWGj8431OWFagE9KRYviwcdQz5FK/EFPGoEKVhrui
drbEoR+SapzW8ligKh0vtTIQb4BYK5Pqc08KRKjXG0NuCUY2xmNuNbdRy7KymcpTa+ADCzttkwL0
IkC2/TzFrJXKMOx9i4RZV4tZZcT1re5M62jUQSLCcaP6jHd9Zr0oSmS5wzic+4VQZ8+LeJ3KToyw
8cpY8cZURF7WpJ5jzJcgRMHNFpq3RsT9IYtBNORGeCa+YO/YZLmCZ/PnTnpLkgw/RV1bjEjizTAP
MemEmFmlPtVXcLWISJkxGWT2tRYWGSFpbDssBmNdp12SyrqU7RtSyXf8mb7AV8c/CixwpLSvEclk
bosyD7JwhxpYU1faYvjRTLLash4gbabTw07t1i6dS0DbdRNk0bYek9GXa6UCpcpykF2/uoHQfqfP
QJPT3vFsybgHXeTs6z7ZgkeJvSmOr2wMRi75HWsGsAdSKa+HoPS6TN5Qpa/Lkc2yYsSPjt7qm2JU
0d3SYLA7qNdzbKHSnp7UMl/rRf+iDxPUSK2/9C3rImUevvDKoz9q2ZfeqpWrosQEUivTdTIy3gvS
6OQIKTj2WvMJejZ9PTaoXRwW5ksk5ZZfWwxK/AlhsC/PKHiMgOy8vjoDCMCgEZbtzdiWKgvTiWgX
3iAQ/ljB3uzKHii5NbCF1rqpxm2nBazdGWJoQfPs6BB29amA4VvxEiROVLgTmgHwgzB4i+0w2Eh5
NN9rVamwtZ4GGnDr1q7NQ6dMX7KoTj0lNS64dMKDOfc+M8KzCnFacUD8pSaCZQSCb8lcObuutN5G
i1EUqEggZLAIiCRrb7oaGEfQnIIUQwOr9GrP0NTNieYgCEb38bssEck2KX/jxE/gOVkVQzitEyV4
z6rgOsMV6el5J19xkRHcIXQVgH92qNVC9kWSVdu+Uj1UFB7gkf2QqK0XB+pzUiFux1vZHSNdkk/a
0BhfZDlI70pZr7ZZb08ScvIIm9rHofxf7bh08X99O51emxj+zOsf76bl577dTehxNBBRS04GNaS5
4BR+qB81XMM2WyEEgBa3xjc5jvUbtklFsaA+oUhedju/X03Wb3DvEaKxP6EoVZFF/ws5DprTP1xN
aKwd0jt0jR2UqvxSPyaNlKrWrEZXuTzrwSlScbyPihzZO4NMpfC6lAZjP4vafDEjfaC5kYinxMeE
VB/fU/vgRHp56zixMeOWEEO51gqre2w1oQTCFZkFUwVLoB5LD6Oqsb4IefQzVU3hIJvXts3ilEWu
6M27MJteh3B+ZdWug/+8mK1N6iDUcTXL4yt1shgfp6Y/9gEkgGZPAQlGucXsx2C7dVmyv6Z1w1hh
QEfJ0LelLQcIMDG+ZL1qr7MC+rC0cKkM4ez0EP11PwTbKgft0huXHBq0l2pMGYPxDGQHlGyvvNZF
fVtp6ktkJ1yzmBPXkJDYt6vzvLFjJ3fZiXBK68YlMa1jb7dPap6CSi+yY96UBxFBq0FIYXt6a3HU
NGGzyocKqM2cXvq6uq/1uTppDV//uQBa0NhERjU5OgvIB6ALMtBAncZiZCzC7MjZ6s9W9UQJS7qm
IleekJsvc9tMXMlj5tut2GZtssFmuFVSOKMWsNJJclxd5+axVXUtyi5Elcd7QM08gGGxjW1c8H/p
/Ygrxikfiih9A6Z0Y+uRZ1fZZyWN7swSZHLXJfoxIDYJS+ZNXC1wDMPims5hc4XCPIbsPN0y0y+R
ad5Bg8XUZ1hvZlkcZlZG1WQzspdtdgQFiIeqLxMu9vFQ4Mvt5KFf6WWxyWKJSfySOtApBAjWxUNi
tkxI6TnWyhj7ZsVy3TAHVxoCyP+yvdZrqz8LOyy5IFpcuY2+68iWf2C1M5LqLm5m0lcwmUbnAoMa
EGloM8kk7psp+RQQh7k1o0asDFhbIDweKSyfrCB01UZ5hTPGuHX5NeT+Ik32ug7mqyyN/TZW105w
zcNanvVeHDMnvYabT7SbA5sqhZzVjOhUwKV39BbTAZUD5ZiRHEu1JBAJ330k2Y8S4LRVZ1BNKMkY
uFITr2Hgno0qv9Ic8mYc87pvbXRvfcMA19LXkla/wKfwIkO9z7uM+NSSC7I3r6YliqEwBdmKjO/7
uvTw79xhi/1kSuOpMcUXDGZ3bWftKJKPSZ8qOzmyTLfLHDhIJZ8DYctvmYJlV51DC/NtJiDUmlf8
8Shahuipboxkpcj5lRoo14ys1rWTfpKkwKUwkSHApZjmtPy6E6V9LLToYOVd8RiZjCmyCcYtKP/s
IGWico0lMCFAYuhaef5KdHXqd1N2o8Ciz6Rycklwx0zICNux52NWdCehUA4L/Xkw89dOU7Da8aID
nCXg2Vng7CIyKVqKGF3Tt1oFATsOMpBPpr4qdCDgEyArXU2XCTmQaCPaOyAHDrHSFDftmAbtfuyV
ZTlT9Ktc1WbPcWq2ZYn9KHJKubDMUecgNGvXKJnTDQlILR40y0SZLTbVqKvX46Tvmcso54gvl8vn
blwVULZJ0KEHNztrfJzrIrxAIMkOiQ5/rONt8IdMyrYKJGqYdghyMBQGeNR6s4u2naQRdM6ENMNc
JytrKQn+35D031W9iCb++qreFdOfyGaXn/n9mjaQZ6Cb/ZMxD/KMJfxKRYCBVYwQmx/vad2EhAQw
ERqpA3Po+z3NBIh289sFjlr939zTyDp+uacpHOCC8Duo/Baaof2yF8FvDXu7t7pznppss5cRy1jm
uj3fTGo/99UqdqJgNlna9HJEmdqnAy1ix1SG3gKbJxVxrFFB2nE9XSG7hH1K5MmwYAyV0awF/U8W
aRsipfKMq0rP4vYmkgLSLzwpcMriZeYw0a8tIZym8Cy5wts8GgZeeFeR6qR9ZcHawKHs0CW2bNq/
grmUPmo2SVs5p6iW4cSPjUnrOej3dYk1yUY7VYP+4iuaJrmn1EN/wKUwYWOMi7OVpeKimOnwSS4M
o0LdGoWfer0ZIczJ+UKfK32CgIJzInEqoXSMtqCr8hT+gDbdKAQ17FpRDqe0sAaCbfrOA6H4XgIz
Ybyvqs2rHUP1yTpdFWyaDVSCRtLdsVTIcVwXxmd7zpxNH2XDMYQyGSBK22SSrl3sWQbdroU014Iw
T4Dj7NSMrpOQusrTuUEEvE4F54ZeKVUFBhP164rC7BMfU7etAxnplVI5CgdOpL5oc0U83wxUbpWq
Qv2UAjcgW4C0lAn1xZNmtHiZVVW9Lion9GY7F1dCpJ95S4sdHFDlVsGFyWJElu2TPsQO7uUyOk85
Vk0UEPHZiNt24zjExySzY5/nOja2ec2yyZkI8YvgJH3WoTQeUcO1DyInN7SlzUFnHask7yrZDOui
TdeTw52roAq5UVIiymOwhddazDKlE3J5wLmFIblN98FEZshkS1yYxjS+D3qUbe0qD/djGZMkbiSW
dIop6vZ53GYlO9Eso7SgfqgnSsEqFMqGYMd5NRpsVqA0OME+ayTzAR3fIzJr9ahKTFH49QNs7bl+
ojtcEoQb+QoQ34ihd0h2YVygTWQje9LbarpEDeE4fTvAxYzF6ANLDdbtx1zyvybo64iOo+avT9Zb
2Lr5n7RACwz329kKKAasEeI39i9Lq/NjC6T9ZnB02qaKJO5r8uC3HshmBkcgIQ5QBQgzg7PvZ6tN
8qCmLmK6Zdon/7uzVV8sET/M0Jn0QaezHBRpkGc0Ns9Lj/TDbpaImAwySwKWQSOham3YM9Mmtqef
G9STvY4OTF6iKqWA0MpEcR6CDsdesARaGob1qcuzW2uJumRL4EFzYZdPCqaQ5F1LKma6xGM2S1Bm
XPdogUjPxLb9Mix5mq2KyTuv613dh642x1cahwiRGKcWhZnSYIAWSzpnD59yhT5vWxDcOQ+SZxHk
2Q0m3x9pvk6XjM8sHi6q1j07S/qnkRY3TM8V8JjSnbQkhAZLVmhNaGgYmIcsecpIEx1CmSBvI7m0
DVg4wozJ4zQOGK2ZI86sbpdQUrnSF/21vpLJK53JLe0LcbDb4K1yUACo5os6EXCqL1GnYRGchiX8
lGHgM4MHv2Vt8cpgD1IkSam0KQ+w7N5C0AOrodJqF3b7PSq6NwGQnM6BZXJqn6YldJXiiICs9BTP
1Wu7xLL2AZX3sES1RiqhrQVtSDBGyJfs/H4i17UVw0u+BL2mJL6Odr3pPiJg83xh4qLQRqtfB8ZV
qsK7WWRoYiBAdpodGgxnzR14GiCzyUvUbEvmbLGEz/ak0Nqk0Q4tsbT0G09xBEKjXyJrqX8f6iXE
Nk27J4NU28EkPLFbcm7JuwWYFB7B9J5pjCOvIAdkaAWYXFJy24CiuCU3VyU/FznjEv/UOfvBpCpk
q/BWhNZtGEwbVHCjn5fARUtVgVQkfSGY8jCbWFSS7pH/bluUDE313rb9UsV3GyUdntUkO6IBuzOP
pUJN7pAKYzLu9iItiDxLtO+5Um8TqyGBqo7cTjQhcRQpFoLar0qRr+S079HHt7cwBjdETj7rk7Ih
+ilcVbZxaFn3u11Z6nRwOfDnaFrXXAt6N2fuHBBpH9GfM2Kw3XRuTpUDrSLJg85XJ22jhuUh5YrO
HKRmqdPc6OmwTyLUzlHDfenw3uvBoWPovZI+EEsiLJvHqOhgg34gmGgjrYsKNQQyk71QmuTKqS/t
B7qJzpCka3md4nWh7w/eocB+CQw8rlFJuMnCDbCK8aE1m09dKupVVZY3VkhsTZTeKAymbZpFVzMd
rxotJhhWj7pHBn9mdGcFKSR/XMWYksGdNiZk0xEDzHwCwX9mMfDo29xFFuB15bjWzOl1NFWvHscX
OyBhyZnu+aDRhCXSboqlY1FHmyiVdvTZKExJe04I9gJ9jHoHdR+m8xEjw6TPe63qHpW6odljcaXm
47pHYrTS4uRoxXXqdinqx9HaDMRT51XOB/LQLcGFo1iTaeT2ZJbFUgDnCn3ihJ4wip2nPMGA0jbR
sV8KD4oAB0SDKWA1g0Cs5bPWOZ/bQedLQHDnaFXYGBxPq6aTLpLd0Cx7eVVuUFwMfLYYcySxFW3z
mTyyKya9Xpvod3IcYriZGviJNEm6Ufh6iq5LxpJTj4qzVlL51hDBl5qmHoZ4vuuc0HZbq99ifBld
qTa2On0k5VF/iBA7JTFLC+JA3UgXp8EqDiNBQas8zVw9tJ8J7qHURGe4QB8neeNY4jo2+0dZrXYL
agS4juUjteL8GwsJ3Xx50QS46nhuSHNDQxom24wDsIr7c2DOd3VZrmq1uwlUsYf7uzJrAwyQM3nz
rK7ZCfqapOzKEn0WcPCZU1hbO0Z3kIt5DXeyp5pitFvJn7IAMCbkpRctZvA0IIWm8Q6vlYJ2Lwxv
lNk+Qr3r3ZlcLBxnAzTJ1LVwhbtpFRLNir8McaUhNk40XmuZBIh7uobD8K6p87rI0e+and82NiVY
XCOZk0BGddV1Z9n3YywiNzcM4Y65AdwqUbOnFCqMF1b9e9KKQzTKD5kodoC0jpFDFJpo4osAg6PG
zbsRTr4QSnVGsbiuk/k+VUCBGX36wAnst4Vx00gB/i7ZeZbM5nGsx8OQR5S3IreYn9sMbaKDioUs
Go0rgCMHnYrYDfRph3Wa4lYJSPuBDdSmD30mDYzYpYIOd4ayYpPqk8nxTjWWvPMhn+lsojfsH8Kb
+nL0WgYyzjxfKfCjfcoFKlt8fmNDHR1o9bvV9YCyuvTUxQzZxDQWHhufxzJRr8tcvQAlHIg00lnO
tp8NW2WB5uxpv69ac9zNKudXYxEaXBjF/ThJD9VY3mWxyoiz0Lwqi9kXTMMV++XZ1Wf7doaZBn6T
dUzTIR412PZs9SUjzgz6fITtTjrRPyhYPlga36Vj7CEtdAJgYIkhwLULAeHn8qStERpMjuZcKbf5
6slY99fYYFa567zeXdoTsUV+6Xbb+GhswE5tET3ujXCbnKLNfwXuR4Er/+2U/3/JYiu+/HHGv/zU
twKXGT+GBgRGfDpQXmQKyB9m/Ez/Df4F+ANmMrXv9wKXubumycb31fS3/bP922L6sCysus6iMPlX
JFBShH4qcHmCGEDh69BIkOD3RJb18xMUYsxOEs3OriSlfg7jbljNIvukTMYuUyiSEh7uthG+ZVAG
wPOZKWGcqT4PNj6IYMjrXR7XHwkOfFcIJUBRu5ZJKRiWuAIbcLnbh2i4usAzpZJJhNI9xDZM34yk
g2iJPOilZpul7WtujiEmMv0toGxxKylnem+Mh5HkhHSJUFjMDx7jD9+ceuYSS9CCLCSMCctAV7Wp
o1gYCkYZMhPMJaShIK1BnWA7AUo8CEh2HOzdk7ZEO7TAjUrZ3IMqgMg/QjYKe4IgkC+ujIg9WUFG
xOwoj8gDMXss8RFRJA1EuNLsJ0u4xLzETORL4IQVcCZ362kJoqhr4Icq2RRzFJ46rqWKzArUJktW
bMx4X1XxxKXY9sLcT0m6CBT1Lpiybt0jB16ZjtZTKhKMUaUSxjuyMnJtit3Arh5tgxgNJgiUXKCC
6zi8BY9Wvcj18DAtjtkO62y1eGiZ1kJoAkQwhv0OY8EmrwZuXGGwZ0EGTcWI5h6G8CnCnqvVrcYW
f7iS4J74aSpmTzVmEvMWXy94VWkjleKiYfk1MtzBw2ICFil6d/O1G18rdu06huF20sqNIGw3EyR0
NhzS5YOjRMUt0epV+iUO57dhjC6zJnes1Cv0+ACtbPsVsPI54PneyVhhtmOnlldqEzhkUTF/Zabg
6g7ZiYNlbjuG8is5kmPue2c6a8nMbjwu8wGcg/U4FAjU4zw6aWP5pZ57kNll6NAB4IaZ/9tmftXa
GEwn/7qRf/hSUPT/SSe//NjvB539m7nkUsGQYDv5QRD4dtAtZ6AF75VNomPTy/9w0OlsMxUOIJ1V
49Kw039/O+g0YsZ1IFwWO1Ll43/6F9vMP8hsHE5aZC82qlMqfJ1f4cc+fpSlsG+aQpwRj7k1q50Q
UCjkoK8PyF+SopQFr/DDwGAR3VmGyrSXFHKkpbL+y42M6bavzUSvzrIwnPs0qiUTaCeep63NCITh
wYfzqW2D+TahJlrB7dIf8diFz1WZ2PtmsU0pVg4m4KuXihWZ9uGvMj+8Vv2H76r/8GANQd33CAPo
vHq9j+kcpOxqSLKWNN2qKlW/HDIygG0pDBgxtEHxFKeT4y8zDJjtxWcj04eztSjXdCFXmYu9IpvW
ZQBXMsOxKmUt8dJWPJTaldwrRnrss+Sq6VKiJODJu5FzzTL6i9FWb0UdroMWy3tfbwsSuw3JLDeq
zF+BNJq6LFg7uW+M+S4g4cLT0pyQbXiN2VS/E7NymSvCHtXqXWj9baZwOg56kzzDP289J0zFSbKq
5ly3hrnPYocuI0eBM6vsXCRJe9eh0G71IJLPwPIqP+8DQjwzyfDVwT7RvJyBGA7erOJ5CuNZ3RBA
dD8p0lNGEDl674h2uetC1eJsxJ3HyiX3mQbFPhlg/CM6gnqRDd43OttWMI9FdGmRoPjCUhrfGeXx
iXH4xLuolqi9U9F4utSQ+oOSqDY7ex9JivIPNLIljOrXRwyUigx2A/QMs65lZvXDTIrgdYxwo92c
W59lGfj82/kWz9CqptQrtrAmcHT5+cbyG79AyI0r31e3gftPALtfSocPbTOyY/ijxjImI93v598D
6eYgQuSR50AN91glRzcNgT9Wg66ubCt1/LoPtHWjmjhhSDI7hVYDFJzPiOzu3J2s6ewE8sT6eX4h
V9ZZt+wj111XrcGdvlgG+bckvzNNm8fHOqvwcTXgRa020bxx4BoDL55zX4/4050NdBk3CUil1+0A
jZyznTU2e6q6IQtCWdUdjrbYYXaTF9uEwXypIRArZVZuACZUxEi0xCjBFidNnkPu50t8HkZH29Th
0h1r4X0IH1jR8pMY2VczaUZNyoNmObVO/EJy+8Pxev21gP8xhPPnQ+RDd0hOl2VyXiIeRgjy8zvr
zOrgVHnQnGVibzYcBBl/PHEM+Mh8g3E5vqmQ4/r3E/1PXvJjkvm9lfjja/7yaUpjbzV9GrbnOtSe
DfAoI7MWhnPWVs9hdrGcWIUmS2qrrl0jazuW48WEfVAwxpD+j73zaI7c6KLsX5mYPRTwZltAWbKK
RW82CDabDe8TSAC/fg4otT52y4VitlKENqJIlAEyX75377nWJRzOJzXpmhXyr29hZm7qpjkim71W
w/nNipqXQiZNgGqi/vUM9N/YcsHf/P4N/jG47vXr+59tyctv/b4lewtqfUkp1NmW7CWf7vuWjD7d
IhfV5NTIpr1IhX4/ezi/gGb1SEmh9w4j5vOWbP/i2AaydX7B4MCJ5fxfbMmmvSxU/7vllrMHunm2
S9Ywldip5UV8XsgUFbyZLrQIyHGB2ZooM9FZJeKAlq5T/kgdvKpH4QVzMh0c5kfbsogwlvU7KpB3
UxkIVvNgSRmy8ysnv2AN4dn30mPJoJMmgnK9uImApxPe7Rb5A7wa8j0Sz1ubSf2m9TWKWbc/CYrq
QRue7RzcLjFFFoAP8DXxi+3lgYK19QGjmbor8RZGhQx9J7TIfRJatel7fBeAPEHb6M8ImsqgSUxs
u6QfBJKiejOK8Nsgu3cjt2xGVqq9dqu09os2ua2y+HqMytdZlQ/Kkijj2QgxAaLO60yxDpatWEFv
owWpIeyuOqf64lrpW+y0JMGq9qqVvMW+7bJ1V2tnJUe9Aqy2queLtEqGbdpabPGJfrZS4H6lgbw0
yQU5dGL0c7xvW9usael28i3sUiadWp+sstjNNzOdxSBX0zs4y+ekn+MVdXvDWyKSSRbebVeEGEO1
647wKtLUzCJQvPkizr1DLEYC+mKVfKq4W5li2EdavQC86f7aixCn6i1S5JKOmDCgK/ddVtFgrCxy
CIWT+lEtjANOhnQDWeOrMkzTIRpi2PylGgVdkbpbQ7rKuo6MS7vR9qzz9Wbqw/B6UspqFTfC24As
V+m+FpCYlcT2S7Au15WtgCbnJJM4WCyblwlV/7aLDIBCdbykVwPArGtzQ1YKLodwmHZ2GW5EhKPB
cUoySqPiTZD56WuLlJMhb7HOS6xbYxG+ED22tyNgmklWTwF/dOIgmmzSpBzJnRjWSaiJ9QIPPeh6
c4MtmWa7PoxBOlrckL1jndSOU16rk/MX9TMtU9VY1V2PeVQhyz7NymXKUzkwaHVS6Cb36BT0Xt3R
fm/RSa1bTzuVksGTIbiVcRyPQTQk+aaOoCZoin1bxsbL4GRQWnD4rjrXyXeiGyFWR/JWmcJuH+JJ
BoJbrmQRkpcRlW6g9gO3sefQbUVx1pi5uSNw59lL9S94cbcOxN+1PnZHhQhIPmeUSKYsySFovgAo
WsLJHCjbZeex8E+zMA8aGzH9Um7eZD22E7Fz8j2f4seR9v0GvHqFjqdXV5MzbiaDuDJHFs+yhNFO
pIK2CpdQM+bFD3CJBb5dAs/GRGGMTwRaVdGRpo9Mug3xaJKcNAAGJcM3ztoaeOULmrXNqlmC1Sar
vJtJWmvt+rJfotf6qvyWiOZWN+J9qbsXg6tez2S1zWS26di6YyU+qkuYWzWlhBQgNdoXrXlDqsgQ
aEv4G33rC3eJg8OqvK8+AuIyXrgX7eiVX6gkyKHy2TCsW5Ymc12FxXSolOlVXyyIjSYsOt/0WpJp
sA/JLAiTi0ZUkakjxCMZhEO1GePaJL1Raatbg/CTB4zWEt+8XmdQa7qh3dFGtl6irLIOoqvz6Axl
KXL3olHMlzCy9fCYQlfeFsjNgt4LHzV889TgOrdGiCEg5H7ZmVU2QLui0Sm579ZWjSWdu/C5N/vd
nBEkAcRiF9szfY6FoSWRZ6+8Krx2abmOJT2XuZiXzPninNsRJlCNFa6oE5anjISDPkq/0V+6bm21
2qEV3Uy4iHb5RJ/eQQAPgQC3+/DQWED7eYq3bog9x6OeaNT57JnJRZ9Nll/X6iuTHOKeSok6pbjR
pJb7QoTdriFPk3stvJoyVfcnQXCBEoGZLiOpZfuywsbcGeWrUw3x2tBhRTt2cplk6RfdlawGI+GM
+qZsYDDNrgWG3OQ5zAf49kp2p46XJVSLItu5FtrEeYsXeKsM7lWEHn4zTOk324gPcyGwe6PQd/Jk
rWEnXGkuEoN8aIwVg1/gW5wa4pDVr6VdREJl7WLuhfOV6gnmJQxOE9nbxqBqfiE5bel2c5Oklocd
wbkM6+ZcdbQ9kMXAQnGVuybWT2ZMeqQVKRurbTufFIqHzK5oZzcnxQ5Ln74Wx8nhLQVOtyVT4ELS
tl7hGIZSPj9ajbsSdXI1WVXh68I+1CF0pT6tN4m3sNPdF9VwyfKkheLTsKNnXmhI9xLDhxsGPAgo
t+XcIgMlFlU33+3BazdyZrE1XHGRMqIgViQjP3QaN63dHkxB7EKfwM5OWmfvkV8LDkvDisawT0lu
CRl4bXoQ6A3/jQCuoVIeMoOvWiVZrEWSynIzbAotek89b2eBsasUfhrW7jcxpF/rTrso9P962f/3
Nz/V39aTt+K1RFjz2nd/7Gebn2pKCkckGQ7C5Q9f4w+CDYKt+BHCDNrW2iJr+72mXFQZFHoePAJq
x48ffW/zIFpHAQJ/wPCQ2C2V6L+oKY0P4OqPNSUYC14C7n2TXpPKS/+hpnQVI2vHvLrq0R/Mx1Sv
YQppprqYBZFjnJmTDgJevYWktjn3sftmRrFct3pxN2hQEwutuGz09hkV7yHvypuEXoUAtbIy0vDo
WtaRxynz0Y1tI2OIAiowQM3yEZHW+0c8XTXoHQg8u7q2onnDkpCSgpGTPxxnGB/7lZGjPiKTagWt
B++7MZTaFx1p50ihmW8kwmtkuI7RJgc9s0W0JcwUV4k6wAGj7WKkNhNWlaGrPdR7J3EK/Ibewc7d
2bwzQkFjNCxk2iMgI9r1sk2T7jmVYRn0g1Hom4E0XjTUPaGkUIsgKHlWJ9ecL5XA69wWW1DpDPPa
8jT4b2XIaNnB+PWcy/FLbxPfJfPy0akZI4pYbl0e/i2L/WsdVmHgyGa8Tt1cboy+QsilNr7eCUD+
cQISl8Nj7Blsg8O9roYPSjvvAXfeDE7hl4AgseQEgyIuR2ldeYNNT6C2/TbXb8iXfa2VCl4GY/ZK
9MfeYdLrkBpCTgssTE+7GXplb2s6L7c5uVH9TQdkVyhypyUC/USxi8LmMvLKU6GPp75qv6hTd+Oh
PdNT+z7zBkbp5CJwBrHjASFMXt/mNVS1Eh1xrW6l1d20gsCVUe5T2yQ92l4BAn713O4AobL33cLQ
16n3rYTvZ+b2ia16LSt3a9YzxMzuGCbdmR34ue1mlBZuUCvaunTi01wVhNRMKyxnJ1KKdt2oP86y
Og7EnphFeeL79OtUbrw4PqVhdeoM74LQ1U0vxAFlzhZswAtUhY2biCOd/y9RRdbD8vVHjndnthol
n7Z17fESnKpY9Z566vU4mJr01Nr6dYOxSczKvRUb+zwFOJITgwzOZt9py2CdZKuwecfzhdYlf0SW
c4/A7kbEyiasrUvgshu9L05qOuRwXbRLaY5fBl6E75UYJUrtMhzmA/5JvwUpGTmMchMmwmO8rzps
h+7UvreOfgO676adIKWE0WBdExS+TWwZn+zQPE6WXly1nEL2zPSbGPpWZQBO5UywssbmityES6lx
S/Weuc/pN/gNOPug7ryvUzSe1LEIzMJAERFdjw2G4BFROAmNTmA0zQusSm4/w6bqD7eokyYE9CEK
1vwovTHeIKK8y2TITN9gUGEK+I6oO7GXUAsaBdlLStyOfj0oJeBH7UjNcGNScPocDKDFjHzjQ+qd
01rZdpyNgJBXO2zCiq90OC4oGo8CiXiGlcBC6gHtql9zd/Bt6bD9vL47k4U8+aXZXSA7R4M5dReL
xcUMs0ujUbaaIaHPE5usQ12RTfFWmwVfxqwEuqTJmYaksiTCvrZyd1+BqcQLjTulzNCK00UThFL3
FAi4+HQErcgo6ssiyeHlMo4v9OpJcBagaUYGkFLMp14zjmOWfLUNlE2KSwuxLi243dTTZTrc2KX+
IMgmUpgou0qfb/KprLGKyiPLx7QaTFYAqNK179VlH+hNSFgp7pBN2k+XFeZPAp6TK3A194Pd234c
j3eRbXG/awl9XYBMbnYV5nw0+FKzlQH0BmFISZxA7KEgUeQlWej5RWyhkfhoo/zXT1r8W3/dT9r1
xZcq/yr+uPsvv/e9o6Qbv0B5VulJsmPD6mOL/72jZP5iamz7hqUaMEQ+5/pRF9gffKnfA/y+D3k+
Iv+oFJ3lr9IP+ncdpZ+HPCZARPrRC1zBwxu31Caf937RTxIwriXPvXqIUj+dMNn+qnT4ywEPYPcf
mlYoQnHO4vymWKUCYmjOQP/zRXA1GyimuvpsSC9V6XR8BKbFhl4Cv1E5GwZNZY/Z9VwlNnkrcew8
kXqrY5xSrcmPySbQD7pdw7OqSB4bL3GmrHkU1nPCU4Nl2J+m/ByyI+cV4rDO2ylNdStUInSmmNyW
xrkZk24XTkzdYwRgZSI0zv7NQakZ5LrZF85Xr0qIE66u9ymCTkDJmj8n8VXEYubq+d6J6dJqY/ut
7Z0tMhYJJ9B0tklj9jz3GqprS+6aATcySK17h3hQo/N5e0+Rre5VYEQo1usDY/N3ojtpz49s8lPx
HtYq+X5FTWSgOrqrpms3dd6D0XJk4JYtZFWJdKZ21C9jVx4MU0HVb5YUXdEh1PX7diR7T0/EY4bJ
jYVPvnW2eZjMtkRyVNPSG2XgNQ654klo+WHV3rYJpnHHrMQa9OCxiGB+i864zjmEk9vcPympsZkR
09LQc8jU08W31EFw4LKb0MSuzmVlXjiyNdc1OYKrPGvIJ1MRIdCIivwx7QmnqHWU7axEEK7mR62o
9gZfJ40s5caSCoozPb+jKVZzNsuelaY1mf7Xe08T6SkXkqVLyQ6o5Ws0sg2ecDfCLvBmpNXGY8VL
Cqn76GM5w1FVhTNRNmHjQo+LtEPrMkgSg7OdHeutTqAIy6m96B3zzV3s126afHMLB2UtJo+A1tcd
sPBvZiJ9tUneEeBLX+vSXazD9tNG1684oFOWftHSFOikKVAsZuU+TzI2SkTHibuQxo108M1OyDX+
YM+3yv6Msv4eeGPnKznBHUbcklkY30ajYG7mRL1fhnCQTQhvJBSs5yVx2HNTWiqL3TxeJHLDY6bO
ZK9N9rc09V4s/AGrWOrGxsBktVIoiY9YSlrkjknts67cR1NzW5pWfYgz4yrKHSiKFdBNDd3kkJLS
WMumX7tY+VeOMz9ndniHmI+4ZopvUyOScGjV+yzK77uEtMsRxShiC3EsHOWbUNxnxZ2A42ax7xha
1wRjCLUZfoDNpFQYU7avYUbmy+yxwfzJp+GhAWnurEjOK7Kyucu9PLvPVMPbWzMpLbYh75pGJ1e5
fieGdk8XENxoVX/VRNMIBqcRnU36gZkUF8jpgFaZIsjtkP6b/bBETG6neEovi0UWoyg3bZ96S3p2
3iRBiEU0GKR7oThjFbReXfldTjjhzP0bGfV2rAwcDFbhO0tr00Evw7O5MmJgLJXzFLvWO7lbDbQA
bHUmxsOCbXiI4Wm55usC+IRUdyis/jnqOZ6w5ty0pbZOa+2m0oy9BDQ4TQ6CneiBM8hz51o411Xi
ConxddzzhNZi7sQG36QfetPXflDyVeykQdaJbE1Knp81NES6loLItTDhDyfHoVvZID024MTHiSVX
lTcSUugqnGYUZIrtQ5GQMRrq3Xsn4o3ejI9K92713ImD7WwMM+WkEJYyR0caSoLZqSIUZa0Ok/Pg
wMvcNk2r+2k06r7l1qI+ZYbxVFSmcgv1FJxhGal+ni5FZFaZ9YSjaTa2gtQT380pml2jeMiabtMK
+SRl/tA1yjNEeOOaIf58ZsNrNm3evDa6to9b4+sYulfNzPgyx3dTFowXwGVoASdLwmzSnDC6uaAK
L9zpGBXxbRJFX1IdBY/M+vyinSeC8QrghmFJ4B+6+OdS51uU8V2SVGngGcqhH7qnXqvmW06zxSZU
OvDqvL7VkLD3+F7GGoD2iYxRwpmvFEFnyE7pPk+TJ9dRW1klT3n3SCQgqADhFDueZjdochGY9jDs
ICvKbai3RJ8W1bSVJXmEQ17TNhdZwsOODUjmnrbrsuFsZeKmM2MqbG2bojJYVUr4llTYtWdbuwOW
/9Rq421ktfbeM/unCszPyozm8B9m3j8NRJdNF7cHpg+IRrjhF6f8503Xxh0JUrjpz5Ur17Z2lbp3
Nq/aWnwK5uOnuudPJqE/VhHLBo94BZSWtvQlOOku4/dP4/WuqxAjUU6f3XAdoucHKaI8/P9d4qf5
rsybPJd9Ls+4S4hIdVYx/Iz6H4bIf/o+PDBTDrUVPrCfLtLFWTampZRno0XDfDkqJ2XY//37+OPX
wkf16RI/DfAWY2+kmaM8m+5tARKkEGuqkNJ5Tad/uNLStvlfW+e3L+XTlZZX8ulLyePBwsbBm2mI
t9VKDgz6oS9wZ6yHgi7sb0Kvvyzzlhf+8+UIdoJ8oGLeBA/04+UEXeS5FZo8582Tht3MAUIQX0zF
08fn999ZQ+UD/euzRvCe/59T1Yr3Px42ll/8dNiwOEiAhuYmYyjJg/jpsKFT4vOEfhfBfm81mjoh
4sCMyaxxyHslRvx3RZmp0bqkD+nRZDQWt9m/8t3++HhZKl4xiwhznGmqB27j45zw6Y4UIT7OfC5x
X1bjTs0SwOSZbwzT+tMn8yerEcvYH+9FrMcqQeUofnG2/ST3USI1s9w4k0Qz29leRKprrq25xydZ
JKtKjxh6SEcJNFFdeVN/2WT1vaO3vV93DHtlkYp11mrZxdAyVjAw5vvGROKoYnGiYJ72JLuaibQb
Y7A36tCPu/y25oK+XufnSoWpie+XHbLRGwhCixmNIeSqmN2LBlE7J6DWLzWaWyBVdwZl5QYf20Y3
LYZOlE9Bh0OudsxHxXWObBAemenGU2xi8BxG69bQjRulGE+KYp1EApFWXZKXbdfbt95wkmGBjsnT
7uHh5Cs1Ghi7x5CU+0FcW8q8kWb/6Lntux45L1ExAR2hvZTRIURYlpyJ07iwnYJAAweagxe2245I
E99o23uIW7tkCRLJ4/gCU/eXUsYZVhq4GfaA5DavxjpQkL+sMBGXG03MLxo0ZH820yvTxQE05RbK
NiNo7OwFJdh92zF7H4t+BUf9xmn6reXpu8iOIDkMXcELNWjMCbBOsW4xeUVrVwgIVI734olirTIj
6htMa11vYlFmck96k8P3l24zp//m0gRd0fM6KgN0U7UsmM8S2qmhn9LpQIIJMleStskm0/Jzk8fp
xjDgeWKBjSK8PkIzt97AZxtLZE6KjXihbryXcrCgUWY3WFamwJi7h8Qmjijq8KGhvbjtZL9H8jfQ
oVbf1JyhZSSnhzxJrO1ozFf6SE5SF6cDobntVy3Xv+oy1/1s1Hb49fYOkhQ/k3JbZNZ1gcdvdCr7
0jFAJ9t5+Tan9VPsdFhS7OrORtIYgOvIdrI3tg75MTrIJpwzHsTZYsSQDbRpDXy/eS2Jxm03s6sw
+LVs0PuaSoMKVrHeRt3OlE0ZqI7caKTMr3BJYfrNLeCzEyqCUIMfa3yVqrdPLHKl5goW2pTVw0NG
0nzGu9NUPC0JevF+1JIgSyGZ1+ZOG7KTUCOMy81raCc3Wqa8U6lADPG664q78W7Sh7sx6oQ/ejKo
JBQN5uUFyuXh0m1zwtEp3hjEEmEMenqf95F8tlOnW49RfYwSNfQ7KFUuWrLY7C5riO+D6HZSiqc5
5Kg9evDQUpVQ0IpQeR5Zo8zAXlsXuaLs5zw2VzEJVet5nIpNOtCsk4zYU0nXb+y1m1jYnBXEezZH
Ej0XecJ2TfTyurhz9rHZXtD420228zqm6stsoYxFqNrBF3vJzVt0K7up7w91tegeiKLkfK3Dgg5i
zxTMNIy1BK4xcJprtbgiLaUetoYDNFjVmMNGg/mycGsQ9skgVFo8ibLe9lp5NVXggSpMp8lkPmCJ
dY+1kprNXcWJK3LNNtyB9eIc9g/LKE2rn3Z0touFscTwCe3kz72hrkOVE072dJaIFFbmNjyMt9UR
w9NKeS0fcbXtKchX4UXN0SJIt8Y/1C9/LCi4PBos40PtZFvLy/u0W5BUAAbY7ufz4DAv2Xsq7d7x
Ran+SYD8Z9fRVWo+DTWRqX7Ikz9dhyx64u7HYT4Teh+PEHTzdy/aox/4B6Hzj7vfUo/xDxM2On4q
JbLzU4HUNCZjIA1wrm1dtDbmA072/1SI/zTL++0in97MTxfpY1XtdGwJ52HTPWCDWw879asLfWhV
HWkKR6ubds2wZ6Pv7k9ukK9OwzHZPHTrcH2dHuRqB0rxUgT8j0G14d/1wz/cU38sf3Xd1IHvAt3Q
POvnVMO8n2fce6p2tlbRKbwGYHzUHqODDofIx6C2Ojxr29E/NRu5syy/uEBMdY1dciNXv1Gd/ysk
l/LtrwtJIKD/ZwWm97X9mpR/QnFZfvt7NamZDJq5Y7Eg0KNmPP2/alJzfmFmDIRN5U7muERL97sR
y+InWBo8y+HZ/RHWaxCmiBaS8sFeBtj8wX8xuNb0H/vK1KugXw2LrjJiTcrWn+tJjywWDLgAqZQM
J6I1cJZyAWTtqUial6E1WNcFOmbIZhwYHT/KZixZoWy69H5Ks3TtzfTCTiWZMgEi24ggDOQWw/Uo
3Wp6xYSkLUEfYHB7OmP5wFyc1D3XpfSAes/ukzlaM+9V1WMr3QqSz+JbV6BQai2Be6BUOGSSnzen
dwUMynuTE5IOkFSdbmON/OWVnqbxpiavZq5EzsYR0/XMrd55KLWB/LUpFcNDXXjuuDKseqbtUc6o
eJQOo2qGKOZsZEP9bBRN+kxhit2XJireiCEPr7CbRC7xf2lC16lxyZoPZ8xhbmKHvlfpe1o7hV8Y
aX9UFac4OXY53BR45hGQZLrpwwUedoAmLYhzjfuil8U4Ywn1qnk1tD0pWwTbWNi7tdy5UUgonP1Z
FMkO/c38VujK4jM3p670J7WxWjhpnpXWIXb2Pqv27mCILa2PSQGyOCrDsyAOTQOwg+vdTLUe2A4p
3gt6Z/4VxDNJGmDeDncz/9tUt9HWUcV83bVD+mJ4ZXftgWpGVmlr3iqn7XIHEu7kGV0tge3xaZ5L
bCzqOupU5DvRB5k51hdKM03t9DnLO/0OYic1xsomoAefqprkO/UjKwjJOrlBjdam46FwElO+29KN
3jlyONt+gWTmSVwtInlMEJ2CXLBQWieAw9M9xfTN2qtGgRdnz+LXjeS/lcugR/X3K9fxVbz/2aLF
L35ftMCjqIyzbHtJYP3VOfX7EVj/xdI1FguH4ycTqU+LFgpuFaOTy5r021Dt+7zNQG3zURtgxvIg
Sf07ejGr6aeaCv026nAdNTgDFNytlB0/FjVdL3sSHPBAq9W5jcz1lDrBpw/lT06/vPVPV6ACYNTI
0kr6uuUQiL4IkT6XTbZ0MqN3+v6qM9ND4jwo6pVnXaOX0MKzHE44nf7+eh/tgb+94vKKPhVQOr6a
hKWpv0pr6mX3gy47fZBmqwU6K9vKPQwC3om9IGk7G/AGpPEmHENrLQrhrNMFYQspV98jEFwyoWoz
0DpYzIYbX1pV/lC6IC7rVv06KNk3b1SellzkiiHpyqlox6dRiwJgOWHiR3LXbY6+HORgBLPW3nYT
3WXIMsYmqpNqG+Jo95ORM7PT9gz6ZyLj8c/eKhKQZJ/cuMNwwRiXeVcyXCpNyLeUIiPCUgpqi27w
xLjfltdhmEsa8caOnLHzEBsr9sp9qS6a8DS6qLwP0sh9q2hLMs3LMBvn0Yl3gzN3MNu7Lbkj6F3w
OhGHtiJWVm6Uuu22KBmOVe/gTcJWvyQTsIzeVmQD7eyGKlsrmx0Rt4q4nhnAEa9UtGN1lUfmpaDi
PJXFzDbQCWIuPT38Mol+F+fkNEhxKaJoP2by2HrhSVGz0zTbj1oO8mJZohAYciLRkzfTUr8CD7TW
0jKPY20yZTSCIasvRSjXfT/tJyM5q2SiIRxi9Z4u5TRe9i6DFzGTBxZZ8qIb1Mem19emyRmoKOd7
K2c+iJQ3OyV9eS4zsQWrccrm7KBWRBONqHIQU0AZbUbSILshU1cmoWMQUu4bMXGGUtRooxd1v+97
KbY5847rhbp2idrM2oDFQe3x1VPklRm7N10P+FuLcw5bcbvR6uIQ5sm5L5VbOZT0pPlaqoXtCdgL
sOJXJwahotnptR7JtdfTjIhHQGK6HZjpdE2rlnW9HnwblIdshw1clQBKBno3FSV1Bb3APBch3h45
gn8QeTbcjFN8Yy8HZ9lTc7tP4BL8EaHOXa0qhp9ChiixLBehhzS/JJ0zzFcmfByS3t9VKA9lbweN
qaU+K9iedCBEooy5bYzUCJDPcTIcTWJhGqvYjqq1xj0BkTu8oP2+axGMd7MIrE45eZ4X6FLZs1Bc
T24kMHAwdOcsB2zSeDCRwOo8IX6zoBxKK592mbTyfZuXmzqJkNtNyiHr5ju20JiDrTgl6KlTvBNp
OnBbhykSe1d/9fr0FfgpNqecM3cqM1927YT8XBa+FQ7u7mOZ+W/TW3ahv970/Nf8dcC11P1J35df
/H3TU39RASJ4JIobMD8hHPyv76v+4nHQ+m3z+kliylgIgakNSWFRqNJG/Z/EFPICLVQADLaH1vNf
Veq4oH7YlNiMXMNT8eeRpG4iaf25IVtGLKsQs6srVc2jXQ0zPMYIsWqJvuqdYfJlr3eXEPArdNSM
Gb2xP5cpWn6jLL60GEUD6itk8LG19gzW+kjaBlOsmFjGGKlnqkg9iJnpIVKw50CRY3FuIu8xthCE
cQ4w/FGdL9zQuGwtc0HAW4GlxFtU7I8INit/btzj3E5i7SDu3/W5OERFSn1vwmp2E7xKpnO0dfM+
smo4OYl77bHJBmWbXAu1fWUkUvquFT0MhVUj2IojvxxRGiDZPtql8ziGGTQwhqteXj3aI9tLhgDQ
AaZjFUfhkkLWyvi+bFHnKVqBaUpeOLN5Axt5o0XKs56MfoRZWABfgitRX9ZO9cRuczJiuMCxNW5p
CxPjZJuvIndx+I4kcCqOWCc2ViRtzHNyDUZ7NYGMWYOIhsE2DDynKXpBOeoo/9nElkiyUfYnubiY
o1lqW6aYmxRp/ZgNLEcZXlFFn89GaL/por7L+mkjXQ1rSlSeR9MmDrvYJzqCPniVZ7t37uMmjJCJ
TE92Qi92yQEPHM0EQVuS2WCQDx6UurMFcnndjqWzYdE+jBoR2ktD2hX6vR23qCFzPfTtyrtKB0c/
5aGzI7PxtkHQv7d7AAeM++2J8S7u403iAH5GlrJOxIyu0xDDtu3dJwjKQDIaxA05mQPwOSBDFtUb
VKUqSAWUBJT0m9wF7rS0LMW0w1+SrnC0fmlb4x1B07usCLCPGvNEd3o/Dg2qIjymayLozQfDytRA
nVyG90tIX9mgEbD3uaUdrT7etG6UbbQ8adfTyJhdj+xp637wHEqrF2s5LPBn+dWbM9kymE1SX22b
7dyY3coRzcFUGh13br3zbHaiinzFFaGQ4K9NouOUqMSlNb5mnnmXqEgfOrrihGtBykB6qHmPlUGg
ddyI4ZYdpVknXjSu6Y1P3AhkO2hzr61FjtvMsPIbD1k29hcKrgRzj2cjR+006FBtGuQR0xDHyRGR
oHbYGE2lw92w1Q0Guhzt4txfTHp5jev4zYikeS3C4sZtTYI/baPFHsF7iRlC+srcrzuzAgWszlcE
xSNlKLDOIMA4h451GRe0SWs1RW2S8gFSDwqhHbrqOjFNRMutewYtFu5HuzqNS+k1CHnw9Oqr2eUU
ZlP6WphFvXayLguUUcmCeub+kBaqCrOxoiCela1BQvz8okfG16G9TNM9Vv11UuGPbkJug6EIX6d5
Jml8ao7hnGmr0kAKQT+7JJmCmjR+UKLsPet5ZPSSxJC6pvzwgLkoBWomxjKLYPauKcNv3lCBAx+5
77AAbhmHRGsTTQXjD46CBGqUl4o+WketLO6UBBPKOIC7cnH0rR1vDoNxHuiFheFHcuai/hmIQc1c
DI00t3MvuY1b7mbLjCgz8jRem+RZrMYQ61E2zddVWNtESWAZ6Yph9utJuTGANwQqV6IFjdlcGaB+
l1kWboZJpEHVCHMX830NZnzIJv5WbzTXhWlc5FV3q4bqXWglFdTU4RCiNlhzHB+TVVcRqnhVj1r7
lH0o4u0PdXyHTr7/VTH/oZ5PFiF9s0jqyQhEXf9fTfDBUNL/9iB8zl/f3ts/FgTLb30uCPB0EJLD
UZC991PrjngfWnrAcNgSwBAsfejvrTvCFTQ6c8yAOTh+BPX8XhBAbYYFYi5NbM128J38m9YdpMKf
CwJ6gJrGiZuoLTZI46dz8DDJwRSmI6/ECG/MFAQ2D8wBqwEnmBddQVdM33Dllow8jDtMjox0DCW8
dR35TYnVDYYZczUbpKZE+J6AolOVO1j0iLz90kbgAMfcIZKgL29ML4+2Kg68rRxwoxQExMa186U3
klt7mB/jQtiUw1gm9dr0IaUV5LzUQAM7jpAOum16TJs512+5ViAFaDNK+zjQ+4mIW7dPfVpVR5F5
91i5iYrPoq9pBzq4pbVtjlf/j70zW47bSLPwq8wLoCOxA5eDQu3FfRN1gyApCmti359+vpTbsttt
T4TvHb5xhF2kVFXI/JdzvpOwY6tcJFTcuHcGs/kd7vKRymW8nQ0EXtRgTuAaiPNkgTIsNmgJmo3Z
gAmkjkKvXusHPQHx4Pdg4/K097bDUptbM4/2Tl7AYzClj8jcemx9jhZiyAZwT0PdiQDQfIpgcjmu
emZt+jKBTyTWZ9v/RsgAeUnzVdfJkzv2XwgXTjFOgF1m5wrGbqEpcUY8hfa8fI6iOo66u3NNJDe+
SJ5jHYoVxrpN4RUo5Vqqo3Q9ZIZ7M6UuUA8YVFX7zOjtnYbxTEFFrtgaquVs0+lH0mbvgFiW5Bk4
9x7vUEQiUqBVWOKK4rq1/HsnFe/5vHIesd4PWEutwDenJ2lYr5nnXxs1205SmIAlDHqnyI1nIPOP
XEbsSVfxnCJ6ZIiHLdWMnuq5vWYkcY5bPBMdex1LS77Oo/ZYm8NlTuZ7xPg74WhfBi37KPzMDmw8
e5u2Bt2/FhVBUh1AvGV5EAM2vcbyr/iYLhMjm4abMbK+67WNAE+ZgYd1R13W4VfCp54gi808zAox
ctQMNHhbVl/N0mFa26lBxfxmDRPfL71pmFOUObdZheuk+IYL5MVvTTSmVMJ64ZwGZzlUTs/cgzGH
kZiPNvTVOMXPywD6VhdTj88Cf7QL/TpotSULtWTAL2kyrhCQVbOeN2kttQzqB/QeC4Jf79RbSBmH
BbWev+36sj4RaRdfG0P1PHevhPFSnZmvEsEDQerikMR5GmBLfuKqTO6WqfWPEZm3QeV2894aIxbt
w2RthkbPtsuQgAjS6u92NvU+jpOmpzRIomxh0JM369MIiiMPbNK6O7RzMC8eUMQim9Zi8zm1MgxB
+vDAQhL5KMLTGWFr6E9jyCg7C93S3y/11JHU43lhP7XFKa0tV+FrdDRU5ms12hB9Vx63IuErjc/b
oaFvN2yoTTggMow9f37waorhKklu5mT9ZiBUSpvYC+E/7gRN+5ATgr6SRL8tgWExzI13aGqvZ8sK
MIFuVuG9pDajBI9JVu8lO6fvjynhTC2otWKubot02GF1weardeeq7sD5jP3JSkoCcvP5KbcIxVtM
nXxqEtCz9nZuhic/9w+tSRMRR9M7Eu7nqkKJKUguM6JmkxU475tmXXdEdzwDb4GNtspkQ6wNco/R
J+vIxD2XFBcxkaNi6gYxyxlFUW+/1ppTU+Bq29bMvy9r81Rn7nPdpFdFa73jryKnTLo3DthcZ6gY
vDQMssxmAgPTx5pSALyLObv3jPLCh9cEfrZOQZ+7T3IkUGUt8C/Zk5dsG1JaCdW0ULT4dGM5Yuee
h2nh0aOTIendOEIAGoM06e9J/T4Ohn5iYHWOhv6S26iZsUb0ZNw6SONHWARmKrH/uR4iB6mvKAr7
T41Qxl3lN9muH/w0wOF8XUa+Rvb2sByMkjiLOHrTFgkseH3SFuzFhEF9wLvIHhYs2rRY04FiFAH6
gg/ejZsPynokPa2oN5UsnxB0w0mtP1LCaTcxHKbHuWwPWmkgDBrQ0dZ8GoVLLtZAwQ+QlmNjOsKc
ioBQD0ifuR3q/sM3Jou6q+C71slhsoNCxKTrtFA7EOoUMRRXx+92XdR3/ldDEiRy9U9F9KMisihg
/npK8lAVb3+2zFSv+lkR6f+ycUpTvEAZsxnl/25EYiiLDuQWyzH/jW/5tSLyAKr7utou/juu4rcR
CQZdk0BDAuAtA6gUaRV/Z5n5Qx/5m36SEYkLGYrVKHAZhjTsBv9zim55MmutwVgAs5JJ6PXgpkMi
gIzTMuXkiOuwEbx+FFdkxkUB4Qf4FOxxfXb9qX9IRFXsOfnSs0Ols3W1Ho5V2iRbDxpxUcBAH009
utg2uGhwjrweeoOF3IyCQlSIaTTPP80GjzhScmJbajP/wI9a7hHDRvS3PPZt3c1fZZLEJ+bRpNCT
CBCSn6YYGR6C3HZ59o1mkxTm2xJJl4tL93Y9cVfnMq/8bVtN8wYuTURhJm5YUMBVTHNAsw7xVwzB
DyT14YLxzb4NRLb20LCy7LNedNVRljLk+Iu/EwX4msxxtAWRvcE6cMqq1cd2UuZHY/UpCwj4uo31
+IvIl1M6mC2wxfLOrhqxTUWv7XsnXjknBvOUJPCM6V/PhG10R4bxfkjKtrXPi9LajoYRHRw8LEFq
x/mpgQdJXsV4t7aAd+sC3vKgcUFptr3NgHEERuxfZwwCqL94d7RBS+7TCaWbTHX9puvIq1pcPC5N
0p0GI/va1O5MudeXamWQbfUY6wbslB6sPB+YNultWGi52FXNdCAPCK1zi7fGHveyxwFCBnj9NlZx
djX31qeWVyJsBKo7CDdeOJXFhvXDA9XWHeWwGeTzvDfG4tn4cR1bPnc6SZk3Y6PfVob3LOLO3RRm
eqw1sZ8NCBtuQ0FT83sch7TuYrRiykS7JuRcnjtT/7RtFWnhTA8j4ZlBZ1C75wJotJTiBg74oZTV
fjTtSzYDnZvEPtHZBaxFrAMicW6XKNutcXoj17Qn0oey1qKYREV1ZS+YUXPtCYBSEa6zdXYiNrLr
EH2VRvtuUkiEPr5zNHH7yl6egMYjcqPuBcpPod6XxiKvm5wQR5RwJA3g8WkZuan4gaiaLz50FJ4K
meYX3VEkw2EpqlPtRyYzqXa+gP5Ij/8cxL+0pgyJ//ogvvpsPz6//Ulryqt+HsTMqsl4puhCJP7L
1Pnnglb/FxwCMoBgb6kuE/XQrwexCyoT6qWSzjv/Jv/+OqsGsWUJBCemSeuKXO1vHcSwFf7YmnpI
UwzgfKo3pUX+g+7M1IwJO1Ke3+jC6tsTD00tNukoLQ1sTu4qOzGpchS8WXOH6T8cDHkktPwwH48i
yvalYitNRpD13nOyzFAp0/GRO6Q9CxgLyZdI4Vacnqp/gS68kT9YLOg57Uz2h9qwi00KsaXKl5tZ
K0aaH+MtAtS5sdv8XEN5KR0Eni7cFwjue9wkK5x6+Lli+uZAiEFVxg8gBucQz7CtB69iI+jfoT0h
/rY1tjKTDvpWoDP11OfIhOUtKTwADsTSKy3qjQerBgU0A2VV/McKZDO33mF0avC9+XSIHOPVUtCb
qVoYJSsQTlU145aBQnaoTTiTfut6hKFFcG2a5MuQN31Y2nW+j5Wneq1J4jJVJtfwI55rUkldyY/Q
rqZWAV6GyvKaVaoXh7Qi55P01anML6HSv9yeHDBHJYJVKhusm0kJA45sbGKd5LCFCLFGZYklZVVB
ucHK5TRuv8dJ1u2SHxFkGKIpq4kli1Q+WamSypakZees0sv6H0Fmmco0ozQ1z17dsl2Q/kLTRf5h
k54sV3P0o593Wr4zJnXku7n+rjcmlym7b7fJIIUzQh8iitc+x29a6tAJwFoIW95Zmd8iKl0q5p5t
/gmW7YXYh0sl4HVJ8BgFOJ4NQeesabWrThE0ElAadl3cz0l5qkFsGFp+yaZU0fXlo6koHL3CcYDl
QNHNAngGMJT0bn5rZ0vKrI4ZcAb9LMnWK4qckliKaZvXaq9I53bMl+Q4SMbK+PpKBraGt5Vr/LHO
iIEjAcOfI1LuKpWzZ/slMbCt/cGYug2YE+UbLowuNIFJDnofupLgYwWKXvrSDtORpcHCpCKIIuu6
dyYZYuWFaBSjexJeDJGK/zPj5ya6v3WXGqWiUBg72883cBxGfH7pGIpZXLs2+ek5wwxC3PLuJER/
dlBrbnobXFJadBppMsZXZ9bx6y/VA+bVlNyEidTdsnPJh4UCBPSJ0QWBSZ3rfsoo/kZrX2x4ujaQ
DXDcadntYLMLXeBv62JwN0O3yG2F7ofw9cnfeXz1hW7hWxNtH4eR3cd0DsTOAqPKmHCcyq6vHv+5
P37cH0pF/P/cH4TAlv99fagX/bw+/t/4I1WoM/zjljB0ZXn79fpQCHhUiVhQmB5QY1P9/3p9oGTE
/c7QEymhZSFL/Tt1PIvTP14fiIhYxFoMX/lT8AP/s45nQcNQVmPJYcrkuTFBCBbLUgZl3TShvsqd
1zh7HS6TvWgYOvxn/IQxIxRMq9J3HjPPujKr/kjECCxYL+pC15U4X9Nkqp8KdCVk1Ii7WCvbYw9b
zA/LItPejYJshqD8EZfg/ohOsH+kKKg8hU4lK0iVsSBU2kI1OA+Tyl/wxgVhEOl0s4pmSMjsbghr
WAhtwAz5ZEIZDITKcxAtyD4CHpLUO3FAc1x2H+0K9l3JB+JM3NdEQzAQfDbGjtlqz+YhIj5irHGO
DFH5fVHJEkjudpFF1oShUidsY77piaFAOTAj21TJFERUNCqrohcR7m4iLGJBlgVwRH3Hqs4lLk0j
/GKaK22TIJTQB/fGBK6Onvq88sQKlVc+qgQN9hTndqxfEhWtYbn46wvzDizytrcxrKakobXEcSA4
4XIkn0NH2SLr6rshQNm26b0/1EAeTXmpY3nU5fKcE/WhVeN3gRgnFNriUmGSlrJyxAWalvfsePJD
02m4sRNnoxEyFEaGGDZ2nXg3xlIvm3UhZoZ9FY5f9kK9z+iwypg9SLFoWy/PV9bFNQWycD+SJT6V
pr7sEZAKbjd9g/IJCJh5GIYWtkcLuFCkC/F/bVPjTHAGuecgVCO1Qh5pnjZU61dcYyxmK27FpBx3
lojec8yneTFrgTXAUiznt9ip8oCfqaKi8M8rt3xCQmliam8CwdOmHXtwZbmJKd7/XFSWlMcbu/VE
NwCySZxLMZlMPUqVOM8Jb/SyOutGPEI/8rNwbVEejYhGO6ewILu5oQcAc19qac+qtXGuh9SDU2Yd
6b6eKRQPYjCepxFySZx0Iuw7Q782ayO71CVO79h39G1ic90TvIUfY2aeDQsh2i+6Lq7r2TTu4BOA
fMxHckXrwzLFJ5l31C2N8Ya8wQaws6Q3YKGnDVXKbvHkbuhhv+hLWjDAKt8Rq+2MMf1S4T5KyT7Z
xgmfZ0bi6o1lYcaf5f53h9qfaPT+ywoAZYsQNvTLWO6Ab/yh169Nlh4FaqSbQjIS/IaDZpK/NCB/
acf8k1+BzoJlDosCHS8wBfjvRXkLcuYuSx3rJu/eh/x2qR9L/5/12y/YN0VA++s7atd+dn82bFKv
+vWSIuQUmD39Ddwxl1uHRuZnj4Meh97C+A3f8vOScv8FzsVl3vTDaskU+7dLygb6jxDHRdOJ2VoZ
O//GsMlVyp7fSTYZNiFis6GQg5SyEQcp4e3vvx05qaQ+cyD3Opq7U9w3Y3nVT8TPbTI51jW1Mxzb
vTd13aaN6xrGZBHlelj5ZZ2c+yx5nc3uQSbNEiZdifCrH/bNFId4pnCRidIAflAwZPezdxAVKQYs
O92i+G6AQtrXuq+4pIX2WtHnlDJ/mQai0+56t04e8jw9+BM4SheyZ6F17KxS7TqPSg+B4AjhUGrx
61L3yS0QxtS5TYrFvbVLQkg31hRxKzmod6rQjqQoHx1XM3dR61Mlc5RGPXrsLkmfB0t2bBnz6SU3
/MTEb1kdIDRlzJFFezVl1mka7HsbDXsYgYoUa/E4WCmJ5Un9AayW2JFkeJc9GwZCi1hYmO9JmXGt
aNa1MxgofObngZHWxpy0izZqoSYZO8dKBWPVtR56C/P1roRwChrkBdGFh6cvR5dgP+QeuM6stsNF
S78ZvvsoB+tTWNzfneRNsb3+zjWZy8SoUA5M/TVmT3X+dVHpqfmUHgRTsLBRtkhZeI9NoRu7qsyp
PUz4JXNmHBIcAuU4tiFkccAs3Aq2TNygRLkfdCIH0JURWIhFgQWoodK75GY1EyoLyzjQkeoIbeC3
+stsHGmYMHQO4puo4OsORLdhGIhQmHR76pW3OKmYRboMjXwWMJ4GP2X1H9yogBGSdLs50r6xK9gV
Yj4S+XIdtywqxqgN63Z1DrIk+bAjXpYBIuaNlEZr0OTHlPhzOC7lF77SfWD4o3tw2Bzv+HrdIXHp
WchU173NHWGt0W3hY3mNK1ykiX4f1RqaisJNAjG39iazCbnn+wbJrvoyAJogP70/9XyCPRec3STp
frZp/RzRVFtknkdJsTQ39ove9dcMBB4J/co3qCqfZZzcE00IEVkMez12NJh3XJ1j0t4vbvQoJiC5
DdSPSU/rkHEmu9M0XQDiRrdDtB6WIiLodtY+2kZLQmHRJi82QrBV9wHMDpKdld3tMdUgiLaW9VTV
7k2mMn0rD2JNPZTmRo7IXRtruiDS+lYUKZNPkuHbLr1ysroNUuGel4okWOGTDrvEzUbnAQgRmb6x
+5iIou1v/Nb6MrJW30i+WUG2SFgBg/ldLiphsK5INashILqHlXcGjMzM+LfE9dHn45MxreVBs/h2
RjFz0q5IQRUb635w3S/2ZD9wN83HsQKSUbTG0aNFCLHQXJJRQ0ZkYegV0rJ2U5PdpLETOlp+L4vx
msZWoyJxdeAu+TaVPu1t2eycAun0xKqP/eu8BE3pPDIZHClRxffIsACxFh/cu8dmMgU4cuaZkWZ8
Wp32/CNwUUr5LImn2Br+8ABSVgefJ1+rxTrbJKYr4jK1rXVyrdm5MzOvdsO0AzeyJA0TSKokwyYi
h2CNYLCbKwLh++0K3pkh/HtrGq+N55sHXxGga1DQq2JCezTnodU6Dn9VlsRQyT8ixZAWLiP7sges
VIuCRSypnoNiTkvg07VjPSCK9zZT4iEeG6IpxJWThVldl5syFdcjArItDtzPcWXfX9rOVZbBuh4V
9TpX/Gt2xWCFhsanwpzMYLIm9mA8yboiZ4tosq9TRdMeu2bGng7i0DSa+0kxtxcP2aAOhjtXPG6o
tlC9YaSkDBPo1pMaLNB0XMB4S8XzlorszWaEqEWTb2vdZh+O4n9jmoGHCRI8tkzFBocSXoELz9EY
honrFDvPWyXhKum6L8GLtwBvSpg88RTtK8UfTxSJnD2xHyzdBP22l8QrKmK5Yy/RHQy9eucqnDlY
8wxi0K5XpPOO0Ndwcj3BGB0OejIM3/JGZDtS7c2TAQSUghwFWg4//pCU6NLXSfLZTAtQYEVa10o+
1xjJdWCDYTcJkgiQr6ybwh7PMaj2CGS7lq7MMTD27KIc2SJY9zhx4c24zgWbFeoqxX4fxuW2HpLH
0sAkDuIGtjhk0mCASr3JzP7DaSQCcNAN+1mR5Rc97jfEecyBXiS3fQobIVpFmCsifQ2a3uyjSwSq
nv3r7ajY9WbWiNCIJspSwPZYqz68Ur4XXQSG2gXmT+9ps0CwT5XpLdtIEfJjGEiBAJqvD/lblWu3
BTD9PNbY/uKI3WatDn3aqj+L1f0eS0EEtAmNv1Vc/iE1ynAqxGutmP0j8P7IH9Bv6mIMp6aNNhWI
/9KTgoiQLH5ukiJE8vXKMge5Ao+uS0BAK/tX29RQIPTX9Q/nei8/SAj3t7pKFyCa5hkoCmoDlTxg
EEGwilqEMHWukFdEQVXl56KlErG4U22VYKATZYCA4OAO0cVTGQe0RKciKv2wyTVCeMsXSRzCXBpq
iElCQkvDwAd6QoBypk/6pgFDnmYsdg5teNloB4D+n4Aadp3iJ3fkdXY1/3UCrUyM8WWNz5KY3Rbq
ct3lSvf+nsCrZcsvggxG85AyQbMVtplY1NPaTSgGcj4ehXbO6u48K9hzCjxohzX2E040Q06I0GkW
8z9zgI/wotNWxcQrhDRC7XRP5faVCuyYztWuUbhpE+70qgDUAyRqByJ15E8vuskPV6jqKcrOuYJX
m7KHzeu/xC5Y6xppoXDJAKWIYTJAW13GezsBhb145jUUgKdWQbIRC0EwYoJYp/5lMSKIF8h+Bw1L
hpvZcPCgbQ8Kuw1ndevo6FYqheTuFJw7VZjuUgG7zXZ5kArhbSiYd0LdSeOdbjUF+i6t9uhC/p4g
gCcKBR5P3s2iZ/uKXAG28Ya3b6HZ6mQEQxFPCnDimgVYHGTJHs8BMa4wxytzfTdhkDtT/O7BJLcU
nFyLRMKH1bwRrww9zZgym4t4bM88Po+xGr4jmXrWCcJBOBp4Xbv1DmYMyLYqjmOfA8w367vyxzhf
lLBUtynRN9pLMlaVYL5Zdu2JmfgkTQTMozfu8HFqy93Cp1MKO9VCK8LlEq/ulIaen5+qCWbETKRU
ILR2v/qYKVri3TUWl2GZa9MutarQkvkQRmP1JfLQNpQewP1xifVtYWRPZls+TATI7zrT+t5k7YuV
oh6SFF5aRO/M2uSYuNYbUVK3c0pybOKinUlSopypuzrI/lYT2BMuDeYQxGcmDMCZq+IM4Urj81Of
HbX54C801cmlacnZK/Bazb17PfbpjT+4FzKLkJR02ZtOXGvnWxd9XahuqvqduwX4bsGKsfTAxaXW
qR/EJ7vYEpGTQGCO58Mah1sk+AlF3rqfaSUC6pophLL+rZ0kW96EQG3BzqLpnIvVFPcGNP2yRy1v
y2o6cO6yrANpQfrAprS77jCMPNGZwS9kmbfJLZKQOx3ERgckb62B+hJJBSAl/5o36cZKbnJY/5lN
SvZsHu2WsD7fG6+1rmwYwPU30gaBvrTY23U8BwtRJLG4tknlK8rx2jJQwshAW5uwbbX4hPTtJZ/i
Y5+kr73bP9V+hR1pFVuv3c+O+wDBgkmxvF4a42uKUM/vNE5GGR+hla3HbCi+8gd8SlLNCV1qwW2C
gOjMqfDVktX4IleGJVWTneckx94A9XazyBU604Lm29G/1KOAMZHfTVP5ltcePgagxIhXXgu7uqRm
8iKnJA3+GTr/GDoLpiN/3dCjy+/bt//ZVF3/9t+zZ/XaX9t6pLO2SUdHi67rJrjU37X1aEgsSP5Q
h3CeKn3sz7bew0BqGkhqDWQdvwhuf5s9E/uH7IJuXM2CmHP/jbaemeQf23pWpjBc+ZlI8JlBq//+
OyemL93Vh1Iz3hRjaiTRpm0qcSpm3TqVa4VPInOIeM+QmbqzdvHYfpG6RjkyZU6YlFxnYDgBs/Tn
3JsfRuIclojtVZ1wIgyTtzL0XE9+2j9Pcrl2JQ8YsRUmOZdBo8I05/nk1INDXnJzTFc0+hKMyxTF
4Kpdf95jw/lu4kbDJtawiCJXj7BvSOBtrjWESZAJlmXexlIx0n6XvC4O115XWMvW7xcZirZ+tJxh
YIKpASxk9GvWK7HzCCAtsj82bRm9AOALe8NZNlQLME+ndxzd5KE1ZD/o7kdDsQgZMf3iNEA+UAnR
d3lscVNy4CrjixNb9FkgyCPCqBOvpWHt5MFwRjscKw/YOL3YYo00VOP8vlQRE4AZEy+nD06Z15Sg
pI208j0AuaOXxBCQ5gmWxqhx7cT1t1igZJz18ktdQZHG5GqGbBg/nchYr0k8eUupdM6DnbqbFpA3
gBqHq9PT743OJR6vihJEjBYY1W4mt23Kz7rdjEjq8TYFANpRxkGCWS03xQzgVmClTdiN9rxuPZao
nPUrchtus6tFeHOYyxEeU0U/GhXasun5NgdUlmhP0gqnikjRPoqOo0qJijwlLzKU0GhSkqNKFFGQ
d4W4WhxJtK2SJlXtaHBN+thAZ+bDhJ+gpvCUrqJRCotRaS0I6UB2wa2eXaIfYgwNWcbQIqwOcI5G
77OXauhXbK0hW0bcRX05bTVt1J8EO91xH7Hz+aplfvzd8nCiSDhnwdSzf849j2PTQLeE9xhVlJob
tOlZ74yrfiH5Wp+2DKYunP+vout8ctGH6zYpWWNH/bwD9kCJC+Br59r4jq25vrZ6o981mFkzt+23
je6fI2pohucpdYy5miH5HWT3WGoapgNLZe+JVGfAxrLFROyaZb3XUye/qkgLO+dDPD770vOOTgUz
PNFEtNe8krm41n6fjUg7SFKIZm9JT/8c5L8c5Jxof32Q/698+1a1f3KE86qfRzjqE4avBkFqhuHZ
avT+czKrk/2GBtD2yJzWDc7937aHrmA/KED3qFP694NZj8hV2FxgUH45+N2/c4Kzk/yvE5zzG+Ce
jhmOTaESMP7+BK9qe81pc7sbUZiPrK0ejM4+S6u7y2e8WpgmklMsgknq1iFbkHtL5eOJlKOnn4co
EE3dBO6CkLnC+CMsooZwOzBGsXrgY6uOYVFZonx+VulWybbA03X049bglC8eWuUwWsvKC/RqvtIa
6NSyzOoNjz44/tkmskK5lIrR0AK4r7QXWJjYztlXRGCUl0wR+SuHpzGOyDU2lPmpIynBU34oB+lg
sLblY1J6ZL4r05Rou2ODiyry+njb5TrXkiU/V5xWrSi0AGTXocKDpSkzVtR0V6uyZ612/M6gPAsa
e+Ckx8PFKjTTL7rydSVvrcmGLcaVHzEOGAG3QG/B6k+AEpvSmV5j7eptjV9sWlktzX37bcBJpvfM
rnzBX6hFFtHhNgMYQ99RbrX1MmBEmy3vq40xrVIONX+BN+djWmvj9jZVLjZr9AAsoZ4h91Q53Iat
7gk+EtPtAqz33dFVjjhyUu9xmlt3PmY5ugsS4bzhTHePYkdn0Wkob13njghkHPLDyQjpGVMrp0E+
6SjMvYuBPW8ZUiugGA4zr8Sd2WGDVF6+xpTuxuvIe3B8OW/ZJjbbWLn/4l6A6cIQSMOf0WTXe+Yi
py53Hy1/fdOVjxB3ftCTNZ2Nic+Yi+whZhZ0hizT6GiMjYMZESksTgLsib4ps00e6aW4ra2+fIDD
xi9uFW63ulmtFtQtbbUxaop8/OZXiFVaAA/wqfUvbTNetYk/hJpnZUwKzE9Mp58jFosd5EWahc6L
Du5sv0seUTp/g5Kf03SXTsODbcTdWXriNGbZa72S7dFA37OrZF8xaG9QmzDCxgfax5EeVHmEZLXr
rvts5fEZH5M4em8SyOyl6c9IPuQD2wI0hMbw0pjuEZESkQx2dUoXLIoVl9vOg0/txPZTm4gEfAXw
vjxbH/iZ06WhxIJdV1XbnnxPpnLEXYxtybjOVx/ejNNQoHcM9ch66aqM2n2lcum6sjx1xoAQFhpR
kCxpE6AmxSowd9WXWETxoQRbcJuxuQkmE9p2ueg7b5DPzIdIBQTyPAOmR3XJULs263IbFRmmyjRP
edp7NPapsolmThK2xnAUqyeORLkdXT0q9g5/lqBxzCXgWOyBzne3XdavdCAkAffNIaNLQU6LGibr
s01daDpPmkX8hTCA/lmJG/oxGa+WTpQM/6JZ9m1GZVd145M+Z2e7HRg4gXe22ofRRQC1dnKfaAi+
SthD+KL063EenlKkBWRVJrfSGu7yeHr2cnxIcv3CEpnsEGwwgayyZ4eCwprFYem6x94DENEMpQgQ
JNHOFfMl7+BTi7bayQW/s9HOV1HLjh8AyHae9K1r1CdjGErGh8N3y46+prF+Y1UZLN/6liqwQfrQ
vUcR5I0hX78UCV0ik2hvW2byayddAyERtWdv1I9VYp1njXnrWPCt6UF358/mkNmH1HJKcw82y9gm
1XzylUPynyv8lyucXeRfX+EBaTyff3KD86KfNzjXtOs4vgf8y0C++fsbHPaPujh9/jEdGrSfVzip
GVzeNEUKQ/Dv/uzXJsz/F70ZDimDRaiLauhv7VZ/GAn+c7fK7Y2sFb8AxQT6gD9c4WM9k8gaJ+ZN
N1uCh3s8TouF9iczsQk5DZMsg7lQv7y4BvVkF1sfrelder5boS3Q22VzZGGMZ9GKRSUoRXmlgYwN
vLUeQkAj13PrdCGozwrh5UCEZPmawM1fZHGPWHJfLv3JMI37puaOz5qFbqo2uqDVjQu7Vqh7mkuO
qE+GpI/edJ2iJzrDF5tJNuftOm+cWd7YsXlDNsDWb6qTiyEsB/1+XFnPbeCDeWDxZ8ScK5nf9Xer
Tu6HKbZPJUwHRivvXsqQqFuxkskqyA1kSaYB3NIhoSlUsFwxV4NavT1P+vA1x3S8SfLkgPkMbT3N
TsAOhHRxzttNWpvXuWxORU7EztS23xvCTYkoqDgxC+8mRZa4meLmhmVefZpRx++YxMZU5Ehb8gTR
vC/i6LpzkMhz5TAvaqz1u4dk/Xq03I815c2tI5ncGdFC1FbXfiZAd64yRoO2z3YqMupln5Sdd9Mh
AMECP/GpgZsI2riPN7lEM8O1lpCkoDt7mkIAYi2AWGt24zsRY/Fi+kNuZZwWFFEmXvBpAvkpzXgr
liID/AuIRktTY58lBaCL1QpMZwZMwTF3kFGkMw9dxL6wuhQJTx3trMks2H/3xLHj+tyWZnZBknpe
++yGAKljv8RrmErve7RmTpBBHN5qXYpca1gwGUTusqcbKbYiwwgKEGDZum3j7/uM5iab22HvGzBs
JNGsOMX19L5kl7IfapsUSF1kByGIRwHhYQadaWp3qAfQ/K/8TZuZ7VbqCGfnxbjesmXCfVjF9VaT
gx7k7PNPjPFIfjMSsK/dLcGl5TYhVoJospp0HUYEaeLgFcMQhyKfo5jRHFrPVb1FLB++Tp2dPZVJ
yr2X+CV41TIKjJmxMwN//QbKcxwkNSLllPcdVa2GdWZyUxTYFkWwO6TfckmHLzIGcGMstYPos91g
E+bJvoA6mrWz9AlFgZpN4ImV0aRmkxe2tSw2zpg5d6tORts83KNhJTjYyHQ2mUZxTRJvf7Dz5ntf
ru+9Pia7vsYcXPhFe5Xqs7kxmbgWbeMcgX1FF0dzR8I6S+ve0Ibn1K96LRQ98J59Ysy6HqRD/QGE
h2gNDR1rgoe185KGCN7lUccSspuZCGzE6J9KOH3bacJ97I8DaFyoc7VLld8X8TYtS+2kWeKQmubT
yPVOai08vCY7uVl5O5F5oWnuVWd/RU9+Hshl/UJZ/IkC+zJbLOjLVs9CbxqmywBq4OD77HDSlg1N
nIuLwW9LEH+MI4NpaIsAJIorttt6MPru8wp7GC3s/7F3Hk1tbPnffyu3Zt9U51D1zFT9FRAZY5zw
pktg0TnnfvXP50hgE2Q8d8RCi6vZjC9w1Do64Re+YcQps0p+VFYlJJ+S4wwVJUCSZxQ2kmkmih44
P2SLKFAok7c+FRHK1JM2IBoq+fW0UmGaVFi24aUh5IiTy0byruPe/S5nzQ1cT05BOW9nVlSeBp2y
7CPTJHHAe6atMo9mqULyrQH61TFYCSvyiRGJkrhqzyu7+9rAlJ+BOvsAadieZImVHlOa4zdrGc2D
CGRCXmenTSgfxXaL9jB6SaGcFZcgwoYJtkDIs/TOrO6BB+FtAokV0xFfNW8it0mMeZb256la32W6
dZw2xjeMOo1jHOVoEY23vULhiCbKER86PvTBB04gNuJsYl34IaeMkwHlABoeOdSL2kzBwMgEx1bM
8DxFzSPortImOYvVikg+iG9r2zmyUu0C7tBC0gtapz5QFXifscK/jaVvB8G0Cpr7KrCQ4++wVM6G
4zrR/XljISGpR1cupiPcBYBstOHUr+OrxEEPHW3mOPLmvpnSXIMp3yTBpziop41qlpPUBVCdDOMR
jYszkHOAAftJ5ahTstyV26TDhHtMGhZoclU2eRGetZ6ZfgQvXs7/iY3WsZFGOeD3sdGHuEmWW4Sg
xF/9DI4obzgwYfQ1f8YUlYon5Q2d8jDuAKrNVyIg0A/1DYIjnR8pEF9EeXvNu/kVHMHFUUHUrFFn
mmX8rfqG9aq+AQePmE1wa+hxg058Xt/QKY2mmjtwcsfwT45A0ZKi20V0HmLyo4/Vle2PX13Am2pR
x4uOXqYU+BVRgTsxMm/huMi9BBCpyzrnasrKK7PNQH3Kpw0GgWbSU9StZmNzBAroJvPwyfIo5nqX
CrXD8yyo7CkgAgfWFw33CB4bDeLxR6w7+F03MPh0176xdNzFbE2quXHrG0wnj7Bf8maa0X4Iulqb
F8BY+bl8OrZgUAADn+uybdJ8R6ZQahABLeVVkFf33aj+sCV8FLMG/yQEF64Tu2eL9/oNqIOv5Qiy
FFUY0niTkGp0LlJzGE7Zmx9NwRbuUfODlwHtHTg5/6e6N9xG5xdBX7cEByqdPE4HiBqurs4Sv6SI
nml3cvTNGD74lSkAXRSNuxIpAkccD3U5AzI26BTPsXucYHSu1bNcG7pj2mS1s1QCvNznQQ+TCdgw
Hbw+jY7orBcUieiG11RH57JLVxjB256bEOd7irNogKttCXo5KCHReF19RdORKG2My6sWzxtiCBqc
sKeZKlg+VGcphPgFkVGSRjCKCvNbNlJ+6hqYKXqpczBnoBxqISRAhp3MXcc1FqbVDVesTX0Scj7P
wq6d+pmZnTgxSBJUBIJz15DDWec0FWRKTMD60hvoO3M/zgqKJhPJ19yFEjX3qoPTKAi5Bvk7Em7F
lG5bUkza1k4xXwc4SkERLKCXdwSCc8WBbCAf1VFmylmqpbDPlPH3oowff7A1L5orCN9MImkI5o6S
ouoYE+FFbWUsuMBXSa84C2NAkasoJZx0xwytazuGJE8ZfGlnANLUIZCPXFlnbmRaMCkB6kRT6qic
KZYVsZyk9DYfUpqFFTXoyqhITW2pPO2srDv1uqZcYHhKQUC2tUVem/GcL09Hhs+4D3RLn+iDf48f
rrYAyiQBfxsTbRE6OXgG29ZvZTiREwRG8KkVYZKXlITJud7OkYRQ6Ly6KWWBtIlv2XPeSRmq8lE3
Rmk990ObTmiv2f2h0xpleB/DYzhCo1e9ypC1oKdvVac1UJbyVEM3oZT7T9QUvFkso9JJDSail158
GSSM5+TRFdTfLptXfj8FmXcjecXXGJeFiUv7Ye4nY49lDXSkULYSannhFyXNPoRFFXwfnNFCF8Pz
z4bGtgFY1hNgPldBWtsTw4yFJJdVHOMdtwJW8L2R3cPOs31qN9J9F9YVnm3BjSaFJ7Eef+uRTl1o
lWRO46QUh4hzzlQcN5Fzn7FPpYZ1USf2J2AJHwrFP8npBhI0ZReg8+5U0/naxlIPsq//UI+lfWyX
5VE2VtfV6HxGwdNFnQvVhqIRoQkRbuAGw0KjsDMFj69TkElPOxrKpe1/9OQSJq7nAjSLteLUkEc6
wWGBrIl6RInnJLJQL9a6c6mnSDSgvcNOgZQF+wvhhiBOQec5wS3lwfS7GdXhEa7LAaVV1E57EWWT
WqMEYmbChzG5dSqDM0vGug/T0g+U0q5NEa+HInL3UmL4XkTzkYjrLRHhD1JtHiKhgaly1nlXicgE
KrbLVSOyg1HkCaV401rkDqEbOAu5yoOPscgsCAxaAnWyjUrkHZJBNysXucgospJwnZ+ITKUXOYsr
shfcmnVkuslozNK4r0SOE+njMbpVlzLJDxrWZ0ZDdqZ1srrQRIakiVwpElmTjykWeqFkUgBrMlp5
ZFeAa8k3yLdckXmpIgezKXgd+SIvU0WGFotczfQFVlLkb3LhKth98UkNkd3BakBNTmR8Ugi1DAkz
cMkiH8SUD+kykSP+E+oQ6uA2SoP896HO/8XLZPVj+bIQtPmzn7EOQlYmt+PG6UiEJr9iHUhiFtZ8
sraOdJ72ciyQ9Dr69NRmhK6l+NFjrGMd6EhRyTAsTQXTib+p6KA89zoQig7UlCBNKpapC/IZAdfT
Xg50LIzFAYtfZoEVndixo5+XaX9qp3ExNZryi0lLuQiJgtLMiseVn1UF24gK/lAALreRbrxy/DxF
cWWAwKuf4AUNHCwGSA4mp53APJUWARx9jj3/0MNA8rgrhAJgTqm36sj9pk5bpIeJhano9eDlNwBQ
QTrSr5lYNRoxUwpD+knbS+OJAaQIvMAgWpFNHM3AgUlHNV1KbMDHaSAal4OS0cJUIoesk7ZmLhqc
qmh12pum53W+7oLaoiGai9ZoW0rkW6JdCnaLlo9ooXJMetSinNNo3V5FF8AQDVeDzqstWrCtaMa2
MdGZJBq0lWjVll11oYjmbU0Xt6SbC4x67qO3o9Ll5d487UTbtxYN4ACPV2S5AM822ESnok3suRL6
hWXt3btdZn4fxrBFB1cAmRtZggXnVyB3yuYj9pnXdiinzXEOSKm+CiiuHBmILKdCfrlYKzGbFIjw
fGpcq51oFlU6TekQizRc454ksDumedAsGqT1ZmOSfhjC6sLU85M09i8KWT21a+kwq7oTKTFn2egd
rmEQeMsbQf6Do/1ja/e3/xwe6zxJYdP+/vA4W0arlycHQmH8zc+TQ3BIZQWAjL3WgWdn/sySNBIo
KFNwYrQHJd3HLrADPQePGEslS4KN8/TksA8oKgPtoW1ragQAfwvHs0Uu10KHnizOxsmFcPqlVYyj
QTuF725cRm3sncKaLtzrvo9YkWArokWnUxEdhNZaYRszKozxsV7CBzAQJjmKXEx3EyzJz7sOCTAq
FzTFxI06IfsDewLa1DYIZTrUqCcRjTkJ4bNzSxhaoM1yaCYeRWKKqc5or4ywxUETQt2MLGNMaOKi
Ud13p2EaH0p2K2zmw+Zj3Vb0+3rze9w7SHiHvjPvQHfGcnY04rzaqd7HQsHQXCbZmlFCa7kty6N6
VC4c2IUwfa4Czb5EhPeYqPEasshCyqpvkmfnp6mbnRY+3ma+HhwrTvct5q61Jf86UY3PXmBDpLdR
PtMxxLhWKu8GPPMx2mfzUHZvAKUvG4wYACaiehnVbbeA/sMz02rSYMZPyxJgqJU5p4VQnY9K9RRk
y0UBEBPkq3deJPqy9OvLekzvayYaJDpSwVkHUdzNTxIrsqZJRhHQsYVCDiBEFYW8EbHPCCSnlWvK
TLOGk9GVvtmlEE7TcYqrw+PGS2l0WtU4dwbadbYgDCguzKuOGKUrbqLBW0QZ4GxDK8dDbyBY8XL/
DjXPcjoQc85S+KGmFJzEnqMtaJRepDkZYFfH/oxSy5fc9fW5Vt4jHScfmZHpEMsjsoPg3gxU7r3U
VwAlHeeyiBtSxgBj2NYqPtmlDVvJiY8io7yKkS0EWwQips2mYZ1bU0Oo1PWyN3wf0vHE9vQfllFp
NIwRA8d09UYv8xMYU9/RWb4q8FYlJbzpckD0Ze3fE8NBWOkiZ44/20ViITgOjgnIuVLhHNWB5Xa4
lhTDA6vgHYZqc4ckQ4cwrXZotdHdgEsUsX8J7p77prptKXCc9YaBeXLS9N6ixnEpnnXGoC/4/LCH
BqVPJ4iWNnAhknKwyJcseEQJp8EMAAhs6sLljyMx42NKAhS4WB6ldXDoSCS8JJQSAV3u+0dDK1+O
bAZk1ENrEUl2d5Xr6Oj1nXqiaaE2BWyNYBp/Mwa5dBl6aO5YvZzNUR+m/2wUGq0IZZDnuhb0x4kl
oTBYZMGJbffjwmqNbg7ovcalHF6Q3LaHHch4W/YuITOgZawq5xrKxVBqnauhgjxdxeFFYeZYxyhf
O9sYrktFim5QmAB2XdDR1RTyD7fM5zbgJ3pNWgS+GAMCva6pJ6DGoFGopoRKppio1PusFAM3pWva
C0g4uKtlyOJLw3kE0zdy0JhtClAATUwDVg2q27KRFgq8MC7p8jg1SSd0wz6RkOw5UbzYnmU5zWng
3+V31cK7G1YepgFea070AG5W6ltwA+jZ4HQQQyurR/muUNRvYZK4hw712XlXdvYiHfGoi6LYWGQJ
3eCK1teijYoMXrf4fl0zmYy6e1o4/iLuugsU5ULgKc0JyhpXfsenliUD2WzYyIO2CBK3nmcOmOFw
LM9BddrTHsg0Z0bDNwS3HTz/IXTG4TBJkyvfCPRZGVrOFHLVqe0hQNTl8iIwohu5LReNVF2PEazv
OEb00u9Q2FKicxwHPEThyOygYyzcPD8ym+re01wfKf6smeUSwBMFG2f13O6TT0kVxmeO335ImdFJ
pgfOPMmMcuKhtWKE9dfBTLE+zKlm2as+UxVEq5OTOur6uaf0C+LM638ihHWEIOtvRQjQ2pvqVXZh
yOKvfsYIygEeVvKjupuQtP8ZI6gHYLNkXJVBaOlEkT8rqZpzQFbBj0BxGbDZxM39mF3YBw7iU6Ql
DoP+bayvxZu8bDPLhC9Ua3kEG8za8+yiB1kbSaYLwXvMLWRezSzRbnEiqd1LFX2XJKFtLKnYJIqK
f+NfD7qnTyIC0lmqNkB9sWac4KoczRun1mc4o8tHcgfRzO41+rxttlSGEYEFI1iORQXbS/PhBFUm
dhtwCAs3pADjfEHJH//iBDvN1q4oiw4j3SeH/nTUKO7EMSPAxVICIaSs45lv4uqeYpqtWMHXVjG5
9tOFSbFlmvWztB0XnBMoe8sJjiBhdoUB4xeKfMeVOHGDGP9OteZgdgqqw0E5Lp2Q6q/JxmnoiQEM
UT+och2fN/qYHdqRkcKSwksyQMJVc71lEyKNk0jWvB5WyN7DsTUo+ElUduMkPe9V/WueekCI0ONH
MSlNpqWGMn+Uo+qrZVgVjDZEVqXtT7UxCOdqOa4a2z1ssvaUsGShWCQrebaotGpeAoSlT4hETQw7
o2y1VU2TJIKeDMRsQs//LKWJMhqdNWk8rkgfxcmWRostOi5xnB8ltGD6LPwUc0TXCKjmpXzq06px
k8ADH5xctXyljejmyH1QposaQdRD28xPFOo5aeUDJ7PcM7qFZ2nL9a7TKTVPaAmUV0pPdeR7WMae
Oq+0zEuvpLEe8kWCJx+wtUj+Rn7EZYvB6B0airQduYcDLmQQ2Ye4DXnTTtzVAZc2PWRub3GPJ21/
VA/+hZ66Nvp1/XBYcOl3Ei2j0B5uEOz6VI/9ldIq3zXCBNgfN6j0YowlIgiLUCJQ+5NOxBaxT6AS
iHgDuiQoHSIQQwabREjiEppYIkZpCFYGEbWQ1AI09OxLKOxky/4I1gcnUr+mNSeinlrEPzDalDDT
54FSf2lFhJSIWCkmaIpE9GQQRpUuTBURV5UiwpIy/86DbDdFV3Q8tDvQjyEBmSpVNwHhQiYitVTE
bHBFKWsTxdUinlOwGe5FhAdwHJk76VtZy6DhiQFDgkHD9b05qYUFBBAAFgGjapdHsMQsoHXZSWpU
HUpP+PmIKNM3o/uKsDMn/GwrWscx4K9oCC+AxJ3mIlLFEOE07WIKnyKKDQlnSxHXhiLCLfoEYVoR
9aqEv2lk34zoTCcxLriEx5qIk0cJnVXJJ3YGYfnZIpjuwXPKBNeFiLJzwu2xL05xEM5PXQJxky41
ggbXkmke+wTqEjauPqXxXB8vEgJ5gtVmOorYPhdRfku439KUiQj/vSZYlCIfAB6OK7LIESqSBV9k
De46fyCRoIZ2atYU/f+52jbJ75tX22mQelt6hMqTm03hkrJQJ9IVxYR/Dd7p180mowCPsSL9QzLQ
p2UzE9F4XhbqRpikURz7dbEZ3IYAniySZsMyFW6qv0FisYT0xDMdVPJexgNvDXRKk3Whr/SEw6K4
Wo3JsGVc4NmglZ+RaOCARjQ7UWY+p6CFMmilBnT0Iw02hdkXC7mLr2TslUBwxwm81b4OprUlu1DS
bLMqjpOsROXNajU6OUYVavOqck+oFUN+zOJsjK4yRChyxCiQcP9OaF9PLU27IBQrZrpQrhiFpphX
+Le0a+gUCX0Lrn+8kWQJTVOgM2kYTRM1GmiwVZg7ut/ytVAGRhShMivWAhoRZgrTBE7ngm4JnHoc
KazenGYNemnnujTQ7kc1PNAD95Brq6NZgIO4m7b5rYpphQcSBaJG4k6VPD1E9a5DtBgjqFA6Qria
4L5Mb2WtJOeWYFzA2PwceNKdep6n+Inp0awnKpnSLENjPnY/KYV9lWQy+We7CMcrpTY/d2311USX
TYet7fyjSbyRidEo+P6+CiWMVk+yZdFsEzQTf/oz0BSCMOAOTUrFD833n4EmfDN2GwareErq3JS/
Ak0EZjgNVMRlFPlBzvgx0KSMjaTQZjA67X+zYy/227P9SBHKYSsabEUZT8UXHXtwjiDc9aG8HDAO
QVtdbRSKp2lqh3jw+OlloJvngW/5F6ZBAjSaxlUxRA7Gp/JHzdU/RmWzymRYCX3vH4eY66HqcNii
vx+hTyW140mcUpBKldmoijhIh1yVa2fYp8cTrUkuVN0+dD3rrPIpng7SlRn6n60h/Wr00ObdYmXT
MS4VzE6H9Dhq2FaSJNo3cNNsaAQDvjO6fAXM6aKBxUrl4KLH8oDAtD8z7XFh0LlGRe2zUSDoxyea
x2V3C8Pt3KVBWZfad8jCi7auT1LXhBXvnLZ6ceH6/oWT0fccdfSq8gtEfQkRi/OyV79y7B75CoUt
qviI816GSniRScq8bSCnV+PMl9sbJ6g++H5z7mGrDbVsAVBtrsXmRanSZ3Puq9IRMp3Y1CNicDI6
9tIlUkTJ6Stc6GOpcmatUX30vZEWFPyPHJWSvLweKlzI3T649AxkICzErULzswGDbRyqj4ld36Zq
fwH36MJ3i7PWTI4MkmaKI0dNgdmQlwtx5QtDQazXdY41T/9oiUQZ/MJRbWGZpMfdedRY0kQZitPC
jZZapn90cnRCKLlPYtTYGqk+Qz9hNnrtcYlpfWVJH0OnP1Zk94suxCEdbW6mwPgQV0HRnZan78rF
1EqK88COBa+76K/ioXFnWWAuaRuUi7zoF3ZuNHjp5F9VlZ41Kji3KF6IHkLpycW8GpwOffjKLsOj
EIXK43ptSwPthRM7XGO0weVT11FgaLd9dYzQh7zIiiaeSHb+MQKDeAL9u51WBSYHSqxo570xIqYB
O30S90E2gTOPoJs2hh9VRV1EKkZ6yD8ehalSiUsA0HgACwGxh3FK8GNB+Id3UdtyOG2sTj+CHG3M
KnO4DvShmNWOj06KBqFhbGp053O4ODR9P9tEi/PIBDwSxoiZ2Yghj+F9R9g4AYn6SVLduwzSjD3o
l6NqHOpldIFuaDeLwEEQ3a+CUT+njflV6vi787KpUWobdCAOOQRIzQQZmGRXapZ86ZoaLrdgEru0
wKajz90Q5vqt5yFHLZckAXlVNLNKdzD9g59s9SHeig0YPR0Bkbb1ixkA4JWXO9/TQf1MH23F89N8
yeQKvU8Nq7EcNUO6qfmMGjMRcoQ/RJsrR3lczlA2uGz95MROui96P9w3lkzdxj7RMz9A4aOZB57/
JRjVOZIQxcWAUfMh4jYgJBrJPM9i95qaHHR71FfnqgATNjoCRh2kyi4cmeUCZYdMuG4I5qUlOJgh
ZExXihehYGc6YwuaB75mDHETVZxberm3vQ4wrxTcztEyoafD9rT8+MgT/E+1UA/tnPJroakLF4po
LbiiHFM4mQDt85pq0kAnHTyNwSUdwXSYpiZQIqepb6WmpNQNF7V3UeiGnIpGUzsdHDg0ZN9TXRBY
BZNVr+FFjmX+ye+w/ZDhdM17wXztXfebJriwbu5arC/tEG0LmO5OxxYV3NksY1tSMat4PKR6oGks
WsG1bagmwQhB0E/QcIPR5NnakxyCbp9Q8Ec/HKyBdtz58oVft19SWT6pBbcXOToH6w7aBI0MxcKX
rzuIwEbqf1IGSwblbGJ4F6KRoyO/Y0IfRmYIj6whgiCjk58nyOXE606j70fpIU07+o9SRiuyFU1J
CW7RsU6JFRyGDqidIr8smphDSjkzFY3NvlFhJQ1XVBMoeYrmZ5C1wfSfpGCdFGiwDN6ORQ7LZXoX
VHfb7JP545/RiHogOta0ztexvFBe/RmNaMIJGeieKcwi1yzIx9YYTXX0yHSC9p9/9SsaoZOFFB5F
r3exT6ZvT2oi2mOyLr/gVhixLNuhW46XY/21sN0JDgaTJxPzYRPY/AVa9kMGCKj697/ECL/CHap6
jApNTLTsKdfJYACepR9j7pp5T+IOewOSo3yIuiagqx9te/T2+4hx3nofupNP0xyCgrwoAwMgJA6z
Sokh5I+330Aka2++g4AnPEmkPIBsquh/Xaq9xQH+2QLHBN/bkdD5aOfgJqZVe5M3R03woc7ciRKs
8KP3vA9qhuXCtdflk7o4NQ0qFy76dfpVE153iT/rneQPU6E8L2W+nnOKpk+fVAto9nelmAttjlM9
CLSvDVs/U/TLjvvDhUYWDPcWpAxCjwnqL5tT4bdamet+6ssvAzkn4f0NEZ8e7/MHoEmi1K1sDZd4
PwbKVHHK+CzSVfxthrXRsrMGBgAsOCnRDjCa7qOCWw2ALAR7WgEjoNXDPZU3cgv/UD7pnBpcXpx8
UxPtpHNlaA0queDnHu7kQoucEAEfm54IIr+lWR7n3PxqWxwq9TBra/Dg4yVCBfOEgm1WSNwy46Ls
nQ+J+gFyx6HbQJeDZVp9qjz7XKvjSRmh7gIVRYV4iezo1BpBL6E5ExmfiDEK3Leg3hbcCwjJNEpz
ZsnJnDLnUHyrwmQySEDmu/RUqfUr5MtD1E7bVM0+J0Y8yUFu0EH5VOvCE9mYhAL/ZASePqOpQzfN
Bp6VRfFNLcGjSMZy4hhIFkc4Ur+9mAWk+cliFlga++nG119sly5w4DP01XgpL7Qj93g8q79qC/u4
vKwmyll9VEyR9pk50+FQm56UJ4iWz/ob6ZggfiEvyE8Ow01S+/sl8+x5Xi/ZF1UKPSbmTcSSzaJj
+EYpKm3VpDgs5D8cR2Lpv1yZT4+jFwcecpNj7Pu8jwRx8lP/o/CmQTOlhmm6f9gEyvMp3nykp5vg
BVzJ4blKzQnUSx+n6g9RP4OpitB+V80p1nqXSLG9/Z1uOwERUYHFh6kDkIkXX2kCWhtfUU297EJc
a8dbGMNvv8G2A/DpG7yYOxSdrLT1VPWyamcC3d1J06qP/vAp/vQmL05Zp3fMEf9X9dJpYSSf1OYn
pCre/hzbrqSnn+PF8ThwV5dlYqiXEBjheIDANj864YVIJtZv9N4e2+fBXZlV2X39/8TIdxm0PiLz
+j/P/1lt/u2tstmyXj77B4pOQT1cNaty+LiqUGR9+6eMtNmXYqD1vf0pezXEf/VLbw/012r9XJ+G
fPXvfy1/JEFKd6gug7taJT5a/+z4x7//tSn+GHxLzwKu9YOtP9Ob48RLPnvzg3egV6igGAQrFRMp
8eJdQDV7Dz+WULCn+mOZNq5UT7/Ht2bh7Q/4ONlvzeabD/9qEjYP9mK8vzUJRI62SgsT/f31i1Pn
+SRQkbZVziV1byeBR95tJcC/sSjlGVA5wMXy4hB5PgnqARwWIT6yea+HHb1HK0F/Cef9n7aD4HOz
7DeTwDH3fBKUAzoSOCo4m623h5PA97bbStDsA12DpQ7GcLMdWPTPJwHogSJ8KlAAF++1h5Ow+8GI
pg7fM70mStzi9epMgOYvMA90iPZ1EggTdlsJOvATWnG2amqb7cAGe7kSTBxLRLNuXydh54NRsw4E
lZFUnxBRvLacCTQlQdyIhGAvt4MAB+22EsQkoP0vmA6/mQTom9SaAR9Tuthsl72cCtG+2nEqgGCr
3IPQKl7vBqrt+M8Ym/new3ORfGvHT68fwCOh9OY83JAvjwQa+0IWBYHKhzhiT/eEsbm7dgkbdaqU
4FRlbP/Wr5cHA1OhwriRzQcvj/1bD6+6x38/YiJ2JmbEaUpd73v5VbCAnaKjEjCBY9zng0EUWXfc
GhwMJoUEmt6/mQr5gB+yeUSdg9e+xtFCsmjHqdDArRI9CRvN7VvDOrANDRmkvZ2EV82M/2VrAEyg
WQE5cPN6fV+wa4ivhPUNE76H58POIaS2zhUs1IVfnY7WATwlWwGb/zg7+zkHux8MOj0rTO9t7SGX
eHlGKhZnJI0rgUPbzznYhPe7XJYmG56MSn38tl/GDRSadGH1oOxHPvW02GawQP+HE5Hd/qvOxjeM
kCqioL8pMYmwCdQiwnEPcdW+roTd8ymNaptsaHiTbV4vM2t2A8xoHMb2djs8lAF32A5k1hQb8UoQ
RtLi9SqXkA8IqgwdH7Y9XQkCFLtblEDJ0QBRqNna74rPUGRtjk4KEHs6Ceru1TaSBFO1SCM2QeG2
AFqAH1kKezsJmwfbYTtQcgS6oerUXTdnwssbUhWIEFF+FhSjvbwi1d0PRtGL4ShAunP7wahqBzC/
TTiCm1W3f/GiQPjvdiZoJibJwPjxLF6fi+LmfVZyFBclP2Ol7OskCJbejpNgsNpVk11P/iBeL69I
VYbrz39W1H2NGAV8ZcdJEBBynY4UnKKtk8BKwF7EsmlTbJbKnp4Myu7rweSTEjkzGdungvUg+DJA
9/d1Pei7l6CZBEvI5TyGTC8TSu4IVAXZMXt7UWq7T4JNyATsUFjIr18cgs+OR5FG4SOPuNB+1+GV
3a9LKgtUFRBL+k3MoBjU4wywDdYm09i84x5emjuHT0I7UzF023k4KV/HkNwX/Finbr+nh6QA2+14
X3AdQGmHFviQQb/aGnCcmATD0fa2T7d7uc08wDVKNK1/17sHwEDr3tTMfQ2kH+K6XbIJ/UDG5wzp
tYcY8uVNgTO6qq/1aTeztLcnw+7rwQGlgC0Kym+byIFv/fl9AaoHUwIoenubXf4vtTfxMX8V3+wD
m9oq/YiH4tur7FK4OYh7RP2Zc3AW7eFNsXPJRTOEJiF5NETO3wXVKHpQdXqobOzhJOweRFGLhq9K
Lv3QnXqVY+KWSEkOVcdN6L6Hk7D7pqBxCxOUjOIB2/PykCScNuhZ0Onf10l4aKvvclOYAuBEkKj8
Hs2Ayg7/e1D727+VoG++nV0mwSI4hN1toHSwfr26IzgeZXFhCs7KXh6MIuDdMXoUWx4lCmpPv5kE
QmiSLkQn9vWifEAd7bISKL7B5SeL+H2XSkVTld2wmfD92w7GznkEyRQZo0kE+ZszQdSiwTfpppgo
XvsaPcqbXG+X9WAfIKgklFYe4qKXFyV1J7BPBFZr1tr+ToW6e11a4IEhgD3iH1/B4wXYi+oTPIrN
1bxvW0OEOjsfkqB2ZB0M0yMe+FWKzdagdm/tbXIpyLq7XRQCE43NMUJDD6ieV3MALJCciznYBKr7
thAoIe+eVtoHIksQKkmbk2FL8IhooW3A0N7XkGH3AiTyNyx1as6cLs+Tao5FLGbIuTf36L7eEA+4
s11uiHWTxgId/1BqebUbOBHg8lOR3tdJeKXS+feBfhz9IjJEsP83sSOdCQBgJl38Pd0NxnscCdQd
+Z7F6fJ8N3BiWnhBKXtLHBOsx91uBXiUAtsmCiu/ORDhUVJ0oWO7t/tg58gZFAetKeFb8ZtJIEay
eBFHbeKx/bsaBSF9t5UgeJQ2KEb9NT0EGKiJZj7x02aN/PdnwX8xUT+5x8hdxT/W1ORgVT3hN//x
Fx55u68HeEI8XmMhn/2moCpvxv5FXf7Pc+byupT65KePpdX1Oz38/cNHfP3mz97s8XM9/sejYFUu
yzt/WP9geHjQC4xb/v2vt/1b3qBZ/1wAb4+eB+nqKUx0w8mWWUG/PuprDvd/N3iy/JGVjwP9InyL
XHPnwd+yN951VqbLeNnylVSPz/nk2SkZ7Pzsb4pm7/zw+KWWy7+mWVUvH5/1yfNzr+38/LNV/NdF
Vm61lyY12Xn8efzXLCtZPI9jPXl+QrOdxz/EWDTdNjhh/s6DL+JVmj6O8+TByVt3HhsBbpx8f9SP
Q/0aXhz5Ow9/nOSrMljGj0M9Gf49tuxxOmyZdKFhtPOTn67KLXMuUMe7D/2GDPCue/UNf53dh66q
1bY5eY8NepZVf/1f6q3i1ZYjUrS+d5718+UPDuDHgZ4sxPfYoufLcpuUrICdvcODl0GebbNEEGDC
3YdfpT+yu2Db6SVi8ncYv7xb/Xgc6Ne8izLQ7oNnPPvjOE/Gfo9tep5tnRNC9Hd47LRelavhcagn
T/4et+nFMt+y0EXgvfOTX6za5WvvPwNrnncY/BIZRG9L7Cg4cjs/+Yd4ebfaEjsKqPA7DP6G/fOu
B+/HgNCxCn5smRnhW7jzw18v70oyg7TecpcKaOY7vEH612SVBlvf4D22qtDznnBhL8sfWw8yoYj/
Lp9iFqy8bbP0HrtWfIg/CYHuupT+LHz+Hu9w1gTVX5e3Aa4qj/P+64QTNIB3+S7Ol/Vq2/jvsZ+Z
p3r512RZ3i63xQxCaP09PgPvMY23v8P7bGzxKaZlMz4+7q+vQQDPd/8I/nJrTig4cLsPTg1j6+S/
y2YOqkhYfj4+55OJeZe9nGHgsmVxCpDE7hNDYJJsueD197iDr+tlGlS4L1aPT/pkat5l6zY1sc+W
wd9j335a+cttUyPgDzvP+ydifLQRH0f6NS/Ge2zWTw0nwZYrXsBXdn/0Ble1ZFtdTiBWdh7+CyM0
2/aqUJPZefQbnF4eh3ky6e+xT2+a2y0bSehH/uGpt5Vlf0JjXxdrH9Udt/3Z81q0+I27eLUs//P/
AQAA//8=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_xlchart.v5.14</cx:f>
        <cx:nf>_xlchart.v5.13</cx:nf>
      </cx:numDim>
    </cx:data>
  </cx:chartData>
  <cx:chart>
    <cx:title pos="t" align="ctr" overlay="0">
      <cx:tx>
        <cx:txData>
          <cx:v>Califonia county Vs  Amount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Califonia county Vs  Amount</a:t>
          </a:r>
        </a:p>
      </cx:txPr>
    </cx:title>
    <cx:plotArea>
      <cx:plotAreaRegion>
        <cx:series layoutId="regionMap" uniqueId="{00000000-5C54-3648-8AB6-806554911B1A}">
          <cx:tx>
            <cx:txData>
              <cx:f>_xlchart.v5.13</cx:f>
              <cx:v>Amount</cx:v>
            </cx:txData>
          </cx:tx>
          <cx:dataId val="0"/>
          <cx:layoutPr>
            <cx:geography cultureLanguage="en-US" cultureRegion="US" attribution="Powered by Bing">
              <cx:geoCache provider="{E9337A44-BEBE-4D9F-B70C-5C5E7DAFC167}">
                <cx:binary>7H1pc9u4svZfSeXzSw8AAiBw6sypGpBaLO9bnOQLS7YV7gT37dffVuJkRpQ8R64a1VtXdZWpmsRU
w00+RPfTjUbj38/dv57j1bL40CVxWv7rufv9o19V2b9++6189lfJsjxJgudCl/pbdfKsk9/0t2/B
8+q3l2LZBqn3G0GY/vbsL4tq1X38z79hNG+lz/Xzsgp0elOviv52VdZxVf7NtZ2XPixfkiB1grIq
gucK//7RXsbBN12kwfLj5jXy+8f7IkiDqv9g6zqt+o8fVmkF/7zvs9XvHzfGIR8//Db+dVuqfYhB
+6p+AWGKTiyTWMxiXH7/WB8/xDr1Xi8bmJATSRHDJsc/f+3lMgHJd6j0XaHly0uxKku4te//3x5g
4z7gcfzx3x/D8/pxrBHwAIzfPz7AM1q9fLirltWq/PghKPX351X0tl7f68Pd94fz2yaG//n36Afw
uEY/+QvM42f73y5tIvnfUF75y2R5EJCxxTliBP8AWW6DTEyKKccErT9jqPfW6w2kN+X3AXpT4shw
vtOpPgTOpjihpuTSItZ3GJG5jbOFGadU0M3JvL9GuxEeye+B8EjiyBD+Uj8dYB6b8gRTzBiWr/iC
td801viECYsLygH5Hz7ih7HeV5/d6G5I74HtxvePDNm7uqpWxT9vo9fYmoQQ/NNGi21sOWGYUsk3
sd1fo93ojuT3wHckcWwI63iZ6gMgLE7W+AnLMn9YZ/Cym7OXnCAqBUN0jPDeGr2B8Kb8PghvShwb
wkEZBb2u/3mMKQY6jZkg3HyTaXGTcYbGFvruHTq9gfJ4hH1wHsscGdKfwAnWxSFcMT0hAgkTmdYP
oMfmGssTIk2MOIIrf3XF71BpN87jAfaAeSxyZCjfBaviICDLE8aRKYigb/BpdAIXkeBgtNefUdy0
v167kR7J7wH0SOLYcF6m1fKDWhZPy4PATU8oATAt+UaYDHOaSwGBsvmaLNmc2XfvVe8N1HcOsw/4
OwWP7x34cF4H5Yerp6DMDkHTGFh2wrGk4sek36Jp6ARyKQhjAmmUv1p2wP+9qr35BuwcaL93YKfo
sb0F1TINynhZl/88hzOtE06RBSztlafviLIRItQ0rZFrh8TjO7R6A/vtMfaBfVvq2BCHybXQy7wO
0oNALiEFTgnY/++frcQZBjZHIPaWux39+5R7A/kdg+wD/Q6xI8MeVkaWzapYHmKyixMsOWRdrLdS
amDtBZKQHh8F5e9Sajfi20Psgfe20JGhvXaj02KZPgfls/7pYf+BpS6w6xa4dEsI8WZsDvMfondz
h2P/pdE+1mc33Bs39muYPSDfLXiEsDvByjsEpSMnsOxhMUm2onTrBHNTYGGyH+/Ez/ftR9p8/eD3
1ult0DeH2BPwTaEjBFutinRZvAQHybXSEwzZGcD1lcONHTq2wKFTJK0dU/19ir0N+45x9sR+h+SR
vQDXcQ2lF7+M4I8w6p8w8vJEmtxixHyN4bfqGRDUMwjJpMk25/r+Gu1GfCS/B9IjiSNDGGwnJGvs
oh4OgDI/kRbUKyD8mogZ23WoWkFEgLffWix7l1a7kd5xZ3ugvUPqfwHif6/ixm2vi1v++Dmndkzl
d1YmAV0jjHIOybjdeZh1Ng5DqQMsie/y3cCTf5VTvWleflR0bZUm/VV24x5/3OLfP5T/dWVHa5aj
VlA7dQjqxU8Eg2VP8pNgbZUe4ROKCOJQfPTz3fmTe+2v1ZszdXxnO+Dc+BEU2+14HkeH+HMBRXzp
QRAXJ8zi0oT06Y9pueWBAXG5/mP+WFUZL5os36PbW7hvjbEB8u7qwrvt33xkuE/iD44uli+HmOji
xCKSA/F6Da63JjpUmkoJ9Q+wpLb+jGB/l2q7Ud8eYg/Qt4WODPPbAFJnZfCyOgANM0+kQMw0fyD6
HdONihaIskxIrBE8DrPepdRutLeH2APtbaEjQ/uVZcaHWSAFOE1qSRO9ZtC2aDc+gewapoyOgqt3
qrUb8V2D7IH5LrEjQ/06Xj4fpChRnAhIkYDRfuXg4zQKwSfIolDmQl6t/iaH21+v3YiP5PcAeyRx
ZDjf+ctyHVQfYBcIs6BoWJhvrYKQE8iSIgEL45sI76/RboRH8nsgPJI4MoQvYGvAP48vbAwgjFlQ
p/Q6TcecfF2tBvkSqCsf5UP31Wc3uhvSe2C78f0jQ3YWr9JDLF1DjRqB/VlyPTM3yBfkwLAUGAoZ
oIDhr3Uqe2uyG9RN8T1Q3RQ4MlgvVsUz7Dn7x00ypL9MxCX/NWe3uBY6oQJ2gmBrZxi9v167UR7J
7wHzSOLIcD5N+0MYZkiPIQIT2ILSku+f0STG6/oEyTnQ6s1JvK8+u9HdkN4D243vHxmyF6v0RT8f
ZhlyvWELYLUsvDuHTcwTwJ6bpgSP/Fcb/S6ldmO8PcQeQG8LHRnaEA1+uID9wYeYzBZYZGpBfPxa
TDBmWeCRgWXBG0FHya93KbUb7e0h9kB7W+jI0L6vNSw0p4fIfVmQ+4ISAqgJfGNqIwiZCMaCjPZi
vken3VhvjbAH1FsyR4b0xRJaJByEhsFKM9QOode89hYNIycM6kxg08DIQe+t0G6MN8X3AHhT4MjQ
tWEalwdIfMCuW7Iu7uT4R10v2qr1hkICKCTicpzR3F+j3fiO5PcAeCRxZAh/0fEhXLI44RZwa+hg
MiLWkLmECxbG474m+yqyG9YN6T1A3fj+kUH6R5wFB3G9ACpwLJizr0HT2CZDNsuCD2S8Rm0u9tdo
N7oj+T3wHUkcGcLny+gQ1ErCPngTQy7yrQ040JMIM8yh1cVm1LSvPrvR3ZDeA9uN7x8Zsvc1LCEe
AlsOS4ho3WboDdq8zkTL9SIi26LN+2q0G93RHe2B70jiyBBW60YmByDMkI+Gai9wuG8YZ3C8DOr6
YPvkKAjeW6Hd+G6K7wHvpsCRobuOBjJ9EMr8PcsBLePE6145gHFj3QFmsOTUEtCE6mdKcyOz9Q7N
diO9dW97gL0lc2R4/5FAVdch2hKJE6j44FBMDVRqA2YC9VwWgR4Xr5Z8NJv3V2g3yCP5PSAeSRwZ
wOfLslwdIMEBDSChpRgUeLzO5u2ecbABEi5TSHGMyda+Gu1GeHRHeyA8kjgyhM+g3eghdsQA44Ld
rbB5+TUrPS7MBHvN4Rr44xHAeyu0G99N8T3g3RQ4MnQvV83y5UAZLE4s6ET0msHaVaIFzSyAjo2C
pf012o3vSH4PgEcSR4bwGexnPACfZlBC+51OvxbZ7qBbCAsJzQPH03dPfXaju3E3e2C78f0jQ/YK
dqN7h4iVTCiJh+JKwd+IlaB+WjAgWHxcLb+/RrvRHcnvge9I4sgQPk2yVREs4wPMX9h7DvvO2bpI
9vtnbJ8xgyZjDJq6Astef0Y8+j2a7cZ6a4Q90N6SOTK853XypOOX6p/He91QXcBuNrpdjwd70jmG
2nnyWoW5Saffo9JuoLdG2APoLZkjA/pymR2CdEE9LXTZpsCZv8/Z7aAJKj0gZkKQJNlEeV99diO8
Ib0HuhvfPzJkLzRUbR1g/q53JyLoD/Bza/lWWS06gUZRQKfxKEG9t0K7sd0U3wPcTYEjQ/ePGPan
HiReAkqFKNjgnx16dxVpwdS2+GjmvkOj3QCPB9gD4rHIkYFsazi9Y22eD7KpBTY9rAMjCX36fuSh
x8vE6wJ52KbMLDwq3XmvXrvx3jnKHqDvlDsy5GGjB3TRXx3gQBuTQ8UH1HyY6K0zMPAJhyMwuDme
4O/RaTfiWyPsgfaWzJEh7aziD5caTk86iKuGno2Q2lzP8vVny5RDk26oJABTPrLl71JqN9bbQ+wB
9rbQkaF9sXyBPo3/PNQwq6FLI+xkgkLM759xFgxWo6ClPpRf4/EGtr012o3z6I72AHkkcWQIn+vy
wx+QDYtXh1iroCdwSBUxxc+1irHLhu0w68a7ULf3w7qPkiXvVG434rsG2QP2XWJHhv0UDnA7yPZU
vj41A5Jg+O3G65Zg8AeP+grsr9FurEfye8A8kvj/gfDbp9P9OunPWVbLyfczAv9yQN3fX/3+gOBs
w5Ho666kHf28fvnU05ffP0IexGSIQbD86/jB9UAbe5rWx0L9zIZsyqxgW/vvH+GwQWgngCSFhrvr
HJq5btfZrn5dAsoGVfiWaULC3ILfngKt8H//CDXcEMtBjT40GoGvWGsPUOr6+yUBhYLQBhL2NRPI
s1NT/DrC8VrHvafTX8/k9d8f0jq51kFalTAwQh8/ZD++t9YX7g94pYXh/DTY5AP1pxhuN3te3q4X
buER/L+4KirU6Q5dVaH+7MqUzXhkGmfEqDMFW3GzG6ZbPa9TKi+7yC2nWgfYrkq6KDRLVZt2uQqo
ZOdFMdSKiqhRZctnTVvfxaLLLqKS2kGZMgXnRpY8DiYkaecmr11n4O2pdMU0sDLkZIE3q0s3Vqns
E9tq6UObFnMa+Ol97nm17WXZM2/Fma6zhwLTzKaJGSju5c9xLyNHlzRVedvOu6zrbG/QfnoDh2DM
cEjptWHyM5e3clK1yLWT1nAdAxe1Hcf5de9WS6v2nt1EtFPSp2ji9Vl+KlKZqFwbt1Us4mtZFVgl
3JcqNgum3N6yHDfg1PaMIVKp21/7HS0mhTRfyoDf+Cy/FFXgq8yPPgfEvK+0zBwjJKssYt3EHbyH
okknQV6e1tzwVTLguZvLF4SiVIW+P49kd5Oi8KLk5EuSemfhIO9xmFmKDZVWBUH3mRUSNQAIlZ9V
duy6qU0qtuzrsrNLq/ws2jpSZRZglTPutBRdi5hix3eDm0A2WBlJK9pF36PC7tPsGyqyBeLppRiC
s6bX3qkZlrc1l4XqGGrUUCSlbfFYhTw2lJXFjjVEncoNo84BMGIVSlZxGc2FLpJJkJbiSpKsn8Wp
IKrh4SlOc3nhlcWK5A1ScrC8G6OOkBoC9ixJE13mPfkWa9ZzVXCNHD8k8jL2C89O0yJSbsQ8p2JJ
NE3jNFt4kb7ykyKzUSyuWkNXNnTcQ8rr9bckoqYqsV7UBbnMdJbatTkUqgpooXCtU4WZMQu7htoN
rr/yzP8URVENDR+lnRM/dQbiw3Pz4OHGaaiVKIdPVtAr7OqnxHNnNcTeC5oaN1hk36jfT2q/m9V5
J+w04oWNqsI85XF+mvFk0VVsQj3zqsfRFTXrzpax5Arp8BG17gNLjHJeRVLbvmE9FJXHQG1y7mak
VIaoa5XnSahqhG6TvlqgNpjlUXgbBN6E1/GXFhVPTBbaxhEunb5sLkUR1U7B20JplF4wAQ+XUWPR
xCadceQm01r2kZN61jnK8bMgg+mUVf+YmaRWDc6mWTmYSldD7vRdcxq5A7KbFF22cfvkw7OecDNz
7ZQHudIk+2ym2YXU5YQLPQ19s1SCuM8VaqdWkSfKiNvc7iyt7Sisz7o+yu1expGd9uylatlFm5NO
JSI8z92C2EGWRHZEyCz0y68izM+SJH3A0fAJG+UN6BergTIlW3lRdGnsgMKONzStI3F0IfKuU/WA
bktpfu0rmV151I/toDO6hRH1xqlO2sJJm+C8ifI7WhsrP4tuBU+ZnSU0EYqabnnqWjDKUPhsnlh0
Urh57YSmEZ8mCbkJEUkVHJ/C7RyXgzK0FdmJhpe4F3FjE8+6CnUZg3o6dlw/jlTndTch1CUpl6Fn
MeDQ/usBrhsW/FlnfRF4/us5vL/++Z97ncB/3090/fOH62N8//zXbKXXLQfL8ZfWfvbXt/48FXbt
134dETvylj/OAn7Dlf7txff5WaBBf+NnYSvNDj+7pk5/+lmIo+Q6WoLYma5LrX/5WQKH4EBDCbSu
+rPgr3/6WXCmkPcWFlu7VKjvhXD7Tz9rwsoWF6aQUEkGnUbe42eJBBo/8rMCceD5sM3DIgLWTzf9
bFW0YRqTsLvKKtdQmagcyy3uK5L4dkj6yhlwqu+DBsdXpEqSu7J2i7mBcD2vBxfbuO6UJ7VbqZya
lyb0T5hUcdLZvRWuzIE3dgX9KM/8vHmSdZvd6x5mZ5TH3XURFGctKeVM1q6+T1gBXq5gdhfI84xq
7tDUTOyWCa3cIaEzH/WFKgc+T3vUzEthdJP1ZtRpFt2zITJtgnPDNmIhnI43KjHqayMPPCAK5gXr
rNbuaEgc3mTBVRx0iU25/Gog3s5lKz6lAwkectrqCx887bQaZG0bUdrZGB7MVYCFO+1QJee51uzK
awlXVSKTeZtZ0ok9U86zdKiU51mfdZm1imYh0IU6Oa/zfhZJ40sLXFxVuralZqHNfPBpNZ1Elocm
xGsWUWGcNVp8gmd8obWbKVTpSmleJyqN/K+socuOy04B3Xn08uixYGk8yXyvVa4X3FUUprkZG1yZ
KbZs7nnzaGjyucGTlen5sepSvuAFCVQ1pLWSLAynlcG8qe+2SKVs+ALwh7bk2Z023Esa90/gbeem
G2dwJ+aL25fXRpk255EQhSqqAU3yVlyagwQD6A6XTAPQVdY5ed9eR4n5RMzicWijZ8PNwOj7/iKK
uyveuj44aFwp7CHwJC05Xecf7LjuSqf15BUTorJJQue85Oe6S8REW6arGPa/ZN5wA1uDz8Lc8pXR
DYZq0kgqeG06m4s8Eldmj0LzCRgr60+tqowmlu+dGS4dErvAhefErCiVb7GVUUbToBZUYaOf8sHN
lStDdoGaeNGEQaEsloaKJPjctFio4qYJlYuw73hMBLOeRRORY6FKYyC3BWON3YgitakXPecko6r3
g34SJH090aGcAmsKFY8GeMhB6Z4afZnbHouw3cK0txGO56aX3cZp2jlNQE87IUuVRQm6T323VC6l
c6zTThUsbJUleeIQt7UHilJl9u6q78k8MAQ7jRi7Lyr3K0nTyrZgJgCdvqQli09byrhK2hopK+an
hijolVX1WnWiqOwMB3zaFfSuicAfuhU7R0Gb2TLtpY0MtijiOljgXp/lNManuQ4ApUrasfm5xO6V
0XrTdrC6KQUCUOVFENkyKWZlH2VAd3xH5PGTH7Op0BkYAJgmWWZ18GCTr5lfLmA+ZqeRYQknDjC+
8tvMdNza8G/DIPcWKXB1VQv3sskNrULJJ6SXA/CeBt7zJkmVm3U3PS5b1edZtMj7QaiaEHeO8opO
RKnprPdc6SADeGyWp2eej6xJ79XmouTesMhDbMyoztFE59kNN2QxHaJ+YSDvc2Yk5jUJg84Gmxid
GhA/2H6ULQyztb3Ocyc8zL7kVuh9K9PEkT5M4xsrDFdDOFQECKdZFer/vOqP6BXc4Nte9ecG+h2e
db0Q/OpZoZgWzpOBnjxwpsx6h8RfPSsUUsNWcVibIJTD3jYIbn9GsOtzuyGshX1RXMJXCLjqn54V
DqOCH1iQ4V4vSMPhwO/xrJBS2fCs62MKoVsQRMlweBmFcPi75/1LBIsbViSGTpKrgfkLE3wAbTRT
XQR0Hkj8tIGVExW68QXN4mjKTDpHNZ4FWXXl18YpGGVHtuQmxQbECnjRltkyqukXt4ztKK0uugGf
e5LOB58XKjJ0b/uW96Xs45vGdaMJT5KlRJzbEA2AlYvrzB5wG58lfQwxROQDNU6q9FGb/llda3EO
3vZa+BEwRg0hy2AZdiGjJ26wqeliCCP1VQaWSGUy/Nzihiud8ivBgJGSOrJUhNvgqub6hWsdKtb5
lT34FreDJsKnrBfnVWWdmm5yb/bdqqfDRUnlU+yW923faCeMvRm4uzPO1ly/4VdMW4u4isF9++zB
NAxn0NXX1ufTsikaVWAjV60U11QWZ3Gir8I2ugzbcJoZ2LVr1gZ2aEE8iAvjEaxSpvSQOYiF534x
AJ/O+jNTRtVpyuJcJdGApz6XydQI5dfOSq5ZU5/TWujLLL9B2pwmUTDpLXwFJ55Ma7O77XGjujAM
lFngpYl9O4iNzw11H+GcsymvIUKSTcvmZpw8BX39kBnIdJIBol7chZd9A48uj+ob1LmdU0Y8+ZTT
U96XolKV8LQyc6u59JCYui0QgYTx1u7r5s7vwwn8PZgGvIydKk8/1aCGmw+DHQVGp4C7zFgAEXEh
sK1Rf5Y3gEMYGpYKkYgd3QuIDHrzNhD6rG3dF5pnoQo4vweqdWsQy7SNip/LRLuqZpZv+1keq6Dw
bw3mnrKwoudMV77q8vBeuOmzQIGTuslN4kcvYVp88iSqFZyoDWYSbmqeubi1peEKBT7as2Fny9Sk
VacCy7VjHUTTLKidASgUULcZos08ImY8Seuun5CyXgnGMofyvLGRlX3WOplInMXnPpABO4/LwPb0
0Kq0w6Uyy6KDuNTCaujAtcFJg9nF0BcP+RDdulktbIpCYCGBgVXQATlMauBAcaHPkO7icwyRey3K
zwG3zqHN6m3a6MC2ApnYBh6GWZKGNWRRinYq+xTeTJN8zdL8TjQAPGs9p2fDJardF7cxsGM27FZm
4rZu3XlrphDWu+6pFRlCMXjpFbQem3aDiIGQpFQRLwJn3xatCvOisY2hX3rmUNqsNDw7hieqKqNY
VI3hoIhPcG9lCsdJcAXFq7NgIMmkj26NUGHfparxhiXElMuq4fde19xHMXbqTlxD6BrZrTdQuyVm
qMzA+NQLI1VVbE38oZr6fcMXQZC3CmgZA9gbT6VGvwRc+wUQiInOgNNE0HLFIQZdka68iJFxAUwY
UkSiTyeoH5YaqGKfVczWPOkBriBTfWtZqi90rUje3iVWq+28rPDMJZ60oTsE6NPEqdPW8AbCz7+R
uOtVz2JXRTSwlIiN27xGqzKBV4LyJFhoy3rIivyyjP1GQepxlWXoyjLaaRl2XBkkppO0tciU43Dq
o6E4dzGadUAjnASe+Fmewk1HKbxNdZV+oUmspxrYveMFQtpNU1AFycu5S3k317hf5jzQMwmmkUbB
NDdrw/Z9ejFU/lUZm4liFhJOH5h3bZi0yqP6Oi/RLCzofTaArdT4Dns5sfUAZBlpa+l52SLj/oLA
zTltgLhiqH4w+IBtF+jOJA6BYxYMXuqodL80fPhSVPmtX1Jv7sXGPAtxPUnAwCla1XeZwIlTRICv
aWhHmEVrt5abKi8pnsIiBlOR2dqXV2DoZl7uJ4rQ8r53208RqR6LXJhOHNWPVA5ojkmLHTh50T8b
yrBxAuEzu/fjRGkv71WMzdOiDO9Sbs6GrNaOG+EvbdRBjiwOpyyWoS1kRJSZcSUL8qnhN225GNzP
bXBGffMmDXMFvck/hUbyEJgJQJNWM57qSwL7KO0sxuUchXyFwdBPcCevm4DD1KaGOzdYHyuLD8Ek
toIaMrjU0bI9L7P4tpFkbnUxmF+g2UOP71IGkaXuBxV49SNQ21ABBVzk1WXDe1WxOlCe5V3T3gyc
WMtgRvICwq8ieMT9MIvjIjxPDTD/g1FcyN4ypk1fR1Oz6kI1YBPSdZkAtNxk0mbegklh2CUX/qCw
9mSu+tokc9rplQgS/6JNK4iWPLDY1mMIyZ1ZUQUWhFz50F9iHwW2XwLOVg8BrCeqSRC4tgb7tXAh
2LzCZqGv0GAMc7es6Glj+Zdx4QuxrGnfz4auI2CPRT4B5xFOZe5NE4YvSMZOwRotuAuvjqAEQjNj
cIyCmp8gcQ0Wosk9RUtj7uf0ktLSm6c+WkGktHJ77wlcTgjxSjfvkeEkwnJIhODWQcfSxNqJuvi5
CyDryzx/RhCkHSvXBPPg8c9+lzSzHlfhpM39CSSftCJkmPLGCGzoIXDmwcPOniq0wNS9jVxrbkCw
dxkU1pWZda4d1Am2oxg9wOMHL47jVdaFiwYSVtMs726Kks9CUZYOM610mnYosvsCZU4A7S8UztvP
adUVdhffMdo7PGYPiYRceR5Wig8RRDx8WgTxdQPzRJW6m+Iqu7c0fQbjel3JNrUhdxvaAc9vsVFM
wcDhWUsLcNm4vEx9iJEtSHmnHMi8DJMrSxa9ily/ngQy6idFV8H70Hqx4/PBh4RwOUm6GLLpnJYq
0GQ5lJCTi9t2ZgUhGGfBLyFF8bkosvPOii1bJ8YEQ2zBWgHZ83DatBBF5s0ZzNy5RTiCdQL/IRvK
zA6D+KLF4GojfB641Zkb60eW4c+tG4GPSK3HknQXurMauw2koUIDw5II8z4lPUptDBnCIVgUtLjo
PG+atSRy6kBA9j8DH23whzprLobOVygNnmLKFnmEY4C9P286Uc/7oq8maccvEixSmydgCA1/hljA
nZzReaTJeYuGs7owTQhnh8LmA38M2yS5Nl00OF4lDAjvC+I0Ph1UU8sMAl5iKpakvZ2VkMgUQzEv
KdFOgcInqwUOI7r62spKcyaLRs88WZbnSV70dm62Z3FoCTBK7iyKXWMmkzYEzulWMLlYLAZ6zytj
wQMrmXFfn0pgW5mKMzPkamgkD/4vHHtdTISs39+FY+t2EDuCMZD6FYyte7RhBKEVnECzDqz+THNC
nMagRmx9EBgQlI1gDBaj1wt8CHKgUCgKlaJ/BmMMavuh8wgsTq6bnnOK3xOMwUHxG8EYQ/CLYfvP
92JjCnnYdY+ivy4nem6O8jTR9eUADBRcSP216FtfRVFlKcj/OH0RPzIMxrTX7kVQiNZhuC3tIm2u
k1KfWhKSoyUjEJM0uVMawZlfhxe9BURUk+AOkj0vDWoi29ANcG6jTWy3JRd6gGUHF3HPTsrsCszZ
Yzvwr6Skn8GM90r4kk7dGLizNIZpTA0Dcmu+r0gBq1meUaggCz8xkX7Nev3Q+AGBlRAwDy7nn4oc
Ipgufayk8eim/ZnPwcCawUUT+eeVDr6WWiQqkNZ1YbLnWHpiksCNqT4O+IwQWIfC+guYi35CQ3OA
YfsIqHU7F7J96ElWTLyqnVI6VA4JIfkBaZ4YgkzxkvsNc0TMz8sqvm/TIbKFxyYsErc6kC95Ka8D
BnSO5L2nkBdWE7dtL0XWfIYlxGe30l/cnFyVOn2mkIG166jwJjWQt3kJkZeXyXkAgSkNva8xqZpJ
FovMaTkEpW2mn1ssLyIDEtJJD7w5I+bg9DSR0yBvClti6xwSf4ucuucpWOghyIppr9spKtqFJ+Xc
I+y2H5pvAQ1XVlLcm7Cu65rD58QbEgdZoCSAJBGsoratBTwVgXciXc5veFNe+LL7FocSaJCBZhq5
yK6LsFQJIo/UY7e06l1HBNE99ci3mvDmtA/W4qyup7DC9hmy0fNS+5mCWslpXdUBZLuqcMZ5/EXT
MJqSrL4kPkMqiKwY1nOAjSNqrD3aFAIgSCIKNMsrXysvyhpVZ4BaUpHWJrCEWtPAVPkgpjwoy5lb
ZmeBm+SLIYk8pwjdHhzWcGvFbNambFrnNLfpAHGZF0G2E1UdVgL4nxPX8MYxqzVsMcBL3JeAYUIy
b9IWw532IOiuUzH13GbqovpuEOYiaCNTWSROVZm7nuPFYQbGPnqudPdZwPFXwOGyJ4R1oVLt2kUL
K1ktCuY8LwxbG/4cpUboGFaU2gjpGe/RDKOgtktkyHnltz2k+sQqCfNz0elGZWWYwTJ2dcq9voeU
A6xSe0n3oHO2cEkRQBwBzJWb1VO59jeowFzRIRuuk46TM5r+D3tn1l2pzW3tX6QM0QpuaXbjvil3
dcNwlW0h0QiQQIJffybJSU7e5ss3cp+7xFXbdu0NWmvN+cwFun0XBSk/t35aB0XT2Bc/aaalnIiu
xTPehsrA3WDclrGIgkNcdbT/xubWqCI0A1SJdGp1nXtJx+5IVYsYPYeo74LR8TcxD6VucQllYR1W
N4PWmTTxnCfWZTTip5ql/LEeKcl5Grl72pKLio8iKFG/A8xdSbsVLon1eJ4ZrSAPCGfQSlEoCIVe
gxyqzb1SsRuPELn918ZSKq5hN884Z9rag9/BflI+zzJv4nXqtsxWKt3KqgmjEY2mz/g3alir3/xq
4VVRB/CSi5F2cfW9iQRmG+pDpsra1GF6+Ee9/E29RHX7i3KJ7ZjCrP+lXuJlv9dLAPE44yjCazTE
s5z2ldN/2ILBLzt/GUReBM3kD+Uy9H4BcbPvN0a/hC3G+5aQ35VLrIHZqyhWOaXRr89d/jvFku05
yH/1BEPUcBRJuIVYvBpE+El/Lpakx40zjrq7670hDK+1P1cCE4+gXQT3wfpp5tyyJFnLhp/j0n3f
1FYfHekfMcLVWcB+rIuty2HmpwkW/4jVdZC3ohanFbuhxhtzIuc2U4MLoRClSxHBNMAxGM9ZPfAb
QqoGkzlERFmpW72aDxLDWIhS+xEORJU1Zsg5hYyiEnHpwg2+QCqvyTDeTVRFhcIlflObeClMhT9j
6/QBFgN8yjz9WIQ54Gxcj1jC8oM4aH/WeBlz/MSYuUE9G9ER1PCdRvtmE/LUmrXNZeM9BpF55Xj6
3hFzIPAd2Km3XKyqhOtroJ00E1Qa/s7Ypo46WpYsSad73Hy3KoSQVm/+I/XYmNWzuHc+veho9Bma
7ogJ/l2HmJl91N+JkNwl/iXOOfzt9NTR6XUOxFm5OS76hsNdjF9T+SOwqgCJ/VOn6c/J17fTJl4i
5X42YQKTKEATjtH7Dt4QZsLInrpaYEQwEEE2MvPD2ohHLYKbeSA3WzBWuaToK1a/RYs+Jt1ZenqE
7Qaxz1IgShE041FXPItIzWCCeJeyjvlRkjk+jLy9rqHVwHRxT7EmF74dQdwwc5EoTJI07W6HFRYK
QIvkPA29f1yNPSaLROsv5jof1jY5NqyeCkm7pYyXypXR7FNoXfhTBodr4va5StihFfNdTOdbqnqb
E5KOxynsc4cF0KhkzdmPOAAHYzHw2m3NYjqdOxJN+eST6ogbrcqtWi4pozc1Pgr8TcglZHqIl+jO
cnrmksFJ9OUxlOqpM+Ep9Rwkoy1+MijjtOPPWplP7O0hebP5KotmCPfLmNaHZN5eoXUMBfeHi4oN
L2SeddFq+0RSg0LU8bbcWjKWwdI8rsRfy8CPoeV5III06XKhhutwTW+bEP2SWZ2fJcpezW6xpUPh
u2W247hXpqSQSvh51aQnayAxN8Hk3k01yILqoSqCSZMsaOTL3BSsFU+BwUSXpIKVuNeKMFxQjQwz
x14bjPR2Gk7O86s8UPRyHew1wKGt6KQIio2Q+3WRdbn241Ywv7sRPWbalTho+UGAyZtv58qp98aN
dL/WHsPggqxfDUWfS/j0oJguIXfKoq5ZmYTqmcbsi3oUzgELv6aNvqU6vaK2vRnW9dGHuZNB86zL
GFpEtnZQvrCatoVxm4n1nKjtIpzTXTOF8oRrTwJ8CvMpWb98PX3nZL60yty3A7mGcgFntwet0Ljr
IF3g3aMbz6Le+pncia45rZd8MuYLHl+Xtc76RevYuxin75hQKNQC0mS+AjTobBJfmBlqko5IAjU2
fMWpO2Yorjpb2vin8XYDOfYF9LPkUpPJHblGq1dvywVkEtA3E3+Ia/cuRcSzIWzCgxk1LHtuvFyH
4ynuMEvXYstN7R4NTJTcyb5sXW2LsRF+2ffRhJtO4ZZI4ut2ErJUrrpRbQCzea5czgh/rKrwVg3p
Y1qFp8CtSR73YATmtYXuPdxw7o0HzOLt62ShLVZ2uSKU+TlaGtzYkXzBnnxoJouF8ZRaAIN+/cP1
Ks7QT0KY6C9woD+soVpO6BTgVPjz/RAufiaiqFjg1YPHEDxfdBBmUay+VUl/UVeQdoF2XOl6uRcR
uEdfYvgRoLCYmrwSbTleuyyPUSyTE1iEH1pBX0+Hqcr83q/zWALh4Bv5wkp31It6EsckJfd4VsSP
OMC9PbYMen4HHa6FsAFhfutv6JiG2aTGV7RmVW4SiIfdClU48K3KapiAhcKZHQ09PUhBzQEd3Y85
FS9qwIVkq/6wGg6pHh95hnI35TYImsw4yg/wB/GeQpg8BwEwER520MvCBjdN1OJdWp7qtbm3qIm5
kYBURARBDautId+TFZdbwqC6SHwtaUF5DWSzRRNiYCQBgBYLIIVTazPSxE+RWY9Tv35EKrqTfPh0
Hr6dDuVrHBuR2QlmVzz3V14Qjzcs2sDQUZcx1p+o551NO0x5uPpz2SRUvY6tbM96G58C8DBF2wcv
ZA1vjTAfdmwPaSWfUOzpJVykHmhMetaC3zIxfku35hQQWOqsXlzWzhDv19Ceqgg9fr9qmHKhxa8S
LYXP2E/hFETDSfF8VMOGMSt58DB0lFFUh1m/ub4chk7gXpmrM53W95jgYjD14h+aJvnmetZkSUUu
BOfvk2QFb8CaOjkc1ajwejbcqQYoKHxIXhIv+jlIF2JsEm8hhT8gx/iOzvGzCuNjNbTutPHgS1LL
cMZ68Bz8qS4T19eHmLVzZmLdQIdfcfnJHT4Ra4ppyXuLgSamUPjLbcAHOxGc2vUa8EKy1eYxke+0
968bYevciErm44K5amnxVpvpuG7hDEsWKM9Mm5PkxuUigcNCjd9kow/kVUHSK+M0+ag5zLkx4dNh
AdIFBXBZCthzuWq2/VSNX7qEeyCHqijvRvKtnuzTlKYKxEiaK9tezdqLMj4DjeFajYUf1o8mZmNZ
teY881nnHU2fwn6+461N80AbW3YDmfMxxv0ULObgOGmh7fZngs4JN6SkcIP0j4F3d85HPce7hRIi
T2NMAZeM4tMOsKOG+Cum5BsJEhSBDjJjkzZfTHd14bf+z2WdLlNU8mxl0U+9sOOYzIAZuXdR9UFf
pBsoVhc3L7wDnTs6oJTJHOewAjBA/qAJv0JjEGZJCLrDm+XFEE1ePsxS3vhCnasRhkySNG+cRDBA
rfzmTUmfDTN5YB04Vb9T5zC1Lw49VxbX25CZQfXlaAKer9EMBb4Z8c8JR5EldgpLpcLLZFR3SQJ7
sGFjm+O++8KSpy7DNeNK3gQHusyvw4Jbt568+5b3U45r4TqIBYTQCPbh3AyPscBnhHRrgPbS4Zye
+mug1f1hisMLLzE/Zbfq3BPmZXRgrrqZPm2tuHBr+80PSVdYjSOV0R/LAjA7sXATU8NsgU3sV4Oe
Dj11SUZXbXAcUoWrVn6m6I3rJYa87PrPrZsuthRsEp+2s+/3rxCYC8Pk07AMTa7R5bEGRx+k/jmv
U8uOqhX4JWd2pG76imu0dEy5t6BDz7dID561fJ1Zf64qDIRN/14lzQ9p5tswHC86YbwC0/WhWnpU
ymA8rSN7cLVXuqjjMJ3Vo9Ng3sL0nEYEk6S8M1uQr8KDjRfUZV21pZiWq8mp8yyGvAWp7V9o6UHP
5cxv7tt+i19XJeLkZiTRgi9EZliKNYlh3g/k4p8Z9LcZFArnX8ygn/V79/5fRlC86o8RFAMloFMs
iA0gsnr/NoICDqGI5uORSViJhQHwf/mZfYdhhMfXJZBr8ejpX4Xe/5tCMZ6GmEOB1uNFfy8BgqU8
/zGFxnHk7T8LtTb+NYby5ym0b7GIrcWvcbukdaPBPgdPPKIn2ffkYm556ZlwyyOyrFm1zGdnVxSN
zodfvqQXJmrifAgC78Dl+i0hajzOsgOX6UHJhFldynn4yX0HKmczs6ugxqmZFAGZnzVshYcVpusx
nuLqqg7X+CwdK+LRD/KBLdN15IczrDG/Pjjm/TCV/qJQ9E6D7W8mX3oijxUgROFm0CLuni0yvh+H
rs15Y5OCtkAQpiTGvZXC6OdQrLI1HVIEOTpUruYg+UxOnmRVKbvdEJ/Fh9f7bi70ginc9HIBJImJ
jA9blZmg4fCoeu+28hEMcHOPr9Vpf2Je68HZd/ebgEg3QQPAT4Hot0FYyKYgGYs0sNctqwCK1xeu
909m6kZ8e//d4Ka/jDkAFGWWKFsq+aAiDXlJXS6Eot+KA5hoHejWrfbEPleXyTzW+VTHVUkxNcPE
ekyn6TTUNDlH43Y32WYtQCC/gG/5qSZ1M0L4B8hT4+yM7iJTfeMLTjcLKH5p0q9pCM90Tq8jbXXh
axKDxA3ZcWjVq7TtRdyLNyeNBr1PvhxPajj70IHb5XvUp59Dz8azF9aggHqTZH2MtwVxgyELal5f
CWGBK41aAJhEVVjlc0NRC2ynFBBDpGAIJPCyU/2GGIt+gfr7lsQuV/CryobDkV65wOTajs8KFNGh
oy2ILmjHhabum8JH37b+EuRioSgem7fkSKaonIfz3aChUUImlCUCST/DwbwuoGc63sMCCLyPoWqA
L4CcuugrP6tIEhx4z5ZD7DC+bqPm+PE+Qh1Q/zJahR3MAW+MiiEMzmRO0yNPOpkHicKNoJKvVYKg
bvSPYIDHkaLhLD2p0ZHG+sv2Q4zfdk8zJXTIh75pD2JjKKZVmjG0H/kocI9gymuzRdVbUUGvCVoT
ZIC1jnyJ06JO3G2wVCc/6oGG9bdxk5wJEYfZRzahqOx1iu+pQ/M4jBYhmJUBDI5fGPQAcBhQ8wO5
FpV0x8bzcoqmQ/fmlbU1LRRG80zJIS01zNdcpSbNjOwPqhmufX8+YmZ+0nw+NyO/Mt3QAWPQufDX
O79dTuEMTILZFFe7c7dd628XCW3fai1uonjoIQtYdgZEfOWnmGvNcGwJZqBEr8A1mmbL9n674LWX
5IR74jxLceXPApDQ8NZ6GAwTq2GgetVTyKKXedK3PlI9x7pRaeGkFwPsDqNi6s2a1RwtLpnNEVMD
Gu14czlZuwcbVy8bkmzZOMwaGaMARw9ex7sWDL1pi0E252qbPsc+CEt/A4A9AnmgoJ3QkMRNluJt
zRdTv/hVcG8sDPlAzGu5SB0WzTLFp2akXxD2LkMhrgQm8My1XYDLeixoJ962OPhWVfjcp0qxfDRA
5BrpPURJ+uZVGNV40N/7xNnM25KvOJ2PZiNrNvZJBSpruZ/q+Vj1/rel1gCmCQfOnVwAEQNdyLr7
doTGzgS5qG37JCLTF3AXLuI1KRfegsZwfpTLsW0xptqmbAFOFButr7fewngAJQZyof3iW/VtHHiQ
rR5a6UDUw9HV8mMagN0rzIQ0sVsRAidD4ieklxYxt5NJhgOzjGfbuN2vmNVKskB6aSC6u0CUs09O
aTVcpmm3HMJhukDytUYVqDG8jN16DCyk+jZW0QHY02s30YPh9H3UThydX+8q/nIDEv/Jj5arjSm8
1BdluISHSfIS1P4ljKaT1JU5bbiIcth7MKZDegQy+HPzhuuI48x2aQB0eKclpk8jxbVx4/vmeMkw
YGR6nXMYoG8q6YHZgH12toJ6T0/M4DTl5oC5+0QpzqMAlYKJNimipm9zt7JvwyyukUL6bAwOShHE
qlxamGkUwJnZxLUXIHeFZu12Sjd+9EP7DKMH5GcbgkWxU50vPoxGKJWY7JYs3sVLChUTtXMqlajn
jNSQOOH5gvXcZU/CMExPenoVUESjfm7BOaVPHjNvchdNwaw4WDG4NKALezhBwNZAZg2qxB0nYNb4
/X6A+sB4k6gPvWuzqfSWot/12r6RUVFBwkXNu7a7pmuH+tLsKq+Bvxfsum/azR/VrgRTNn4EdX8r
ZarzaleLzVJde7t+HO5KMhjWpeDOQF3edWbcZWNeJdFNzSjusl2NJgIUGOTpNQLEwnBO7rq1hYC9
7kq2IPJ7A2k7siwP6q47gqg9oo/AZ1Atjx5QDEyEI7vYCDsPpkYp7qEMtGiNcuFtKwZIT9+mW1jw
tYM21qg86eytY4iRAvC7ooHocuiDX8DxeEnD9M0q4pVkhLrO+/i9qaMoGzh5peNc3WP8ucZprtPq
OlzqYy3CCArIXCdnipzeCFmoVTXyiYJCFAFStmwl1OOxvvqnj/61jw4RYf5/99GP+5Mbpv/so/dX
/amPDj3sp/uTZfOHleP9gm3eoNRDz9sz1jBafufQ01/AmsNeQfMN3Jzu+ebf++gEEX14Q4DHMVCi
Nff/jpvjJ6Ay/tXNwcOXfCDyfoisGQDFf0MfFqhrZiTpehvFqT5Q0kJs7KpovkrMhNxWqu+l4+w+
odJF2bhE8CGiCklKi6w0HJ8jUpsIT+8xalHT6Mrt0epFQheeNVKnWFmft2ugD75n0pt4D2W7BckK
PwR6HYeGgDnn0VEjxZ3usUOC/GE/QnL16u2+Ewox2j2kSIY934HcIiDZJe/3KCMfEGoUygK5S1AU
ZsH7vEf2ETHw9rwg2VLgX1HSPSBJ9qgkhH599hpY1ai5iFIKZCrBgnxaZCzVrsLtocuJxgTtPIKY
PEU52vZwJvSk777vP6R7bLNCfjNMqC1CJDr1Hu2skPGkId6aPfTp+HJPkQLtEPhOkQoFsfCdkuAo
97io2CxqExKkYYQjeEamdBuSD0Sl4KnDBckTf7lc9wBqtUdR0SF0WR27Q4qUarPHVRF3O1RIyDEy
XvfIs0p02RnbI66iRtjVRuuPTfg3npjwP8nwIGoOQUMGY3Kng4SsRzL3K+Ld+HkVtUs+TsBEPSTA
B3X0EdehqQXOZy5nLz140/a5JYkoI7Zc9g52CZuAWmm9osjNwEzCTqJXSOwA9ROalPXDl2Fur2cC
nWwMh3JBTYdD/VkxRHR8xL39ir+va/81M64K1kR9gQFNHTxq2uuk9e+qCTlqFo8UWOtwD0j1PYG1
lHmoGHndqjifgB2jYVfnxTfPUqr7mXYUfRlCdQm4020EegqRtg56JJ7je2f5i+kxOZlOX/IJHdRC
4CMlMS7XREcVeAqONOMK3JW1vShVp+EZ8gr85Zg+D5VEW8pH0MmI4dtkKlaUfcS5xTvIZo6Sot6Z
g+ehHREgfirgmUaFhTVNAy0/FCAkkK2iHtIFLuQhWjj+yCoQHBtI8RPCTtdmj6jNe1it2mNrYg+w
Yda+bIm9j5Fs6/eIW7+H3SKk3rrYP8EnNvmCPJzrAUG2BF0Tq70z3UNz8QAFM9qDdBKJOuXIeVJo
l1dk7WY5v0hk7wZk8GQ4u8LjSP9FHsZRDnkTeT1kEmgp9whftYf5UqT6AqT7ZAhiWw818grrDyux
SsHvH8UeCOyQDGxHA2dkDwsme2xw4EAlTRW/QYu89/dsoZTNp9yQNlz96rjNKJf+nkTUeyYxRThR
7SnFgIu2JEPz0iPA6E01DDpEGgH/fe/3jKO3px2HPfcoVHCNLMqzRCDSQzAySTtaUheVMSKT1Z6d
hDCdL3uaUiJWaTCAMqmukO1Ht8CgXqPvfjWbb7JmT2Uuez5T/5rU9HDhAU4Kb/1GJdCsok18/FMe
fyuPqBZ/UR6FbmBzz/+lQOJ1fy6QIVZ4BBG2b/t7YvnPrAOWiFA40mmAR/n+KagV7k+DRL4Z4WSa
xGD3UDv/t0BCg/o1noU4NcqLB9Hp7xRIjyEo9q8FMsQC2X2tv4+yi19lL6B/DmpVswaKFqs7N1F2
6HezI4TdlW2hBb6Di35Z9+OcWgrGDv4JbTtMI6BOm3O72y6iq/Q1KC10v0EwPkr4w6fIzfrGNtXw
gVx1d2S7DVS3bGUZ91aRDymxQdZ5xN3pqTO3o5ThGxLJ5uBVfpTkVeWBYuur/qYBF/eRIB25uhZz
kOfBZ+e1PW6QkJ7geEVv7cKmRwvc7Nromp1RABWqxkyagxet6jmYqclQXfxPFc3tawQB6sQjnRb9
UOn3JUhpCZ1GlJj9gS5LO13O9TLcIwKJiDV4CS74UCzWC5fbmvTh8lNpXoeXHgy41R2MauajBw2N
fIY8lfVNHbbzmI04ZqZbVmPuZtxz9WONWxYj9AwpejPBthN3KYHhSLEZAf6Oam3CQE8vgyUFMMtW
XMYEcZRMzDiZ5OKPXenbFPh75d5i2wbvK6YRlcGZ7g+8jqOLdY7XR2PVhnBOBHMAgxq95LapEQ/w
UnhFC/+BK0nktN+290rX22cs3Cv8tUPPxQVhShedh8S6jWCQk8FywHHejAg3YjOX3DPrVaPcUEQm
xY4R1ymChJTl4qA7A3UJGMyA/O74EmJEO7ep9xQ0Y30aCOIUNWoxavtkTrHU8WNSD93ZEJM+DXSM
b1wKL73z4XdlvolgpmqKBQpLm/4gIPIuIL0wmADdrUw8UkxmcceFEO1K246jKVwlhi9GlD6vQ9U/
xF6izxEFZco3jyFkBZPAQVq6YhL2oyajxLDPFAZVtl7pZlNv2+zIJS5engO5t7eST9VrsnX2qd9d
rFk58UiEG+7q3f9CxpW1RQ+kQKNTCD2ID2ltSu0iXXAAtbCUkMo4+Yv/mSKHH7bBBXM2uF/jKQER
qmLvE9tPtsMoUNDSQSNKb5Mo++cs/u0shgz/V2fx5zT9F8l/F+//OImxuo96WNKUAP8B8ogz9U+j
CkWKFiuf8IgiEGkYcP5vVGEMD4BM8BzQX09pfMPfRxVMMXiaDawAEN6YL/5eZBbPyfmPk5j5DOul
gJzRX5939a8n8YZpu/aVwDmLiGFWdZssY++74h80zbYIUsoU91ciWTCK2BRJhAFfn3x2i4DR7TwO
hzjhD+08f9d6yymwlaNu6td+io7jwB6CPrke0tFkmr0BOEdQwJlyY82liZjOOLgtBPMQ2XT9N0n7
EcwIBY4LHregYnhDXKuII/8yQhaz8yDg7FEgub3C3xvzzpmLOurL1EkGSEic9AwiRvbbq8fZydaN
yMPG3DlWv0mskdkSdYXh4RXJ5i5rIv+L2P5lnObnxuv8LJyjw5SSw8a2OyRPWIZ/2RHJ2zmHuAnQ
GDEUaCrQOit7NgK2JlnBQfXhkY3kMGlweWuXPI8W22wGs7Iz0qceqFBsUKCtyqUlJ0RJgbCIqTrN
GBpU6M4+8qR2iB/sANPCdNNTG63v7QB3MR6TC0ToXzAJXqLYdflA3TVIZJDSnJEykv0JQUWZu3m+
RM7oHKeQ0scKB7L3ofv+O6/mpzWJYBeHOIu3xH5vqMbGqjGA+xB+BgyOcxp5T7+uYwBzBv85rA5G
Q81Y7RKjAVwhsK3HJLHlgCI6a7xnnLfoxFcuY4SfJRSiG+OMV5cVGsIjWvjIXYKCX1HBB2rOKkl4
aVi6Fp5vEM0ZFZ1Y6YuwWkqtA5O+t8toz9JEvinihrouc4FdwxynMsaCNsQGiHocc3ie1908jiWC
wT/7ehozLJnwiwAJGYAHCv9laWE3/TOu5jBPm/ELzUacrZUs1h5kLvPWJcMOiAe2p5BZwG5IDcrE
+AO+B0WomtSvrQvf+sTZfHHL4zA3NYK0gyjCMfqQg/7yEaDezLRmC2ufOVbvZkEQQI8FsN1osIM9
EaW0JijDaIHFj1ENNsUprKe3pInMISBhW0ZV8rbusMIQxqDLmf3QiY9AbQtiee0MGgOhE4yVKb9u
ObnhaDBg72Mzg5MfIfZ1RB2ul57nUbNdxn1/lGq4XwLom3XjnoZ9oogVP7ZQBBki2hmn8UsF++sY
4SuJZ1/4Nt6LCnHFkOgrq9/6KMLCi5WoSwKAUhT4VkCnAdCQuAYGj/1ehNQ6bycHDt3iE5f1+DDv
68CaGvlF7AfbsCfMYV8YHi0+5W24QMYd12b6+U9d+a2uoAz8RV1577FcMEcE6L8VF7z0j+LiYQVw
4jE8YmVvyvcK8kdxwTMa4CYHKCFh+OtmhT+KC/sFywLjALUnxLq/vZf/o7jEvySoN6hF2O3w24rC
37c93f3/NwqG3r9HgEBGYb8RTcK9AUxA5v5rcWEe95D6jNStn0wtei3kKj27rqVzAB18x70zAnaH
NljPfQf1JUv7+q1L2UW3iEOSGkAV6obN41lG5HYjEOdDZJ6RT1NXrWBYQyCm55WCFgTDUcBWQr6H
mHJZm2/xBJeVmg39IUDVXkl27xBJ5Nm0yYGWbRJT6DSRpQjD0putFgsomnA51tjclTcIAGU9Ndg0
4KXlJqGqeRwnGY60rVIiQ9QJaxBj2xU4jG7cOsA+WTeZQ+uLitoZrJdZ6NOCKsbkWlrf6MIAfcpj
Cjc4mqKfMf6d+bAvShjTfSHb0qqMOovy28ufqUiTcq2woW5G2B9R6fq89WF1bgcZg291peqRicF5
2F5GEbFXlcA2wgprWvJwkk9i7GCEteAeJy5vFTF5JFdAbRuQyHj+NokxzttmfIoZvx1GD1pBYK9C
J8YDyOQZm176uehJu0cI6ZinE97TZpyvB+hHebOq9rAt5DhM0UXU+8+dXB5SiR6hsjLKNuudWDAi
5dqID9BX17zfbja/QwwcebNsltNra0he7axbI4YrCOqAVEHEw6XH+qfNGbiCFZbuKRmgjEpkp31w
ACa+byooZIHVtvA3Xo4gEg9Y9ocVQMiP+lTf+PCgwpEgKNRddQjtg2a+DLDtL+9CjcUMuGYwb96N
Iob52OCtocgdlyEUNo0zVcv5OKI0sqhuDiZVBE6DVKfG64tmIMdJkrvGKX0NUh1iEJZo5XMSP/ix
f53CHi+nFehr2MGIAPQFyxv5/KwNjS4lbG5kU6tSc/3Npa4+LLK/5mH1fR2X9dDC3eE6iDHd0Odw
HL9DU2SFhx0k62hi9Bz8nlvvynNdsXF3Ay3lA0v9hqJbNN5DHZ+RaAFJEUdXZta3QumRILTC2u0T
U2tzYrCF02Z4bpB8yZdtudRiC6Evr82FTdwP1dAHE00fybDm0wjaa+Mwv+Ni0PYiNehpqH+p2vpG
KHXhJKK6ChnfvmmKUcOUbKvZnuMq+tpiMmPrhcVqQTFXDONHv2yAjLdrPk766IGJwjAbORjQ8QV2
WgAomI6WbbpcWX2yW3A3RW+aeIDI5vSpT72slfxy2gNGnYnOtg525uJu3vxTtQg0NNF8j8MO+hpi
cj5wNSI4rr6xugOJd4WHjaE1SwxWg4oH7FjOkbt+3AY3ZfE0B1ntBFZNTQY3Ssf6Y8q94DAhnncI
mvjYYuY+jS3BseTXWIW1gjIgM66cfgAE3Xt+iOWcWNjiyCsL+y810Y8uwbqHULXPW8+vIu9/2Duz
3bixLGu/SqPumc15ALr6gkHGoJg02RpuCFmWOM8zn/7/jjNdKStd8l+ou0YBBWQZGhiKIM/ZZ++1
voU7a6orHR810AS5CSzXSqovdi8FByeNjsAwWCZk+TIvmRD3Vq2cRy2D2IYkTl7Glx7GFYKU6Zoy
qNppxfColBg5dPl+ji2aufXaEXLAfOJ5sfVW30x9eFdMTu+lI1A2e94MAS6Fqrl04mwv41u3hnBY
TXF8TizG7LGZbktYUxeWZHyyga5y5WEFefYWGJ66iQwO40utVD7u8Mnvx3jr5El/ZZXOtTG32ynT
41WRDTloK9VVoSSI5qHqGlbn8beikhF4VyeunyIYUatuBj5iZpmPtPY1dJ5jDgNtp12nvCfsAwq8
xCIDjGFf4qtby5HEpzikulsFVuMOC0CZcUg2VICWGyeZ486d9DXm16FTrD3DCC8yIzzBBkWR2MfD
XpcUTgK0ebaGOl2LCQIaAkpIALVebxdbZ6ptHtsmRKoxMb/0UlvbR0yKkGdbj3K7xDuWYwTvzBxC
fVpLUX2jxkiUIJus6HX0/sSYkQZr+5yq6FwknNONYeG2rmtopkbDXVPd9MZ00NF2riQN7RNKIyOt
TmNZZbtKGc+oVq9lhrtSoM1rw7T2Ze1sJUUab6Nl7tdjr76kTk9Dy7KgvFgJNgZEfv+pp77VU8qH
9dT3vLe/9kzFz30vphT9N05/Bu1NAxLeNwXe92JKMX9TZKwRtmqjmfrWGP1+UtcE3MqiCCNW6Y8S
7PtJXf2N3o9hU3IzcCRlWP+XeqaaGBq+xTOLI7qhUpgZqphgOuIk/6ZnakVIYCeaW8dJA6OwVlJq
r2MlZlWv8rIUhozbApAhe1AsW8u2NHFdwm6bEjyWpg6dR8XuYBfBuG2UwcLvaarPTDlaRD/BU6Ok
N2y++eWMGwvBtglAyGBdBi/ZHkvTfIWHkXhpzklQKdp4HfW9xhg/bvzORN815IpxWPo230lF1tWu
kqbAByYTC2dCf+tU0SJxB0iTidmlezABIKCrcV43BgqLrk6R5uVIo3JHYbHOFHh6w3yBWfJgl12w
z2NwXankpIAvGfm6tsoJJU+NeT05VuQBEFEhF0wpEFyr8uqJNR2FNIIYXXrITOVcmVNxYUX9rWIi
eQpyveTAZVbYQ2fp1CTm81igFKtLS9kw83hdkuTRGuM2Bx+m5JSoVgAhM5k/0TYOECJHPPIaUtso
eenCRX1A0i1fLRgd1gPIX89qM+qSuUSnEzqFg4IvUHxzlKULvZrkg4FpZhNHKitN05uHhsfdzsLk
JlcACEbzrVQB0y51mguyXV5ZJvBfJwB6SO6T6UUlGt8ltSCbyaPiQtSVDkrETAfPXWQ8DFW4qwJZ
o8ESQAzZhLkEYgaibWM254jPblDTND7OSlyzvYWKKA4SfhNbiiN158p2ajTrKlsEKotZvZXUPot3
YJmXCzjVzjkeQGJD97JLXPm8CcHZCTAlRDESwkFx0gM9VTEJW244ESqT95/V6/fTIOORD06DEfS9
nx0E+anva5eKsFiQ+WyqHtmxTKQN39cuVSM7hFMYY6DvwIc/1i7srRinOJiBwmLi8w3n9+e8h1RP
1jobjAQTGsv4V9YuQl3frV2cQUU/kxRQgyRf1MU/rl0oKMCEZHV2KWcWrh29b10FcdRg4WxEKXFG
typgs/ExzeihNbO9hWdQAS4Baj1M9gsV3RHYxa0udFiFUkOEEtqsNoSkYGtbO+vXJuKtfFK2wNb8
PMdbNuICoPX60BooIoXuS5si+uZUKBa2oK5/sWigjAjFmIZzaEE6Vk/6M7OxTYhuF9BZCVwizvtt
guAMlea+RYBWqgYSq8SXtCYCIT4cTLX8ZCFZG4V2bW70eIPh8SmjH6LK8n0kD8baCoJ+VQntW6Nk
MA8MO3J1s70wpm5Y20jlOiGZ0xI/jZKbQGjpJqGqG6BuFooeui2Cu9HM5W0uNHiaUOPR1AM9VDAT
k3Lr7GjZV1Vo92aVMUyMw8KV5uC2ycrXrGI2LQvNX9Emx1SoAONQTf1iqDIYRwBhramcWT5sn6Ym
HVV0hCGCQg4H0kWOxBAwH8IB1rLCdi6UbypEozs6yBJrTgIc6a/iKZb8XigXZzBMMlJGZmw4rdTi
aoo45+vIHRNkj3NbSbQpUUL2cL1Ws6ndLogkEah6o1BNxjaNVw0hJX0E0LPyKy1lc5ssk+6pQnUZ
AROF8aZdEY5wFyW8/lBoNBeh1jQrnRM5e18llJw5SLsSaacEum/EbabHLQuyUH7KSEBjeWrpEKIK
LYvoHnnmNVRWBMc2k7NF6zdghXEVCVVpNzuGNwqlaUbLkpoS9SlAk3NZ2oJcwueOPjUVSlUZyaqC
dBWt4aGJnXjH4mqvDKFv1VWUzY7QvOZC/Zoggw20EviRc6hjw9plsH5phccnOSkf6qRm78rYD/u4
QeQAD4gOtDsKE4uC4rZW5EsVBW5ljDlH1GDfoM1ti+pTLw2bsi2OUVmuAas5wCbjFg/T4IB0Q5No
CrGvLQ/3wnLUDioe12kzxtXsJUIgjATkLM/8VSiHSyEhTp3hxkZTDFaqXk7dcAxQG8+yswtRHyuo
kFXUyJmxnLElO96ATlkVguW+53gsJMzqQsPHTDI6iTnoLcINApodgmLJLy1yo1rZdOLpMuC0zuXh
lUZm6k25RpNYCKg1lNQTGrwRZbWVTP2uZI7GKR7ZtVIYu0gIsZdvmmwV2JhLSMO0kSQEnoYQb5dW
BEFQCLqbSqWqR+JdCrF3Puhfe6PD24YOvNSG+xpdOINR3J5CKh5q4+Xc0+hIYoaSc2d2PssR2nKj
L9Rmz4i027P21F5iV5xLproGQZt3O6PIE3Ot9ZVpfBrk1MarqTfKptdnbMpjXbBPW1Oz+HaPo9a3
C0nHojaomr1FyDZXeANQR5xAAMz9jSPnSnczOo2k7fuphx0Jezq6bxZdHc5pV21L4WmtkjnzS+Fz
jYXjtZaXJ6jL163wwnbpdKHjUFs3widrS+besKbYoz2nuz1mWpjarZt2JihOjLapZNqrSGCXFUaY
F5rw46YFow6+HYClUT5Wgf4UJeClOhvJsrbUr51w9mpRKXPcx+0rC99v0zUgyLECz1XrgRRP1jRP
8Dk3V1LQ73O7fOT8/rpI2mqchNGXthtHeyNbtdp0Ec0MUMccI3v1FKflNdav0e1UI/JpUlpu1403
spqcAozMUjI/ZJH6ugiHcxsar+mQfy6AY0rLBZ36xNONxg/wRaeixShHMtwEb8r2WWQdZShonoOX
GkbjLvpmrhY26zrGGsjNeDKtdGHg5KAQxZVN41X1RvyfHraS4wLi0zHAqfEuVFuroGfSlnK30YTV
u9IrzxLm74V+AjZZ6bZLvcUI79QGm7itJ3i+pDTx7NQZubjAn+ErB+itrJYJdbE2Yu2lLVOe86ka
fQtHemV3WNNtCJGhYp3jsThyUs1XU0XJVYBfydtt2HdPpjNC8BRWd+F5X4T7PRA+eCPpPwXCGd8z
5qKLepFIKa8R83wvXPQ8dYAmuwVnvfDYo2p6gW3wiQV6LcP9TPOoYzCnbTXs+fUQb6QYv/6Acb8e
tcsBGZxjlF9i4ewnyeqko2/Thed/oE+5CRalWRlyswuFTwjXYuiqhpO4EdgAx2BuNiAqTGy13rRG
PK5ivT2ncX9JJbJGNfmZk8SWoX6E7xouwdzrk58KVgFhmBhowNttJECLKyw+JYOjYVNIkrLBfGnv
0Dg4qzbKznIlXMBAEXoyQ9zapOcBLiErStmfSzZBQVKQYvTZ0qjss8IxV4zRaQ3zpKE6UC9NwWKQ
WirdrpDz3SJIDSB+sfN8ozdY2k7X40toVJ8luQzXUkG7mEWOBQ5b4JKrPBKGfak2A1wIRcs9E1RE
UYZ3mlGf28J6XkBJTKa8Zhh/XwrKRIg/pIM7EeTVvVzaW01HXQKXQkuklSZAFXIW7VXIFRgXNr3F
pJ+CPIRsgeCgxtco3xQCelHADmatj/7TNPgdwaZ/6Oe7+TaEcZ+aLz8fw7yx9YFbw7Oni56BYwG1
oDD/R/UtE9ipygxUEAMLzfKfM37jN6HPcsCt/V5lvxnD0FQw4Q/adBaYyotWxL8yhnlfezsGkyCV
YQ9bimNqvLq3fQMtosfUzbl+isDGtKdpenhzGvlj7PM2OOonYx6RFg6FTuP84Rh4cn+8Qh/gPAqQ
X536xfDphL3OlX7KMLEZTfdKYhJcrCb2cl2rPUUqdqrlbJs68XurYnApmeWmHLVNYZFy0cq3Sc/6
1FZfpQynm+oceoOdpe3S0V14tpVBMdIDRutaO4dg4kbAckx4eRNxA1FiA4SdlxaSirGbojZ4RYR5
1LQ8Mr0ZPihkjjj7WqsCfbso0G5bugmNjPA/ofXL8qI/k+OTrzvFCpEPRPVeIc+FJdg+WxWj98xu
7p0m1Hx05viEdR3x58Q5XFNLZGQNlvS5KfZDEz+mqnqgmePhgpkPY4hgk/VnS2LAQru0vg2MbKNx
3LEjZNY0bx4leTQ4Ek3kFknnbhKziXxZ1j1M3bDqbiy2XkmmL1w7DPOlLTCqiw7jMqXJfDWl9gVl
MlXk0nhKB5PNsp4CZWAPtZJt6Ehen8ZPXRuA6LR0VzfsLQ2Hs7Tw48VIFJT60KbhhdNb27w2DnpB
cdWowzED+Gbmmt9UEDSwJNOVcD4n8YLzJs0u8TQxq1mwjMTyQ1Wr3WqWkgtd0m+7TIHsscB10Bb9
JtYKoo1azl69He/mDJ+4kWC3CBJzI9cxqAMzfex1xx9l+DFyiHqs4FwUhcXFxAjH0Yc7vaRsiIwT
SRUPbbewX+jXUQ6Gtxc6P304RmOzK+eR4jS5iwbILrkzbrNhPERqdmPSSMfTlt2pRfsZKdYdWoF1
2ZgXNvxgaWoekcxThHXORtLaBwhnnjrnlJPz8jWF3MykAv+W4WnpdKjGhOiDOiSoA3kBhKUW7YgV
uKFpPfIUQLxIHsIgSLAAdckaNA23Tf3KprO1wbfqWvXYN/KDJMk3rQUkPkWmMEzEPxjZlyUNrtKc
JnM0h4c0adKNElZAiCWL/jAOwQpADzMKoAd5/sVRoD1IVYT0erGMoz1hdo9jkyNhhb3HMG8SR7/v
q5bNSWXKmFXi6UmoopRkT5qbDS5wpI8OKsCF93A92ejB+7nP9uzx2KFMrfWdDPKdqseBP7bmKexU
04/hC9NqCD0kgfYXoEmDH+EqxeyJD4jnuxkC+AizBAMviYf4NDWxeagrk6KLt4KavgpBLjFESvDP
eHpEqz/rJeJrFnCuRRek1yWHgk54+ffU0sAaZzC4dbPvOrJy9KrdASxHRaNhXFXUut3S2Uh8LKIH
E/Gy26ZVgS7S2CD9Zmw7qQrUkKzyy64uVTbo7GxlMjp9DlxXTDFDFJ8Yjpb5cxNoT1Zab1nfjkmk
4BRSIOBTUR2C9BsbSTHc1DSmVZeV+Q2STolHFWsR8J/iehxgQquqedZjGxYF6JxE94jZ6z0yx/ZW
zYEGgjbfP14VPciECrI4a9RFWHN+0mofGvWqWrpDlkgMYaKjnMl3gPJWaEgvRifINsWUPlJBkgoW
dxSJgblXiOkjriS2viDdpBeAVzV29XrMbxEzjesh1jaaBVedWp3a3l5Sf4nj5rjY6UlTq22K/USp
TeQdbYuqsufUOxoeSx6SpKD3Q81sdtk8fDKl6pZ+74ruYp95bdMDKRq73GHN6S9G2SwfC7wmrL/S
K1NB2Zt7jnxcTvcaAL1nBtQAZefUGrbwjSjUmN1jiXCiu6DmCmqf3RYk9yEQkp2Lfm6SC2Z/p4Jk
Qnxdmr3rmbS4emndGnWZ8P8SnfmY2hJLpgfB2kjrWzPAZ06ezv0SFNiA+7Jdw6NQMNohkkVCuqnk
odiUc12uMn7QbQajv4dWDBfenoEBMZ1koKZH3VYfiCVMx2qt2Tnyo7x8MIdqV4D/nyyi3VpxOLYu
0nr+JEeJP+ByAKUWfeoz9RYftkOyGVFpJdgorwwyoLt9Ai9Tlh9osGmeNun1fY+XwKtKJEn49pAj
wTBEyqTdqxPsMfTHE2QryVklPajJj7fnH8cGNsMHKgzhhXIITADr+k6DgSuCaUKYFKeOE4gxLTvD
HK/Gpl1/fBmByXsznvh+HZSEaAkRNP6lCOgsgcCMilOeZcfWVD+xKl3aBNCwXDY4mQE6cTraDlO1
zux026rRIYJvZKvFnpXqYARQHJ30Kgr6a5OoGI12Wg/prQgDun8oW2ceAX2xT6Yc0iz9Rzv1JwXM
T1+5ofJQ6hxTYDD8WL4YeV/GnZMWJ9hfhOncyrhwovJ3Nx8haqSK/uQiDpL7H98fhx6s5qiimYpr
03r3OaB3r+Y87YdTFYJclUx9B7tex1les28Mg+EH0nAvISm4KhzuQUfeEcyIe2YGPxtoDBiSfB1J
S3/VR5pzU7Ar9eVwIhcs4ykB+W+oyeIaZXiKJTAoATPJUeW5MfMxg0NgLNeGkj2lXbaiBxlvlhEX
cauYfpTFqZ922rPUqGtjEmGYWo2CTudwWta4rKKG1lMIFHWOzF29qC+xbj1NlsgvQDAKZ/s4M0l2
LWuWACSNyVFGbO0uUx9RN9H/ihyIQ0ocfg56Jb+tRwIcHYWBeV4Z69asUGgr9DpLtjhFCGkSC6+P
rJ4N2cLfjGeX9T47BPJTT9uGdhnr4oMt0a2xkJvMSPgJ4oz8gkAwt0Kopkmyx/mKTYzHzLNCSPqT
lG+bDqdnrkwXvTw8QfyKnhnwb2SzzsG3RUe1FEjDtl7DziLnihlyjgju5PQK2LFl2tdWe/z4nkP/
+5P7QdgvuB2gYsHb+PGuCwgUKPhad7IU9UljuO8t1ZCdTEKUcM5Ej4yVUS4JBqo5IQfJsOlr2ZF3
ZXGDKLW2atgeAdAj7VGPRmnfazoIpjY36nXfy/ouN9TeDWM6iYM92Ogn9Xyrsql7I8Mfz24k6hEW
Ihnwwio26pswB5SuRMDll5HufMfpt6jqtZkvz01pPjmqYawGheZtk6ufTLh6ejsjdYRcA3qjXjUG
HfdmNO8T22Ripn41rQm548gy4GRbs5huyf06gPKAYKXdmAZC0akCnqbeYIQ+pkl0QzP0OrecjTl3
93aKFoC6UfbNuqcWrAe/7XHX2UZLbzAhpCMABqeY0pPEPYG1Q3tQNOleiSBF17BxfHzH62EBBSVN
pa/ozUaWk51TDL5aArSKBlANnbxC4Lq3moS3BHG9gugJWNutNlYnx552bTk/oS59rrXmqcBwZ8y8
ToaK6ZCeIRIdrMJcj7jTItjzq7hA/+PEVzS90t1sLzQUZ9/MAi+vKGhKM+RcwsM4SM7VWHevsSUh
1Zxlmhxkw3U92rAW1FPYrUjlPZioC2KNPqPNKI3k0IU2KRVq2kcH8nZ8on/uShxcoRRfCv5XGJVr
NcX0yS4ejeHWVjIGge2aNILCoVXhKQAmvSwY1x3be9HkldfTTSWZggBUgnSXBGGzg4Z0VMJx1cos
uouqrBNy1wDnXwa2sg2LDmNHfShsg6oXjsE5q3Apzpl1oYfjvlKTekWyBJ8NQbOrUU62UTUeab9f
NhkgKi33S+BHQPEuTcO3UkI07BO8I3Nel/oW3dBdJdMny+WjaeCznAL9kEQj7D9oSfteHaxViwVt
ZSVBsaEV7lXUDdtyRlc3m9a2GahCrBLBiYW6eAga5Rdb2y+e1G/DrTeDdzVy5sSp0v5ksu8Dp84J
KpxQwgTjOW2OCieWj9eGHyk87KTsFG9WBu3dcVqNooLTBStDWb4o1tdhIogDxvb9qG8/vpAh9pw/
JQW/X8nUMR9Yio1l2RA745u/bGy7oU6QMp8WWKp+FU+wPQL11mjDcheVEvfcNOyx78tuqcjK0a5x
jkB3kThMkEpIygCfjCK9Mly8mgqN1p7Wf8bofy5l6yajfOPUQ0C0ejOF+DyLjhyNLn4sEv1OirLq
OuzTwTeiqNvkRr83EhkxouLPCmA0SrxN0WnWnaM6N9WCnkczLnqt28Waul9C+sWVcx5TtGJs25aU
7lNVkBoJQohsmqTKXQ5RPc6C3QgWAfOm7XZG/kQTlwDEMXyoJ6e5U4UvVW218Bfv6o+Oir++qcxi
376pqakX6Pzt6WRPj9HyZbZ/52v900riV7//3caBm5waOUznU2zfVAl0Pe3TL26Lj+8K8939BxUJ
goIazidDvYx1sBKdL0fz713Ff/pXiHfhr7ceo2dKUgWX4rtbb8I9SuYOf4WjrtTuuRtzapJP8WT9
4tNQf7zHDdmAmGVZQFhoflGaKu8uNCdxQb+/Uk+UMc9sat5ttib22x/ceHXnFu7dzlwNhy/XJMZ8
nvynzJ+/8ES3W2338buqij7b+7/4zWP97YW+edgc5C+Vg9T11K0HT17J/nTTb/Ir4Bk+MY/NWtnw
Pq8R7rqyG/kkOA6+fiqeP34Vxs9exdtHXiw+b14FEXCZrTa87/dYCnyGK2vn0nLP+LQjb3NnrA7M
4zbOCdDWtrgxtreBF26mLeueu2xKx209Wmee40mHflts2nOErNINvc+l25/k1bwxds6OodW2+ZSv
bz5+6dqvbvx3FbSktjHk2Zj70i3dat2+EFZ9q3hIWDwGLF7sF+v8otxcPh/8fgc7cFolF4hnLpIT
6eErsiRT92uw+vzxq1J/lDb85XE3xdffvKFxXA6NZfKqop3jRqtlC7zktpDddIUrx3SBtKyId9qA
3tuqjzTS/I+vL27f93eVqf/5HL1bbVhqyDmt5ukkL6VvjeN+kdLT0MM0/Pg6YlX56DrvVh0b4CYo
xWw+UVO7w/gsT9vR/DJrfo3XVarWH1/t5x/1P/6q94dJKWfxN+qkByCTcvK7rsKrf+8C78582kSk
hkl89yk19mpCH9CxvI+v8IsP5psF+s19IeWVXVgzD1pZnVpi7yr1funtX3wqv3qf3i1urZKRJWYl
3WkSn8qSrbDDrf69v+PdDdaXS9sXbT6fRoTusXnK02mFEvrji/zi7rLerUpmEEozzTl2AwayulMw
eO9wfvcrC8hnQpzVgM7740v+9PMRthmFOYvsiLzvt8+trYGCqOKuP+n5a8O4WiOaxtx8fI2ffjxv
rvHuockIVpLqSJ9ORqLTv7/K8190FX51gXdL4pLmEzPaejjJLNo0o1Mt+8Xb9G1//OjBFxvKm/s4
Io1bDTLuY84GLoHKF8M2PXJEWF3ABfHDc+/m+4/fNYEg+HCtEX/1m0sq9P+UTo3Yo+5pDBesqigu
XcLLnpTDshvcy4VcK7Zuw89XWMavJPe688WufvlQX2ok7bgQO/y5c7fFKtr86uX9dCN/u+S+v3Pi
ZpTht3Un5Sw2clKKNpm+K5SVm250765wLxhc71/lLxzOmk/zHpDzL1YvVSxPH30o7z73QWrNqHZm
aglv8IjlWVyVXMB95l0DBDpom957UNeQTujYrptNtYGw94sV+lcvwXq370lTD2R6rLqTtIeCSeKq
m3w11opn7fuXaVv5+YFR/UZ6DR+0FeDBM6jnl1/cJz/fev/cJd7dJ+mgYfApuDWb9bRGdOzGoqrb
pavbYTftdgCxXbRLuXsnr0svX1cb6xIQqNf70Q50yWP2i5Xy28HsL5/Kn4+78e4tsSWH2VDBklL7
+sbcmJk3rZf1coj3ivsc7oI14U27aktT7wBS/pNPWisfUbdJ1zexJ4qEP4qD//6hym6/zYafy2pu
4jDq3v3zf2/LnP/9j/iZf3zPjz/xv5uX8vQE4eD9N/3wM/zeP67rPXVPP/zDLwCaz1f9SzNfv7Q0
Sb5Pq8V3/v9+8b9evv2W27l6+fvfnr7mSMDjtmvi546b//ev7b7+/W+/j+6FOP4fLV5xlT++Q/wZ
f/8bo/v/8uKXsPz5D34XzaLqR7cPCQVIl2zZCtf5PrZXrN84N+CFtImZNNGU/zm2137jTMG4n/SX
b+Fq3HR/Cv4NGLya48hQfEWWzL8ytlfe1bu8JH4ZI3shAqDbasnvbm+I0xFylk47EmyYR5h/644O
UW8a6UUe52OFmXJYrAbXlVypk0fXYLnpSwr2CEOS1icWXLtipXUs2jL+MitTlMtRaQnNTL7puFsh
6c7LDi2JJnTetZB8I99F/a20MvlUjhCF54EWXKSzCV4V8Xii3MSWk+kcwpesfXaK0ByPjVY1xpUw
HA9mkb0EQx17ZQFHZMX8uk+IUbIVOCJ2PFyDEOp2OuMYeghLlJKaJM/946JbPU2oOpL3au+gaqzr
xFkVBZE2EbAOLGpN5zMaifew+/VDECxVz7QgcJ76FiElw69gXJgEm6QzF1F/ibpecLEerTR8Tkw9
9/FoYKM3jZeqy1/wy8N1GvJa/zp+C34qVmodjrtikY11hzzocTRDE628HONDSnsFdfyYuDwD9p0i
xRU6gTF4nhAJbntSD4hRw9IfR3MGXrWxTlbdT7ulquqNbgzlChkQI82UnpFhV2D3mx45KPBEPtzK
Mzt7BXKXMLMu39u9Qxs/aKzjbBjLLtWJuozp2bq6E5FwCd6gQbpLHJCdrEqKMpICUg/N/outRxIp
L8sW58RZQ724IYKWqpyy0w0D8O6tPt2LrCy8YgutetPYlIrIrgCkT+rDeEo1zJdyFE0rJzMmD2uT
4SdSpZ5lwl5upNHQrgvTLF4SWW9QBcfFXTLg+ybL+GtBesnv+/8fq8fl7yvmu2Xq3T//j65arDAf
rVrPDctX0f1s2RJrIDaAv/9NQlqC2ogpkgy4A6CITEH+fdniS0zImcH98RV+6rtPSRAOkYeTLcV/
1G9EqO/Llv0b4jkdSJNhi4yrfw0irgou45vahMXRsmgm8urwGwjY+buiV0uGol3KCfwmqCaacjFj
1YGxaZUMq9yaunUrpS1mSUMfHsh03lftRNdfti0eYx44TJs0GQpbuQ5DEzg0Hed8pr2Oe1raY+l+
MgJ1YTTTvYxmDbgvoSlbZcENwdHmsRh4ZuZBq9cVSMSTqWh+EkafybdDXlKQ5u7YFzgOL9DnvqbT
/HmM8gtLT8911njMYbZOHNExSHIevFyrECpggVpmjY1c1pFTOwy1dMN8SSz902hKj+kgvYxDhOdH
UH7hoU94zfOv6JBAhMvSqZOH3lPIGnFH4cUiH/XLTKSJRwNPYco9sAoRs+FBVvgc5eWVaoa+WTJv
s2ZiBeoegUXYbPrwGMY7s9Ku69Y8alnwsjD+mgt0itXoaU3K0NxcL0hf8lpzA8iGUWHcDgbYOjl5
nUPEqXGmXtnCy018kgwfuP2EM5wMqh6paJ9F2XrqICLXDgKtBqZTHnYIAiz6zS2ISlDUUePLRW+5
Swn/PccKuWqDxPFJsG+J6wu3aYSCA3n7pu8lVF9KpnqTiqk9meHeKjEpJkYpaceGsB069QxyUlup
gLkSX9ROrG9SKW/6SWCUlNhrtC5GoZoY2z5w5vRzEUpWeAwcppVcI4gfcGYS5p0NCz4Jc3SHKR6J
jbBfWyfaThHMrK4hNSZvOwseYNc6j42gzxFDbkmMHjMyL3UFBUGLM8ySmXq1i9MTzDFjo9XH8pgv
avzJHu3PTRdPW0b4j2k85StjqOLzqCeqp0+kydi2dgzqGKkRU42sJ8hFj7AIKCTq6EuqYWW/Tfu8
WKcWiPPFbIdtI6Ko5Zm8riXXN+UCSwulfL6CL4/8s7EOytyQSiLX6wkI8C2IThRJfYUVIpsuyeRp
EZCP1W1YD19aVTb3VqoCO0+il0ph4V70WSY1WTlJdhl0royTlEQuhiZO12+bPmi2amNmN7VZZ+eh
tIrbVCXZs1Jgqw96dVvandd1Jrtyz3aFZ3sL5itFYAVnJtF6EjLK+Tx2ToC5FT1eDoPbN2J13HeY
ktZzHJgX3Sw/TUG1qqPxsz3r1Uor5Bn6I5lZoe4QUTrpEtByBxxNMgI/WerAi+2u2ExVmT6nmtFu
eR+BlYG/SUeSstk4bR9dllCULFXgIs1urkZNISEg1OyjPcynFrwFCenSvELwwvOaDxwFZBuoJGKv
o2SjcG4xSkL8mRb/2+L8n11KFLv/fJc6M+0MOai9r8jFT33foaiedUXD34T0hH1FAEa+71CK/Rsi
WEhY7GAGORhsHt93KA1wL6UHtjNCFcGW8KXvO5T2G1BeZCpAfTVDoHX/3cIaRI9BmQ7tENC3YAS/
7S/UpjITSiAHx8aBYKQtWeqsFFF3SlMt7wurxdAgibpUT6KLOJgfyAyi5WAlzxosTI96aLS2ZpQh
S681BstyVVf+hPgvXKmEYn8Om8GcVziGW0awEQ4PiZpMdceKUbKeBfFL18tBs1YLI/KMlhqxwJZV
4NTFVhsntd9lLS7/rNGHdd0kjnkxWxK3eTq7rbDACHoGvewEtQblZPMq2SEoXsiqrhEHgxupzleG
tkA/ZzZDSUucdTbAdmJeDxivwTvfY4ldyn2LNnZZxitFW5DiOFskCQd4BjsmmruJNRb/EoquRZEM
yk02MrXVI4ywyDYr6TJhcnhdBfa+qyLQJyHR5XS7lEPRls1KlUDOzybgp6YidZaK+Dx17VlKGcSN
oTCWALJbynL0AYiaoKnMTqrIu5ub11TrbuJMvpFNJUdxkHXFpVSny1HTyX6AN4ZWProv42FlUToH
aFqPg57B5S8j8pLCZKVWVsiUH5kmaARn1vIbyTRGAAnQOyzkK17T5Jui5s+tMtOdMLC5wWKZnqoU
0XkIx2BLBDRiRaNdd5OEFwVdrmOKuTgrt+ZQdVcqcT6xdFQWDcMvIuW5r/RPrUPrA+qYEDnZaxmN
DbJLaoJ+IQEE0d+DEfRCtyg5TFMLxBurFs3bL/qNnILflF7MInjg0IyYyLyRzQGx+fHGTuRolJH3
EeyECGetZaP6FM3/j73zWq4bybbtr5wfQAUSHq/bG256UiJfEKJEwZuEyQTw9XdA1eqWVN3VURHn
PnScfqmIkkRuAyAz11pzjsn3BPaj+tuU+r/r39KO/Nfr39JbuBrS7n9u3tKu+WdH9R8XwvA3VPcu
6edcDY7WVPDfF8LFsQvU2mYNMiEuLZ6B7wshOezg18jgMW34SW74Q4fBgc/k82OmMP/Wl/jeavmp
rPrnkrSlf/CPdhUHdTDo8AlwBvP7WJN/WQZb8OoAaAABxTxAoMxS598pGZxvs+J/vMYyHQvsJc8W
nKWgxbIkHv241JaiNsHkMJ6Kc/9IaR7uRsvK2p1fjnAMRk9vlri7/UwVuUVw2vKEkFv7YPVNCqCp
D72L3/ohyl/i5C9kZgeQ/wbbkxfPM8wREdKACslshD9vO2hOdaNNFK4kCJA0jZN3HOW8JzfP2mrG
0Ps2ceQW00C2t72Gx1B5t5lfxfsmL83NQOw2QQRxYXHqrpHjVqWe64eqnZOvJcS7nS1YFLN1QGQ2
8ujJsTLKZf5vKxqnFNvEKU37ATx2jqJXjvKuH3kXqaQDiMgaJVLy0W7EmcQZJrzYtVZkvB1tJfe4
oK/04ImV3xvXkGCf3dx+BBL/0ObzVVypZ88l1CTwyHFA+X5FXts2duRVkmQs1XF+FC3q63j0zhot
YGCWi8WKXIkUi50JnGlGbdy6aPSzDHhW4UOAreUN2uzsAIeK7FMa1V5OoH1j+wgvkNkGhXgHD16g
QgyxTIGs68MUI6VjY40YR3df2dF8llNzVpGxH8v80APi2ZeF25KJMRMp2WylTi8okuxtZDuAEDAn
z3N7jNr0PnFlsc8qYOUxYql2rtHPd+JYdSPY9ASBddufE3txEE+m93lSObFDxNKuKYp3Y8OtOgoC
QSg7VgYBHqWKjmMjSbDAFifg1OFrw3mLdY7stsx9cJ2pxvntEAhPyifmvNACYu/Q7pj6i/TUEhLe
HhXFILQx893xhi9sPMEe4VJ5tsMS5mwCiOKuqcj6FaOTulAmgGD4UIFD2mF7SqTP5CkeYSFdI6J+
6unFQOLzVsGEEzGHO2MztSiDO1VVu5DyIWthQgljXXo6P+jC2ge6tzbS5ot3qyVLRH2A7suEG6Wk
H4avs6cuWA0xLrfjyS3M25lfqkR1KfGRzw5G08b4ZHXiHQPskQLtyo6wk/vPY/RaB/PJL8mqd7Gu
t777JGdmI2p8U7Tbhh5UklPm+FSm2zgipM62cgbWefhSxNaLDW5u04KgCh0oWdq5ga2LiyhZJzMw
JRc0vJ8Yj4h8nxxkPGOcjxs3iW8dheXWTKk1gbiBhMyP5CNwilDiuTGSxyAon4wGkWGld37cfLX8
8SRD4zSO5K10mXei8bcvPIIkA7/boJAdjs7g9PeOzk58vkUl9EqljxrVLiCx1S0p1naTXZfOmB9Q
elovNVjjj11QA+oapykiXhiZ4xj5aN3HQmydNsL0kPYksv9uRejhV/TTgHYf6aheLAuqcdPrwVkc
7cU3TwPO3uUJ++Z1kIvtIVgMEPNihUjwRBid5W0VLokoaQiSWYwTvRN23MzoUEGNFWfE6DEVpnvf
m3AO7MV8EStsGAI/hqopuBeDRgYqCCsFpo0c94aHiYMrv5EDUcH+YvAI7MK7RIvpY5yblGFl/ebE
HLE8OWENwSOiHffRXEwjXTaRnoKPJFsMJdPiLFlSWHGaZDhOgsxC+4sHJfK4ynhSkCZzGMuQ6fdf
/VbfYOvOSI4EPmfr4sXKCNrF31JPxmr4ZngRdCIhvgFu6Qh+yBasMf6YCcZ2hl8mk9aX0uvHfYOT
JqvUi7KjvbsIGOcUTCzu6wbvjcz1zsKLA0zmGXs1dnpMOgyvH8Ziuqpw7/SS1ouhsw8x7uAUf48a
x4vC7xMvxh+z8O57nEAU8S8jzqA6c6BiqQ8ax5DQ9Sn1Z7VTTshigauIq7GtcBnhfYeBjO/IWQxI
42JF6vEkIU6jz7zYlDKsMxzr+AYXCxNpYI+4X0+97fXrDpcTO8EZgAHFQVrdposRqs5iPPNYo2yz
Pbh4pVhuNsZAIvJiogLjdBXgqmpxV4nefQkJXYxwXTVBfkMz7pCTytkttqzSyj8ZYPJdsFtDMesV
MTSfCJs5OYTKpou1Cx0cyczTXbeYvjKnO2W4wFrXe41whSlcx06vHiLH34Ahnnd01GocL8mtiaOM
XAp3NeExMx3AehausxD3mcSFhspi3uT40iCFyQPw/+kKH8Emw7s24GHzovpsLqY2SKs9pn1T4ABz
9K25mN+AadlE4LYfKzPBZmQGN0RdkFlRSXnuFvtcvxjpXM/7nC7WOrmY7HTjcb8sxrvJpJ63FzPe
uNjyrG8OPT1ZF0Rh0dcfzmd/O/b86E/8w6EYVNKiu+cUQntTeL8MsEXuirLElH2dZU9e/pyHb477
V8/dv7zEL5OaibvYy+mVkI5M2eXfDM3NmN3++cdYdBY/n6SWj+EtejaSh91fbZyWNYDXCIkPJsub
xfEGz9A4PmJU+vOX+bl7uxzYQgSh+Dkt+E8kS/4y3I7rbLL9XDHXL+etRLPcWTyH8mlwbrUSK68j
/8L9P5kY+mNPxKW78MP3/ocJ5fpTkQIJrNJPf/ypv3dRnN/IInJc06OJTluEX/j34gFUGUNIc2no
/8wjWzIcOGhz3IaSAvZ1OXB/76JYv3HXYAOmqEDdwuH/L3VRlurgH/cj1cNSYwry0CEEEWrqLI/d
DyINVPZ1I4dhvK60HW4VKSmkV9rYN9a5r9WdZ7jTKRuBRm5NM+9fCHJRT7kDf2fVhZX88MO390+e
cbHclr+8G4IplqmsA+XI+lWz6lRTk4cJ7hoL3gbFBkEOQBZrL0Gp3aNbVNoZXnyFfHDVlgEjUYnF
kmzdGUcs4z2/+hL2vXnD70hodBSFeJpdIxD7yXOjdzEZYvx3+ok/VF8g4TygSKzcnIAAIP38/WHf
S7i2U39tj24cb7xxLp7YsYCW9P5UEwI6jSLbpH4UrOhPwHCdctPe0+Cc8FOruv+SjF1HJwJe2KYD
Ss6howQ3RKCkm8dbnuPkNh/CU0lXvNv4lKHPHX7mvND0o1MSPi9pm6jy3yyEf7wMoFxNnwvhcW/A
p//5Q+EBijUeJoChfRQ+1zFD95WDkW8B8wzjrR5b5NwEbXz888v/8xLPpFz4i4KdVZ57kf8sb+uH
e9E1R6YcXVxdVxCjrkWeDNdVx3wyiJLnP3+lpV798T5bXik0LZMi3BN493+pmZvKmWYIcPV10JjO
J6nrtthHZIIgvWqSrSnZvdc2JB02aRtGz7+7aZab4ueX50ZZUALEpjC8+vXlfZ+IxrgqU4bMufsJ
QKf7KS+W9+DOZbf1WiSnk8ml3xNVoa2VzGv/vS+on3XI3Hz07NZc2zqDbEXdWz7ZbWPZhItO03tj
qGZjGnPpr92wdjjN2B75Y3/+7f0iJlsuFBHGLBtMTdhcmLr/fKFMb3Bhj0c0z7Buf0pboPO0xPKe
0EGbgX180rDk3mKAzlfjLImUh5Sfri14hV/xF3J0mmgYAl3N1Hva2ngj3Cbx/52+/tuE8qdv+Zvw
gsZjCOtxEY3//C5JzkjJOEN4kTmyicJgA/Fm3gN2tsNdr4Zh3dInvoMr7A6rhNTPdSvQQuO0RgeG
KiMvZHnfFEDbgaWSmMWQsz4SNU7okiubJ6/Lg00kqwgDX5alq7S3sYtGWYcBsTG6G2lgYIpJUMlW
Bs7Wcm2ppDzAkirurSy+jafKHjFO+/K65wzXW8zdNp5ilxbpZLE2OMM8r0xNJlqRuMFLZA7OKfEC
itB4VFQJJo2KNV8HkCpmgiTx4lfaCE2y+JyNn5tO9g+DaWDm0WXv76JOUoJFlgXvS+h8H/kGLU+k
G9FbyKEXvVUljdeh9MtN03TWMa+r5ihkWHxJsYXz3Ntl/pCG0QgkUjrxifILThrfw16QiXGDa5ku
jm7lTohRqG2BsTReKx3T6FFWAsqts1Fs4fZIIiM2GbDV/YGtxtLryswosnu/+DiW5sJHCZsH1+7d
/RBmhoW3sCTujHHqtjPHbN6pPOCcSp1JrVzor13cNO56tnpzwGNqqZgZaFbzcGi9nWI1BLu2jpIN
8psS2kKzNIEdst08VSocZF0GmoU0CCC/NaMlTt9FhNIGhtO+9XLaM8NkLqMqB41TS/lL1pAkC6DX
YbcfbX+88vJ5LqI75l19yTA3Laaq/QJ93LLml04bo88IOmxZyuvP0Aiy3m6p14ehMbHx9khwT6B2
571iDB4dyzbFvZUxcH0wfcM+coJDOYsvGczFJE2EHnNSBgEThoj9sC9yLdHC6xhgKKDw6CaRpudD
vJ58/NDQo8MeC1pvc0fpqBadXoP1MHYgvLLoRvHoeCS5Bg3pMgJMV7mrirSlhS/ZvKLtqFJvbUSh
CKk5IrNyGB1EJX7acNDRThd+UW47cu7znVvBiVzDYGDFrKycgXeZtHRbFHOK7rZLDXp4dZwGX41B
+am5MWsLbiZ6ouDaNaI4OlW23/tElFVjJ+eJvgmrW0JOXOKX26hTNCjCtmPmP9HJmQ5m15VwkSyA
z2t/dBHr0JpLjTWX1fpgNOUsNigncmg99ALxt1FfdXzlFVKXkkSzow3voIDQ13v389Db9i4zaotu
HgULKUp+YmFjilrVVA9sxvYpAwya74aGdwCAoIihfwmwBOsgm3DGlcHErY0BtGkJexbDqQWgX2zi
yI4HGqKKy5n6MDkYkmb2/F7kFAYbgPgFRMOpTEjbNlPnEBOH5YEdz6W9Ses02sxDlNNo1G0T3mZU
6M7aTiWu4LLJZrQTUeHsRBPFLm8X1NZWTMmMzysVmqjr0EnwrPPvViJMw4rbJ7YlkoYUi2mPx/8V
FcPSAkh5jshDnKsU0HmgHMN+nJgzYI5rwokpFmkvFwp6tqS483N+ICwZxu2g1IvqhdKvSk5yIn95
12mm8rAM4v6Robr7CbhWuaRVcPPuhmr07W3nzSlvfhBZucGUTB8wgO2Y4l99KbTmZJHFmXro8LO/
NfRaDsrXcbQldcOEyxZE/B63qLNxV7VKXGM3tZ27rnfFo+gN/gX6DTI3ejEB4FZWmaWHltY0KjA/
7qyb1PBDuGJyuTmzTHbEiXVJdztODt1FU2I9WyW64o1h9OQ2YAcLn+nmc3eXrJIt1k1AY0fEB5F1
m7VDnt9bQOqc4+hkmtSwsV8On8k03roQ2GD665KXrusZedZolf28N3N/+fDLW9esT7yvphTXjgvf
8G6QLl8VOdj5TOaJ4tGhLZqnd1Xr88i3A6eCmL9jTbV6plpSOGBp8GYmJpdbt+DMSiNBQZ2agxyZ
l0M02k5KWsuiwcO05hOxgIyhWM7JfVU+R5YdngKVgrgIEnSIdNZi75OubN7G2GbTPQheszvHHHOz
M9yLPCNyS+h9V5niWoaxfAFzBHEuISTeOtUBQppzlNSx2kytL2GT+JO9b4CSgLry5fQ5L3L3ljg3
sz5Ikw7wB/CXcXcoI6P8Os3hsoakssAxi/jA3hJHnnS7xivDD4ZJngLSyFiix2CZm1qd3Kd1353D
csk7di3yGVn2qIBXikHpM3h/FW8Lq+IxIWHCxjBb1UK+lyzI04noDZ4NvazY28w1+EZHWPpbNhkN
GqgdLG8dhUWv2GltZXL0ltlrG6rw0Zg4pp/mEPjRF7pkE+oYIXxFI4uG53YsSWJdOzr2wPVyWfTa
yBcJT61UfyFlunjIFLwKOqAHpxyVe5i1x8XJTdHNIPTzur5U3uhcGb3p1NtEVqU6xxPxzYtBukwe
OYl0X0w4cfQT/bRTMCcQGa5CrWCoVdEkH4pYivSjqGc7QCPNCWx6anrbCPllXdRinzZoWRlRo9+S
2DQUWiUaHMc0NMXduARz7tsB6Mg2nQdu0pSIH/t2zIvZvS69BuajbJTpXRyB9WE9cbrptjppuGo6
qFDMtLMPviboOvDwzIDajSrIByFeT3L3gyiN/c0UTSZB0xDS5AftTuIRDAH3Gjtd+My9Xna3VVgJ
FliLlKZdAN8JENTwYqGQCcQqz5X/5FqV1BtwA71zcaIiUPck5IUtmzt3NF5X6Cg7CodpvErtPq+v
/LZJ7FtrpLV4jMY65HONoxFf8pZkuk3ZRawZnMaG/lIUEe+/DfN41yVBnmz0aJrHSTo895PnAcN3
InCD347O/9vj1kuKHb+rv/a/arl/kn//5wm+LUq6fz2UvX5Xn7781Er5XSa+/NT3doplEsRmMxZH
PmL/Lun+eztF/GYxU/XQWS/9kYWe/H0WG/6GUgWxJT2YZRlcNOLf2ylA30zGtD7JbsRMW3+JkIym
+5fKDtUk3Taae7T4eMFf7UgRMkmbuLXphtayPflLtu/EPU1k4ThbemVONO1Dq7oK5uIeddXb1BSc
QA3mOTqBTzilHetPH566HAmwadfr0fDewiS/FEP4DCLoydbkBA/xThqcytPQf0Ge0PAUeksmD/uN
VV6BYSMFK1IoTGb7WptwFgvPdEAo5s8oomcgBh6jr0gCPCJZHRbyRwhZz/E0vxkRAhBGRwcth6c8
7W/b0MGgHIk9g+wHDqxPdT3G19CNT+j/mtVkdGcRELA2VmpXjjWfeYaraq8Atx+HAFOsF0ZIXKpd
lRgfhiYlvt1duVZ4XXCMn9lHNpXvM22pOpQkBFOTww70fYFpouhAgvSlDtObLkczGKdyepjpQacq
stei6dazHD0gZDZBDp7T0OcHhhEa7ks559bWg/dO3INZnJCUhRuJYn5jjNF+9GtmJ1ptCkpGlCUO
2ZosErYYHrypqWF/us+tVDIH09U6D6E/xD0sEbdOF6IWLOMnoTXjYxW4EtmP7M1kWzBWbkkQ+paq
RrK0s4nqGRI9oWuBp7Y5IWxmMbL8k8o2LPlsWYwb1ySxzZ8jhjiEuDk+aW4lsW5N5l4KE3yJ6mcE
9VD8vY4bB57OE6fY17R4h2J2kg6yTJfQuInwuLH1ke4QJ1dbjLSTJWGOTeoSLplz+URCRmJ+mBzv
VC6pdCXxdFK48skpu/u4dO7FtwA7fQSXsh+zDOGMGwGeTqMD1JJ6HUv7PC05eKSp+cfJQBvLFPTZ
UG3AyMrY6dBiRq0CuFb1KiBYbw4Bnph1462cuNqEiuwiUs33aZr4ZJPNt5UV7WyC+jqDWXTbDs9z
UXwoiPKrbb6zKJMfAeZfVVH+BLLtJS7b23FJARx7Bi3EAnbtAoStkwM6K5/IsnJbESFYUkevIed8
VPCegft+6idyWQkdDAkfFIQQQg7vNxGDMLZfEgqLtngcnPYp6Vy1agZkr8SmnXNiDZtZMBHzXyQn
YM5g3qUl82ROwPjb0Qc6iOPenCbEC8OrS2QixdrOJ0LRdtybsSFTUXqzdZUtOYuSwMU5p5NpMwms
vuRMmwcFPq7T0b5OtYne0RGb2p1uU8/dBGbEn2jmub3f4TDtyDfxrE9lFFVQWHPm3ETGg/yxVkpN
j94yWB7rgoFV6z9WVXwOpPkyB8mlCMc72zL2wsyZNkkkZAtwPGTE7PnyqIaSGzB6LOAMbqPMesfQ
iKxYiUdu44/kywBDj+rrPvXuutD+EpKbgoFA39aRzldlJ5x1FFs+qEFG8IWHYyPgZIRmbSwInAjv
85x1BaGcPEYqMbflJPSu8sK3Merpb8nbiLPWOvLdaIPII4IxJ8Ntm7nnJuicW84wwPrqpLrDeJI9
NJX4HE02coV8fkJjdkXs15uoxGkohokjZGhs+9y6TnpYeuRwd9SHAYP5vH+vG1QkAyKuTZs3BEz0
MiSHKuQbCH3A3S5prJHTXgFdhdguTukgjsAr7ttYEfij7aM3O9fjgB2u5FOmBNU0PfxhdzaczUSH
N0vKYU1ayO8Dm//tg8F/3pYv2Ib/9ZZ/9anr3qsfpye/b/nLT33f8uGyLhYtNvtvSanLLOSHLR/V
FcYuUvPQlfr/cEr8nooABgz7gnBpJ9Pi/ceWz0DM4zf6/OWy7f+lCQp+sJ+7uS6TPAYn7nIowSvx
DRH1Q9taDeGIFsLTN5O2O3+bqIhx/rCkZsZTyu5gRed+Jll9OwEIy5/FIJAoYGhL+2MzIyMclTfn
V90U6nmbIWWctzDslihqKjPPhTGsfYJVmjaat33cphMo9BZdt4jDr79zxqeu69odE1isQdE0z+Gm
aOol7zExIoPxnxdbM2jMXDM2maGV0dD8xjAvrRieueOLEjpIgFEChBE6FHNhn7cqdtynQhiJt/Pt
9phaAkVIBWTzQI95Oow2jPWv2g7GXZwF2BHiOCv77eKqO0CBX8qOoHhLI9LIwlgLYzU1k9oaRYsj
q0z9FWcajA0lEhDltu6bWpBQ81za+5742WTlytjZu1Py1dMGmV1V8DWrCofZCCglv+HvEKTCzlRD
u+zo+pzETXcOhIJWlpIES3hNzCJvVG+mD3rAAqfaEhWNILg1DZPtHFUC6mHzELSo5eCUV59EUMwr
b67jU0P/6tZZVLfFKMI9gQLvuQ+Q0i5s6DqJcvZd3adbs6u8VR4T8eQQD36bm0O3lvQGykbBqZRS
bwODAVAc2O9JZ9QHt825LRSnvBLd1xY5GxuiZ7w1hLsdvLkYkBrXQOeRAvsacE5DFsTKL6kh0bOg
+S16y9/XddmdQtfMNhaNPALF2DPj2quR2qt1OmTmBk+Rs3J9Pd2FYeTudVhTZg8JsA1d5lu7ddDu
DhCWqrnlbQb2x6LKWWVlRkXXoumlGwoW0S/ITWgUWb4MA0mA8+RdPEkQ+LHu7/yUhvE8CQn4fJpy
GFsWiYJ0KLeooPViU0NHLfxh4ZvLbTRW+UEUAK1llJWH/y/11H/esrkIA/71srnIV1fvVfpPTWb8
5Pelk2qJSgQ7q28hk/+2CP6wdHrA/5m1/t0A+71a8n5biiEmVMIJHNtnTPd95SRAixM7f+QJAqz+
ojUWfs+vKye8ORY6rLvo98HHL3//w8qJ6tN1aUQa175bZuuiPqolMqAqPII7BUFMuT8Bk3bsNZvu
HdaycK1SQLha0kqa+nrDwfs4t4KZRTZkawqyemXpiXAnGWha9t0bY4lneoevjSkv02AfGcEGVzhc
2y2wRWIy7Sdkg/tSlJhbGMyM3who0v6MHnyNnpPeBcjG0ERCBrLVXQHA/mCO/teRbI5dppuH0sqe
luVzO9OnWw0GJ48ylB+doRk2qSDmMTf0LmNGsZG1satkPjAnIzsxp0PuEPOw6obylJBdQbIDEUxA
+1yweNHovDaFMqa7jF6P2rEMaZJV6q6vHwdIXw2lEYkym5AVGfV9uGsEils67uXWMgd/LeG5KJjQ
BFxnt0MGQSEkb6esA5y8Zval9/33yHSIG00Bgdn9daGerA6iHqUqg6VwYGGd6gd/RDxFrPZrVmDz
BbVlbZllq3VXq7MXdd1JmtWbtAiV2JBtAeQPtB7Lqlc61p38ltea+OSuEONqInbL/QHfw5ibiwfv
Y+XUz+wCNQaGsb7C0jet6dRuK5+qNwbZSmBsJ7p9iS6wIEh2dKOPzHM5meeEzKJkpbXsmEcxcKhO
+Ny08sgOi7y6QFJG3B7v50MQ9+lJpdgIGr4+OtIRgZvaLm+iwHwsgoJ6taHHExLh55Rpz8Fby/Q5
7wyr2KIa9byt0MFltqY7ggWpaDzoexCPsTI15kOspruIILfV3No3Mg6ZSFkHfH13buYfo2Le52o4
JOZM7FEfP/ZBeTOGZKuMFjmsplo7JVdeN6skc5nKldkH8MuPfs28F79aaRBwy8zjMA7xI0DMq1an
D205fEx7cRBjQIxzkTRrT8IGnYEEj0q7O9Qk1kK5vfLALZ655Gw1Q/aejc5Ktbw3Y4rdrW1r9+BZ
NHtnH265+2q1zFgqM1r1Q3GZ4+ge7mRznNwe47kB83vQb5XRMbx7bAfIfdQTd3GSbRp6kVVDmJgn
ns0w05uszvaEyB3SKQOTSK522uWv5QCg1PC9HRlkFCqy2SRNnK6Fgb1bTvpTGIl6a5Z6M3szXQoM
f2bwwcKLVnfGpiZ2jGirN7sxPTCR2cMcJzdaOB9kCw7cFc+FNMXWtKadpE29TnPjOjLDPRnx1wMG
71USVm+KZJmtrQnupKu6shXxIQX/jFgi3Q/9SrflMYiHK9VXZ/7lTJyxbdMtcHvSRxH07gS0hLU3
Mw28T0yE99Be45cstXApYi1Bi/11NrpDnqqXLtQUwmo7BbwFO3jtA2S9g2OsoRtuaC2s+94+tHHz
cfIZyFqLr1Q73lVgDfeBkGDxRgrTtrU/pkN71EgeCkNFRGI5d3YWH5EL3FlVmK6nWV1cpRHDuNU+
qtrgGLYNpy1/T+jSh8zKr2Kze/IrNPEMvu77hMilprgkFYIRc/iATvGB46PPIEl9dsqlwdReUmXh
8C2HYzwJzPipOhSWPMvQuucmOdUDHtWk7W/om+6UTyTqMKiPpSU3lMTFTnUmqh99NkJxNmyTIGRt
HJ3JOZgtQcWtPJazPmhFn4UDLojkfV/Md73K8fCU8mLb7XlsuGWDkhSbrnhi0Pia6/TGke6xb533
zmlOSe0dhZ08qy59cIPuEQpisXK9aKfc5Oir4C1HOSlK3Pgz4/nIaq+mvjpVs8UTJjRBSvmZYJjX
sbAfwgJKP2PYlailuc48c+8QUM1U+MYt63PqB1//ezbhEOEy4/mzs8n1p+af9XB/KOgs1G2eWPSJ
HEsI+qVq+/uphLRNQjPwPAnEOdYSNf79VBJgikfOuOiDiJn8Vut9P5bgRnSpu3ybUE0KPv8vFXS0
UX89lqA/o6IDso32zuMT/3wsaWVXwnyw5hukENwtVg8AiPDfVeNOTyKT+ygJPjsaTW/UDG/mEL2m
HoBjc3Tw4kXFRubGUwjC1nSnizvD6XD7EpV0gZ03Tm+8tNhNUUCEXozsSwwWHgtzn4/hRdvuVV3W
e+ZqhyGzSD5HTxNQGxICjues9/SD59bDrrcxCXgV5U5Imrdy4ovv5bgTKSRWgXS3k0WPVZIuDl/1
aGJyXDdW8Ow39m1nFTdu2Keroa2AkbIkPufeBGmfqLnJDe9Atz/ETO9IIQ02k5uRmVHUIOF7513X
cYbNcGjIW+F1JlftMX5D5HNzbDL6QFSfuSMYi0l4Ae8Dp4lJ8ztuQDXH+dZq8M0P0LQ3pHGs08KF
I1K8kX2z6SfeeqO6/SDbFNiek+1ZeMadbya7GmdFW1W4Enq40qB1W6cQR2uqz7ZZpCdhuKeILOR1
0BI6GuX+lWamtg6198BYzNtNQduvjUrxKcLWuQmYCFV6AII6k2Dmdm5x5EQJDdbG4lwhDe+j1y4O
HjNgBcfUsA/OFL1T8ZMKxPwLr1656VwkPlZdASR2nEOdADsn9NR8ZN3vVsgRjmVVjRsnbuiqFofR
Cfw1c1aBrJ9xbJ120dHTDBhpzhGZjqEzrbphS2z9tJVM9VdunH9Gg1TRMOWcBRXaug8l/N7Zzbdo
gNhNTZFsjF6wFmuTHNVisspL7kXV0SPN4BAHMFe1EeTHJnA3o+8gwXEcm1QsP9v3tVvIQwsTNnrA
Fm+cSFH9Ehs18Yw0/E9zQyAyVdqxlfEjIgzMTb11cIymX5e9tyUv3N0qjDqBqupzFbQXhBhf65Fk
JmfWZ3NUH5uOrYVZ//NgkR6f2qHNEKL5qHDWEDE7X6EGINbddNZtkN3hCVeQFYmN1O6lwtoyRcZz
rwWkCT0fMguGuBc7N3hB90Mgdm6akdTl5DX22W6f+dYVXtN6BeT4FUv5DXFtT+GIaah0o2NsSXev
pr5cZ0KmNBgJFEiT6lNo5pckNtZjESfb2ZC3XWUd0nR0tjJtSBvEEGWNY7elINlgH5tWbWCJT6p1
t8Q7vyiHNCndBxd7lGotiCy883LnlRp50cl/8efuPLkNBF7nHJPRvupqOsJ1bV0gNe8LFAjbxvfO
jEnZ50HkGlZyT0oHuYPp9Gr5j7mxdabg3KTpLlRZh6gA40vVGI+p8gWp3MVdAG16bdXtS2P095k3
ROvKmG8Tyoa1Z3PK0FCqUxItDe8wd0j4e1rpa7PtwnWL47hIwgsuJHbM/CaFQkTz+9haujsrf4z3
eTm/hp7qd33Zrj1SO13qicLACA1Z+GrQ8zFs0jeS2mkPCLEJULCvmjR76Av3LSRVcgP1IVlVkiGS
QTC7KCMeXOjaKzvpt4TRAO8K52JESMD2e/3fXfbbLrtwyf51B+A+Ve9tl355/2PvdPnB7w2AJQ3b
5kyE2dRh/slO9n2nxd2PbnnJk/rWGVj4M993Wuc3tL8+/VR2QEBYP1v4oc4EQcD+TdQCc9a/0joN
l430F4WmB0EAUbyHr4Nx7s8bbWJVylWDbV3aWsrGvzJAQBB0HDpmh5MzdLL8JhwsO98kXsTpNNXD
vBPTRJggMVAuK7pZ3Aw1YcfU+cbRRVVzGcg/3Wirq87MCMqHya70DXEzzdXSTPmMTEmfrFLnD47Q
7RkFKhqpfqQetlBi1U4Q7UTWuvTdZF+/JqbJSMdQIaMEqjUnBA1lCQqWoqJjiWn8q2Gn873Veemw
DpOqXlUT3k08xHjFPQk8JbNW9OrKNcOv/LYsh+jRysLkHqtfkTyYGRJvoIO+kDOkqYRRYAtUwR43
AjerxQsOgGeY+DAHbZH06QCWPSJ0dde2ImCCVLcWo0bsZea15zXZtnTRiT0Z2QxsR6rc99cjch0S
JFrkZitXTfI1H+iCOIpO7WyRa+VDCWkbFDJ9Q6jXAjIwVRu6Z9X8P/bObLltJN26r/K/QHZgHm4J
zhRFarKGG4Rky5gT8/j0Z0HV5bJUajvqv66bE3Gi2oZJgInM/e29NowD/w13kM3kA9LPWHxF2QFE
GCOp65tRreMdXRK80vPJuKbht6PMYOYq5AAW6GkK94Xl69PRjMtmB3Icatg0A8Sgo0iO6CEPJg46
ArhSbP5dEf7Yd/P7+d8rwjGXzWv1Ov59QcDU8GNBQBHE9sWvm72twi8Ya/+fKwJZdqzwuo1OZv13
YvLnioAiiPA3b4vf64Fk3Am4oyAiMFom7Xj/ZDkAe/VhPYCrPXvKcXvpBnv8j+6JrEiNfASTd5np
BP8KxTeWMOgfbYfGZru91xrrLpmu/LmmtlRXWulctU1wh96S4E+yda8AylTK8WhdxIH4qvfJHaQh
Hep8FW/wzr1YDe7tsceulcVbJZA9HT/52lQrn/LUGBOmoj6xYSxe1IYYss5OdhXTnbWewnjbR5W1
pZJ0D84uWsR6eJ+ZzKlH93ESDeMZp/L6qHwe4+TKDfVntJGHoaMumAzlsenwJI84/ZZFGR9awu4L
jpzd/ag4TxEZ+YMsaITAvI3WUcR3SZs+0VQ0IQ2Bm2R2sLacaTuV2lNXZ5euBEVt2TcIlwlzl5L0
LC6I/q4No0cnEtteye/rSgR7W4NxVxteJrtLNQaeCZh3GKNLnOUIMPCpcHN+y4vmhJWqZF7dX7pR
j8wYaTsjX/OzZZab4xG5CcpjZSPjJI/IfeWCf+IGI4S1aGgpS42UmhETdT+JNefON9AtzLredhYr
K3rbJvbFBYjmfps3duf5Ubvqc5AjNQUZSj7RchwK+CDptszTb5UI+2Wj1ShjlbKprAlcYtee2V5v
lVgh8Y7leBNK/bWJImOfSq6X0j1rBrD47OpFmcZoyd71gvoqHJ3x82D5zKhbDgZNRNeFe5kVxtKK
GZDkY3zRByGWb3tJOSx1GMZgLVMFOwCoF5LuoM88NuvqIk0IvmOco1MhYk8Z2ZgoxghfdJNNZ7ex
n81CUJIaNeu2RoOctWIN0bCf1WMbGdlCTh5nXdmAtCJnpTnkzgmkZxMJupy1aIaVzkUp1F3q5McC
ubpDtg6Rr4tZx1ZnRXuate18VrnHWe9OEL7Z4uZLjCr3dEyTyp3V8QiZnBZHnVPhsM1mBZ14JyLl
iK8uyXe6RsdJjM7B/cDfWZwM9NUEHQTUl4JvO+Mg5sATQyuJ0Uxobjw0aCj5LKZMqCp+3VzQNLPT
ZrklRXehkuYlroOdGwYbzu5URaPQ9Cg1RSvuIpQbReb7FiUnt6xdogQngcIjUXqspORLnfoLAw0I
LtWxnUWhIhmuoPFsBp/2cBqlJepR4eaQEYy1iapUBuEe7AyjTFwtBbpTj/5EDiJdg2dZ+kHz0M8S
VW1MazIpp2IWr2g12leoWWZUHJDqtnQVtHxCBK8Y5ctAAQsK+yRRxOpZGnMC7abO6/sAzQyHybFF
QwuD8VpS6Ib4HN4nKXGWProHhLExg5wy98hBMZUbaxbmIrshM4xUh1ZxZaDdoXVcZbOYB7vTC1H3
Old5UGa5D5dxunRRAKlEJKdLRfA0i4Nyyh4wpm/ttvMK1ENtmITXoicSG3+a0Bd70XO67tcpuqOs
4CHMOmQdsDtCmZxq/yF60yrtN91SmyXM9E3NdGZhc5wlTjGLnVDEDi7qpwG9YpjlUIEuSgrmZKCT
+rNgGufBsZ8lVHzkL90sqooqpanK3ZS5e1nNsqtDRVs2C7ERiixaxsWAQqujxcJVvpnmWwiZ9aVA
y83rYKWj7aqBuB/QenVVvVRgDbCByFcVarA2y8LRLBAT1qH9h3tRqeZaziJy6WRPBary6GYN/M5q
m6A3JxI/Z40CbVuUm6NIA9IAwySuiC6onmbcQrhfke5+Ic1+M82StpzFbQWVu8jkUcyyt8+xzEAH
VwtrY6OLG7NAHjeWscJerW2TweC3HLwms5xuz8L6iMKOAxhtWKX3ihr6jT3L8DwUhafN0rwVKNsa
rb5Gsy/R7kc0fB8tn7MaIXbUfdroNnzm22BM75syhHBsnJO5TJGxgBZbTF2zgZx9DqUtuI3mCQIW
sq1gpNBMzq5ixDClKlqyy1ejnsQ8gwgZRrBPvCFCRkOUKmkcqvDrdGp/VejWsX4bZjDDYbDRzjMO
823c4TP40CRgkWyehYQlVL5yog/d6fh1TpTa22SgKz7SOBZ46seNHUiXJjjTwVLTSU7QUbnQYMQu
MM4MC6xFLx291YYl4zVvGJMOQZ2uPKoUsd9SKzTnfUREiTcIjLxzu32cDmxTxfhdViAD+RUvklFC
/IuxFFnR4KxMjGEd0JelMlpwHUP8PTRb2WJBT3tGgVVw0atNcZKl2jzEqs353JwqsW6d3ryqeznt
U2dCR+hTw4EhncGqKno6aPBJX/R6tQcEeNacZG0M8crWpi9Z6V8H1FS2JZEZW4cmmzoULanlg89U
zrODflWpdC0CGaEU3meW3jQvHd5HNXEeGeYdu37kJUODJl1XFOkigdS3haKMS8cOn1lZvyh6tfX7
8KSYw6sf6weqYQkkhVgJIpyetdAfisk82FF29KNU9yzCWHGarIm17LuWV3Q1ts7SqnyUQZPep/y6
qWcSYzbtisC6MIdoq1YThqlil7k9JXJKQvA0CfAG6ldun9008MngVIxLZKpbmfbSQ7U7KFG/UxRx
dA3VYyuECFLuiH1uRBLuArs8BEVzbxk6FdsqARfetLqzTpziqx9jV0mCq8Fnp4D2sZr8cMWR1cMU
+ZqFlLyjZKE4MldpD62bfrV0BUCRK3e5El1XGqQgDT+oEY8LPbO24aDc1Ak8nYYucI9J42JkdjdV
/drvGHX6iCatC80rVrdZqz10juGlMXleUxD3skEH+jyPkUxLVvfkISX5AOmDOQtjSzcBo9gG6U4U
8RdcERvdmc4KuTQgM+rt2KtrPS7uc5WKUz3TZltJ9M2v8s4bSHmsmhATralc+oH+NChoYVFcULpm
b2I32iFzuusg8A9dMr0Wo3nZFHARWN8JX2k8LEHem9Rk2Tg4x0Jd+aPlnHI130ujXeWpYy3DRrlK
DXGRNsPkiUBf17WosISG6qKqlWwbjtaj2ccjTlRQFEk6gAtwWuB1+f1gTleFsB4hMfnrIsI4yWma
QWW7Tuou9dAWBxyZ6tadl56SoFeXg9YMqjT2zCI5FmQskkBMJ8plD4UalOQw6Hcqq+x7p1IhVY6l
XBr8f2MyLtWuvAmigWjklO16W4Pc0rQXUzW/tU3jYVD5ocUKJJVqgHRcjgbx3egyQUum8ZNBTTjV
F4WP+ScadCqbUiKilX/l1umjgvi2nX/uFnhZBtW8zSlO1R+dsLmRhXGl9kN04eooj2qxCwrlVgvY
0eSmMssBm0DJlwrwmzIAPWob1SIws++twyDY0AFA6c4tzJR91MSHpKMgKO3xqGjNA96Va3cosRkU
9mWsBpeZHa9T2xgPcoi/lKn7aAz6tcM6fDD1WK7awKKdrTEep8zdwccTXqxEciMxdB5Eqa5zZoVL
UsXdNk5TbVG/0aOCN5IU8W+NY0QFyGrl/IGbSnRLrLQ/MFQ/nfgYpY1BLn8DybAoKacMQ+UsZX3E
PmiRogyaJqNTXBRULhzraUBNufn1RVCGflJt3tgSXIQBDtFlnfT0B9Um8YdKF3Ud0aa6E/KoYNea
66L7219fZg6Z/yUO/fcy9lxypDApgpDAf//JHOKjvXAKUNi4a9/7/E7ovwsI//3vh4+hKhqmPb6u
j99V7Y5WjhE+PcmeB23r+Ey1fpy+P7kXn/z74WZqfEN8USblJO///YEt/Uk3y+zkcO4wz6b7m9KQ
9xn2v38/H8wzhpWoIcRdxqXZRuD0VtcVzeh0eb6m8fLXH+WTSxH5JiMAxwIR0f1wK/DqKxMQteRE
JWALiEdZ0A0aGB6vYdrlfn2t956gt4/17rbMmuFPtx10MNFcK01Phe65NTs6j5/WzJrp1r++0Gcf
6uf7/+FDSTt289b540IUGENWHMI175H5VVz85ll7L3T+8aFcFc/U3EWgax9Lw3RTajkvXnmqyVCm
z92wMv2vv/44nz1uP13i4+M24WTPA1ORJ+k8x/6jIf4/Hmdy9AZpf5L/5pt289N9AV9sNobQ5Clm
BdRtZk//vKIIro+Gzxf1h2zPPBb++c5LIdnfW2p+muzn3r5sJbpj85u167ObzkNsA61FFldnV/DP
13DDrJAE5bNTxcZv9BzqRsyrjlLWYjnpv3mSP7kWOjkyKiQXW0V/en+tEKOR7pJ9OYXzmXoV5V44
ruwS2XajXb/d/H/d4zN65Mei+zf+DpLnJ+jO+c/8mH/Y/+H3ZkPe0Yw3vfMvuRNbuYWFUTFMFS/4
7GX8MQCBsj+Dj1mHGNHq1ID85YCEiYzMCe7Fwk3JH/tH5SDMPHkG/nrJzfBO02Ewo4LRsGzMmB+e
kXqCsdearXWJTsOhCxs8gd7cCUuDtFLQgYCY/Bb5RUAkTpdO49v5cVQyxsYghuEAN6aSHp02UjgZ
a0B4IXaBuGWr4YvWgO2OtKeRGcZXCBm+b+IWjkWbCZ52JTBEtkhAEhe72qjw1rmdaQ1XFI5oJMtF
Hqxts0J7GOQ9rkJ66A1920ibpE/dNcwXlG5RRRWplkDUa79VbmPJIEda6SpH5CL5eS3HqMKpyCk6
94sDtekHWfoXbOi+0HU3l07DjCyKbNMWuzQLMBUEGBoBWkawh+BCpgPb5sgheNX6bGG7YbrPbPes
MhRZzFYe0dZ0Ew/zMkEOftlnzp50+zcNwscywqbUDKZO53V6yCLOS1k+nutcjuveYidowRX2CJo0
nB2mYZk0tPwoo5xWI2506JvaSjHbcRm3asn2vfsmjOGQQsf0WsgXXuar3wZ4514LXzhWSjJTJQZL
NSX6o0FArqovrUmVQFz2F2D5WmyrHeIMlcnQTNel3dLqlBCAAY6w8Cu/2BkhQfLByC9jLb/GOk5K
pjhEKCLhwOCbvC+JLmLQbfpiAB5YVFQfN7qy6NJkmYb4zLoi2Bs+nNLCsYBjspRpzQC2Oc2TtQN2
ei30hrT4pK6TtIovlHHawBy9b6WMPRjw0UYfeQXibzsPdkXw1aXCuGw4dYLfLJXqPshHnkRK9hi+
3TTBsLKGtFvEg0omK74OZHcRmfqSrHu7sLAArHzIDIvCEP62SvzQUwb3rNAsDHFRf81Ttd6qRV57
pswvTVU2mxAiqdSTO3zHX7KYFbIoT0TbC7D3eNON1EVqSuN1nGZfehtnCtb8VtEfFdT7pR0z7e/T
myExwcvO4DYfITMk4O6NtOrxoGvhoSgqwBDuRDah7++lDS4n1pr7we+/qEZ9a9QYSclCbGihOcW1
6YnYWRhm8zLYUApr2QPPsBNkqYTxloP+qjftDeffBElW5SA3BtAHjWBbNuV1a02PMEqeSpOj8IAj
ElRhVK5oWlE9Q2nvugghW00MunWsEBhmvmcY+4wFAsdFUNKimqs3rmmhYBq3Ra1shJ6fe87oiyHS
b+Z98tIJlQwWqrgMQuOIHi08PYnWQ5TeR4bNoUQdn7NgGiCBBNu2q6isCx1qeEQiOd4SWGsa+RjD
zub7IbOXDpNzcGEdUaqgcJ6aqovIAtLNIW/taymHFrpLFhY+5rQeT/iOX6sUkTWvysvCtu/y0g/3
VaanK0sdXpPIvWZigg9EhwyopgOe32n83ncZ/uQulYi0muER53GofmtUZp9U3vsp2UsfazRWLHuR
qAKlu8ARXMLPAhIUbpNgeLbCho4ta3YDWe6xNcujKozXBJjPMh/wzmBy4IGCdDMJ5XvV48LIo+04
5Y+AIEiDhuXO1mmsxgsMDLHs1s4guqXWWtfGoBm7gGAJbcgsJaoWHyHD7scp3CD7HYBkXYF6PWRp
vAub8sYPy+/NwMZU9lgNc/8E7vi2cOgbgXxULqAoWgeXdZG1MeeXm+orO2/7TZzk9zJHjLV7pslp
7S9Mv69WsAMaL+r6L27dtIsBFWthoLB5MkoeB73Rz3ofbjUFKzdJDaxNQCXWyRjea/1rP0N/AKfQ
lzoah9DKHoeRb1R125sUEu3K73KwCAwF9Fp8Ib70GlIHAn3MVhYcS3ZKnX8F7vQ0Vcr3TuVhKKR1
W6Dz4UwFHmmmTc0SIUnjZva5i4Hh6L66mLlgizTtYLck13zUZd+GJ3ow0OeN0vGCTmiLKbUvbOaZ
AKmUXZuT3WypUd4ZvXmjFf5DaLtwB9LoNetrLPhGj5m9n+S2Tro74J0TshckHhBjHZ6qf3dJb4Nh
BZvk/94lbdJX+UnEbv5Df26TGP06JrUMmEHwY77hBn9MhbX/cGbB6UGMzmSDwubqz6mw+x/i9vgu
URwIkrzNkv90ZLpUPczeTv7PrEVY/6zqwXp/uGGbxJadvTR/pwN+ff7r3m3bIW/Y2tA67knLqpEM
pzoVm0rPA3mlCxlq1I9Ddnhyda26ollHWnuoxdKb8DhasXtRSReTYpa8JGW+H0vgRBol5qPB2rIo
dGRoD11zJwe9XLWde4X7+/vMhvDsynnGf4KJXfOCGnSwWW4g824cqV8OhdiKKH0xq0Gn0j6/COL+
KmHAtrCaahkwK2a7x9QSvq5e9V7kUrfOjo1Rm3upTcoyYk9F5t9kdqWM21HlDCKF+gLqF62uM3cV
+OPCsIm39F8LORwdF9zJijiw9ehW8bLxqY4ozPy1YuFOcHsvYpfoczIzwSch1gPmUU/rVF5JOdpk
2nl9o8RMsES1KjJb7jiq8mklScQ6Z19Vd0eYe1DE4ppUdmJUKy3SAb1o+NmhDVSJHnhqFcAF7tVn
J6kOCb/XZWnYbPDy9jGDUt3G8Q0emBPkEyTUzDfXWc1mSCpy10c2ib+o5qcuMnOp9AYvkMzJN6Tp
9GXLNsjDi3tRxONVZpInC0jvhVr8bcwIlisONlgoXl8cAtMLPRifpUZRT6Wq3xsNG2PX7vpmvIix
jy58l0lNB8pp6/Ztf5FXsBdHQxBfsRrS2OlrJmT/wP08NObTlAE3iep5+nxOy3ivWP5NX8eNx/Qk
rpeq6pbhBSfedlqxHhPbh4mSh7y8m8Qtqeo17V1aO+y+zC7Ege9UdPUEpXukei/c20mOS4GR/47v
pVBWBjrnhiOhe8POr6UWZFThAZc5bUIds81NUZlGukxb3HgqKeiUeVOlXdhp2t47OZY8MSXKw7/L
4dtyOFe9/u/l8Jh/y79+YpLhD/25HL4ljlm6MJybCowz/tOP5VD9D2uRpnM2JHzLovdjOSRx7NLq
4KItYGj7OTb3lkXGzQJJz1UgP2LQ+yd9D7NG8e7MaBgzfxGxh4we2ecPi2GZl9CrQsCgJe1amDXf
cr2mfVIJjOIECN5Cv8kfCeC2IJe5rN+iwSO8qmpNs4Da3PTWHB/unXpLSFb3n6lOiJVV38tUHPjQ
tb9Xw3hUVwGLSXA2EolpdFEaIZQKLOsDk4XJnGCwpaCx5piqtFkgutFiO8P02nVwz46tTZkseLZw
a/ctIKQU9hL7VsimTPIr9vQyq+XCKvu0OgVG2hKg08feXmFjzknWMhxRpqYVr2ZEcuTfR/+PR5+H
5ReP/qvk2Y8+FU34g38+/uQzsDZjNUT/wCE6i2Q/Hn+8oZpGsoD3FAieObH5392AoQDSIX3hMneY
fxdz/8qfuwH0lFkAJ5hByvOfPPsUjrx7+B1TUUz0HGQZh54w21X5af4s4NlpEzjk1sVJFaQZm0j1
FGN6ZapKVZ9JFVCrKxi64nU1BhSZsuhW126ViSvN7oTOXDeXNo2ELu0arjry7qnV6t7HWz1+BRTc
LKwQjjv+HWOD/4nWMc2ZIOBhp64N19iwR5m7mnoHimgEb64Q7rpStQfGPcrXoEwzr9SGYp2HdsrO
GK8ZRHZsUjn/W90ujUWbaNVTUcQqWg2MmynszH0v7X0cV8ypSdmzj2F61IpNq7Uv2aBxxAdTu0hd
SaZdo7FAjEdmRO4io9ozdI3u0pE0LmQVxRAsPfqGdkCaEyXTuAqaCUpSwLnETVb4WiiX9iumtHq/
RByoz5BKdQyrTfoIy2a8UVWOj3W0oNbxMsJps+SNfBVj+1nomormRBjEIZvVRwVOmR5HGiY2eJkN
9ECzX9nOgEOBHOteUjy7MPVo2HEiU1a1WQLiRzQhgjkoOd8ZDiNuiyDlBcrADNxF3OS612DoKo3a
XCRdPlxNTmxvJIb/q6FTTnkRhls3wUbgC/QysEZTtAaZLvG+6zKlQ4vShW3l89acNFu6TJwNZ1k7
NpPUOCRey1ix8G/M+RXcvb2NebDlDqBgt8nqPNr7lnCOkdGzQWlcn0QFf1geVfD9V2obPgJgxc4g
reegysxFX1MtA3D2MYF6uPKb4rvisoFpRHCRztIDbMhTqiSz2pt9DyeTTpCgOdG5ATYGeJRnVE7i
uRLBR3TWrupKe4+zXvU6hrysudymLNsYdN9s3Mrx1MFs0SLGXnMXUVv0/AMarcW2UXW9Zhw73Gd7
vI+emoMnOJtmncyMg5Eg4AL5y9PAT5KOZhxdlS7lODxo9Ab21roqzfJgGXm+FHm+yaseDqMztRs9
TJ/Szl42yqB64G7qfT+QPaZ6jBSG4TuXCWNjkbnfNFGzuc6u8ra982mFrAtbaxeaKC5HEY07zSJC
EOTTVpiA7rPGTG+V2Ifr6Lw2FIBEqU1RkX0xhjQQ2pCOy2GkNHMC9umcnFFemFn2NHXiYKrRRRY6
AXAD0z9Kp6iXwOlgS4bBDeDFYFeG6a6KabMvuUkOGOGiZxMuYttfaInzHLQ9v0ArOg0dbO1ButSG
NF1Gnqf0VCvdwaNaORWNrvCM+pysTo49zubMSmYLwt26AJOodHW+DjQF12JPiDUmRWEc3H7w8J+8
abAkQ4b0Djv6STPaO/zYvP8SN7dOPmCTve9M34tSvTandmfj4NBBouIK1anqpQlFAHHuuufQ0jdW
1a3AQwGBNZ1znchrJ9e+uYhJiyzF8+iO14bApUh/2nGkj0gkhldwj+FH45pS6XvMOq+b8MdxevkK
meEWmjv5tSTeVW14xtF4yhxaSbGlQcbb2hnmTrp7vNRUrjI5XI7l6GnTuJM+/gLkqHASm6lNthis
PNijW9wBawFrj5Uo+mo5LSnVYivYyyahvYKdhYtOcVZSyTdqg0EArfmsNSl4oWA7IFtlubgAXgSo
J3ousbWPyYDEk33XDGyTyHPo957fwLdKX3O/vR4aAL2OsqU9iEm/fDBLe1lPmHkNrtFUVBxpJ8tw
burGWhtETM1gQMtxZ7aRtnRTXKk5ubqMfmMKpnkCfQEVQ1lTj/F9LKNLVrg1R0EP9N/ScgaX8qJw
p6uATabqQVGb/WQ6N7jqH5wQThYOqzajJLl4LRUFnBruFFunh9Yq1rU/LpPAWIXK6AV6eAW99ph3
+rXmZ99VnMFaRX8ThGGcQFvhdlunFmslhA2JexiM6V3Fv9SmFnVhYaHxBXEipV3zU7ysXWet6vVe
97HwDeUqwB4JZ61eIrnJBZ29X/s2f+CvMtYDJuexpquTXxIttpAoR9k/17L2pCMOaZPvJmEjU+Iv
7Bh8haQsFpTclIQWRtR1y95oTXeftfKpKZHhAX1hBQd1Yvhe3lRbSSBOGTLqfkx3o8bdQ18p93kV
X+dC3fjGsI78lu+OaYNstnZj8nTaG7woVzJPD8VEnk0gSkX21hn8E5mAnTRwNPkq6VxQpLKN1nA6
z4Wv7PiBLYreQXEjnagOjwWy/Fgprcde/Q77yFVd1SdZm9eck5SFo9Y3rWkuuwKprZogQJvpRWpS
jQgOC99XcKzmhWrKH8akOWiVuSmAa7ZND9WdKsB+3vSQ/S7k3ZyBULX8IDQjPAlf8V9A96Q3NSiT
GS69x4cAmwGqXoMdS8TfkL7u4iazdxrOYrzHzSNTpoWG/RzX5CqJ1G9WJhayKR+SKtwpmnpivcXn
VSUbldAVyFx+l6mdeJOiPoZmXaxdPbnNqgbvzJBsEl09x4kTw/PFxpH3+hrJdOuDCe41gSETgnpH
ShxLGqfyUZsFACQQeR4CC7/1sB8YgxSiWAk80A3zjIL3H7+AGoJ1Z6/aNqDUSEhPsENIGojNKS+J
wZXbTjjfug42W4QS3NnriG42mZNgzep4ADs0rYdMHsYmOFSNeZubnLgruoclm/uG8CbubbGXmsGz
TqadIqxKzXepaI6T6B/rqvjaOtUqiImk+elA4SNWgkzh9ffTlvYT38WHWfvbDhGaCBhI3aY8w/zg
u2j6qqJJTYoT7qkoRqJPrgUlSL++yAeXwn8vYs0jfSwRuvbBPADWWrGYL4vT4LxU/aZvH4f8e6DT
Y/a78r3PNrw6rXZ/Xmn+l/w0d899EhGTz5U05zI0xkVhQxuZdrn1JW6fotzyfv3BPv32+DXNmTFV
dT5+MM3BE+GneXDuxFPTHsrgq0y//voSn30idstslrnM3IDw/hNhPB0UdyzCc2d4cb9px3GVEqnI
gk000VLU/BEQhIT6eT/iJ5+IQT+HFp1HYq6zeH+5Tlq1NipNdI5kgCeTU+bcFPibz/ReoHw7lry7
yPzff7pLtS8aoARcBKPXoqkuSHktf/2t/e5jzP/9pyuAgwQyKblCVRytnuB3fuvb0W8uggT8k7Tw
94/x4dYUyZgUXVZH50Gg/pmeG51RyFjgHk2SDPVJa+vfXPGzj4Xng9G3aTHW0j+IGUnkZJGM1ehs
l1e0S4HA3tn/sDpq/rEi1lCzw8weN4bz4avzTV1YTlfFZ4iWq8wCzZ57fXr36/vz2VdHdsrlUng9
aIN5f3/yPrRt0sQx9+dREkHhpBjPhkb/Jm4PBiSt3r/69RXnZ+ovHeiPm/XzFT/cLBAn4D/UMT4r
g0D0vIeb8JvFQH1/d2Y6nqnac9GzixLA7/XD4lPnDKbDQc3O8UW1a3a8PI+5Z67Mq/Da9OQqWjue
WP/6U72/5N8/1YdLhp2SDaSq43Nn1RyTo4VGg4aWb399lc+/O4OvhDenaZkf7pY1qZbdZEp89kuX
YpKD4zS/+e7mb//j3TFwSqEFIgvCk3j/PBS1FqljDYDJ5ug7Ohq7zafICGizjH/zWT77xn6+0ocF
jhMxOrdtxWeVIZ9zZfo35fSb5e3zSzB3me2e2Eo/PGqRmuC3noLkLOXJRPwbYLcyPP3NS/WznxAP
24+rfLj12H6pcKQK9RwlX1MxF1mv5uQP/omkOYtkk5q/uUd/+1gQG+GfYf/kVYS37cNWQXOxWWR2
np6bblNWT721Kqfrf/igfbgEWtrPy7bsAr7QsEzPzDiZfgTLMTZ/87X97Vl+uwS+QqiWKs1SHz5F
PAzUm3LSOtfpVzHtSCf95gJ/e5S5AE5Wk98Jwhvup/efgaXT7lWCSWf2eVlrejTW4oFfSPf17bv6
18U2e4v/tyq7Sv/fMq+ev31iZZv/4J+qLEOJWfVXGME6vCfn0qgfqqz6H2p20F7ZiKo4dblBf81o
ZyD6jxHte1UWlA+jBOjnRH4NCAD/ZCqBkPvzgjdb2fh7eP8pvABBsKsfnpIy8AdTqF19os3gS08S
ft3p5VIQREZyqKszLUjBVmZW/mAaUEVor+TUYAsyd9k0kH7p5H4KCOdR+lZ5RH/vGTHayyp2Rq9g
nYUWzuErm/tKzNmD1RhtDjbF7SDD1P1FHE839LxYDBiccG8V9p1by10QhnJtTRXjNDPf8/IJtpVu
7xBv7/3e4jQcFzeAKjANicjdqgq7XaO7HXTlILL2MkegYbeI70GpYpLrJia5oierQYYLGObkQZKB
tZY++o22bywIpGHf3ijEoNZBSUcP0pOysAbzxaoSsW2ageTiYI5rNx9erdx6pdwvXtZ06izrEl73
oD9gE5Z7cot0HdvOM41RV2Heg0WMi6+uzE4JWTNH72xOWnjXvwzxGED8UzcJ1OaNWVjPDILXQZ5e
ZWStOK1nrxZduQMRIDVPi40hwm+8ja57Kwm2isvZO+tMjqv9BLQ9EsDJxXBCPaCjONC+RL5zpPQV
/5WmgtBRHfAGBWJaLFmJu35HneoTLSmcWHW8InTKnqbJ6A+OMjKpjXvnPNR9cFGQa4Fe6xic6ENR
fJ9mFCkJbkDYcUut0MCw2JjZIFnEmbiMcBcX5YiMkmh3asSxoKD7aKvNHclBoj9OCkoKNBG3vW2t
NLjEy1TsJyWr6LwQyZaJ+KoHfabmkFd16cQL0II1Y/HoS9SbBVgVxFRdNPFSDxBDCqug7jhHqMeH
dQ7QJxcWxBmYULf0Y8VMw6tvbTtsKZPYG63kKx6zpR8P91QLf7P17MIXHDCJiLG7q4Cc2KJ9hqs+
Uu2qP5K3eyLmC4w9sDeja1AFTYxcU4Kb0s7r5QDLQmikc8uZfiOTJTxzQIrJheXb9KqB6qXP7Sab
5HdlzvV1Lc4+yxwx6iRU/3Qi/qpa4sHUzPUYDtdp2FyMnbg1RfjUpOlrWCXAyKFYl0N1Cbr8bpDx
Yewz7pavfQky4m1h5d/S53VoYr6hQguMtV7YvZcQV+AM/+jb/R3+V4K+AYGhQSCc0t/0whzkuq/i
y6CoYFq5wcKxuxnMd42DEFKSH11VtIDTN+lBXt4HmBVbqz8UwkRRab44IIkCaV528NLDaNrq+EcL
heAWjPwHhG5nQ3AfV2rkUmfgOAwzS9EuaCQaFj6dVDP+86Gqs73udsdE13YgFr+0MqQqnZy/V+r9
jjn63DSXE1EQ6XUd6S+FnrlbG9/jYrIchK5YX6WkWVHu83pFN1m2piVkOxkEv2K4ADQHFd5Qq2tH
o7x8XnFZpSAVJkZ3zgFyLDSY/+sWRTBQIGOouD8VvgLWpCt9tI5x6341LZp1C9u60yzjqJP79vR2
VBcdZ95lPi9xVTgtof/caK4kdYR3TCsAjdW4U1zVTLdZR8FBiiEswA9Pem+4b6fgRlWMFzvDQxdo
zvH/2DuP5caxNAu/yrwAKuDNcgiAnpREeW0QylQK3uPCPf18UE5WmnJR++pF90x3qCiR4L2/Oec7
aR8FmzBE6ZG02UWxCBarQ6bXk2p9UjH9+UqRsTYwK3/SiH7KY6YynKTrNBbvTTfTlNSEGMSNclfE
PWguxYo/V5F0Ngmv8cuWMyKOH4eov2qwjKFIe4fTie+4AM8aVbK7eJcU5r9B/Oxgh8I7GkpWCC0T
TnFn9qVPmXcw7ObOmYJo1eRIion9eynn2PErvdcgGs1PQU+mmdW3n8xOqt1ZNPSa2TkKFVKVg5ex
Fe+KEKyfimafzarPkBUDa2fciHQ+CYdcL1Nu4BSAGLaxxckSO7RGFKDaB1j6ZNrcaaO8jQN5T3zU
Q9KzzktB5PDbzE9OOp7aenrIDTyyQ3LN88CbMIr7PCVjyoD33oUxOiG5wFWG3Bh24W2hTWfFbPfy
mBx0ebwv2MgEunFthq1XOXqBd5xvtR4BFMjMEUck6fSOSaEcJx27blntVpyxHgu0bVEX2ybpZryb
LceOiYnO1FiGKYG+MpUg20Bz2c0z+jkpJTIqMUGfxYiV2NapO3QuMQPuBN2pVhV+KiPYHXp2iuEY
rzGyJl+rv/+qsiV99q+rsmPZ/s//FuGX7Ev7R7HI8qO/12WAlJCEAFJDFfLVLPCtLlPs32icmaVR
4y8Vm/q9LtNZsXN2QE9BaSXTJH7flqu/EUaDtwC5HTwW3An/pi77tSqjGmT8YaGcRalqE03zc+2e
2FZrD4WTnIl+mA0Yv9FGrx9/eGP+ZOL6VXLyvdnFO8eraNw1GhxGBm0Gb8+PXU6NX5m4eSM5d2US
Z2ikZexUDto0AMpq6ica0+qSPLKjFRIwI7gI3WzGNJupyUWuopss5mQ2ovg4yLLwZMh+HP8iW4Gg
kF05jHaDmu9EH4ErdbaVUI7yPNy0BI3Xc0n+iXYVN+FeTgCd5f2SryLXztpaZOIBOnySrZw3ZSQY
j1BA/scuZYWViffYGBvE3SZKugZJFt9mfn7EEAEmQQnM/UCM6iYYRpahUovq0MEwzK0NmJ+cOFIX
Vf2BpDGLTDlDeyG/s13BQNU2sZxGph+JusIJMcHnKEtl8iY7RecXOlWQwDMtWG71mn02p3YaN5aA
BziadhStOq3S7IdZrYGR1CrphtJsGhulHMa5pgymA6xdYeTdFMCbNKQru1alE//8Co0P55uE1bqU
io1doi+HEddgL1czr7HseKtleroXY23a17xeq70YU2i1B3CKfUlSgXYpUeaM15FCa1eHk4OM2bT2
fSjCZ2hg+iP4V277bJpv9a4Q+s4uKUfBwxgA+2xCD0xXHlqHgCDif8xCZ/sg5AVAO7IvE0iv6zCc
dr1q9GdHCMvveM+JeZnb1zYKD+MEAGMa0QY4dbyTVJDamFxhC1BpXuZe7BMZC5VTKs4lpA5fdQnR
QfbkAImsctkdUx1nu+JZdfwIoqA/8tH1nlnHgC5wwHgtJd1qzMZ4b1KA+laHAaLrMsUtnEA/t1Gv
9mRsths8yNtBL4g4GdX2JkSpgeQiP2ErP/VNW6xJLrvRS2NnRwKLi5lty5jKLdTkaxDAt51i9fdh
P9rvJVvSNkk9cxjN9zIWnpG3XhrUyp0siTWib0q/MiWtCDm33WKkYMfbmtVb23ZQ34E8JdNDDQm8
0fq9M+ZrDpCVpc8bfZRPk91jZei2TO0wYEdoTftPmFVOdS6ts0EB8Q8pQEyf0S2ygP9McKziDWYG
KJpIRC81+mfDjD9lM5QLMmzbfUdMK2mT81HN1Z0WqicTeDlJNM8VHx8BoplX2BZycpMVuL0V8vw8
Bq0f5nQGtVxDSWJhrRARuEOWm3ikUXqEZF3zN14Mrm9vjOfQi5ugdfVejk8RvlU3CtSbLiva01B3
h1AdeZgXM0A9wlgJiB+w8+ng8CWSgZKrTuONtn20K+2oj+WjNHduali3Qg1viro6gjAjYtY5Ql24
iZx4n6mVr4IuI5BiXKlTqiABYVwuCFV2w0Y+p1L6wp7/BcXbHkz1ARf+HpvPzTwoHgGCXpllJ0NP
3DqrpwNIFuIuELjZ0fS5Tq2tWEKjGsxL0cgVPw97u2RjXs9Fse/s8i2fAgu7RcHWMqRSM0Yt3dRO
tQmwjF/mSar/YViqfLBofzl5lyhpWlcbYhb/+fPJG00K/YaZxeeyJvWqzxwshv2UenneZ8cuR+xj
9QE9YZQTTDF/Uaq6vanrVL6zZ5vsr3G8iMUQNAZe6ljA7btNHZnvwF2QjVTNsq6jmDIn6FHzsvkP
YrcM8OQObKhXet2DkLO7bV+WnxprFm6ctA+qFdV+r3TUsKhgVlnhDrXbjjulSi2olAUbZAyQVNOZ
Wm7a3HqDxnMrrGRP7OlhbrM94oCjVZVHu1WdTTcQR9pO8VYd2Ue09ABmABArghOL2xVJgNxe9Eko
bhWZeznCW9BpoXwMOvQQSTPeQ7TWgbwjLlQneD+woN3ahGI3xumpr+ZzBMYuHYyNwSLXizOiiwo6
JxaVCxiFpGESm4ywOhJWSCZ7QaIo2KFM5AwnVRqiCr9CObXrMmmu0iS7oAHFqFb0mWcWEpa5CmBm
01xDAum9fHbYUjfJPYBsAFNjDJEUEQwYEsAwFRDbeU0G7FtayxulQuajK89JDqtDowVw9O3AOaS1
aFsd6yjX9CGhI70FijnTu9UrU6BdSrNcgXGxnGXdMbbMJ1XO1gBI+pUtpc9Tripu0k6pr0fhFfh3
Bc8zTY9eJfaW5FTxALl9OMRx3ZwywkJ2f18k/Dyl/CgRTHZ+zA8XDzQy2Z8f1AQhO54OMs/JyPO0
ZN+gFvr7V/hlfKwvmluIBDZrJHpL+1dpIEHnBcbNMDxnJgIg8yoW8TauLs2AFqXJ3NgkSjjx//41
8Sfze3//AvKH/PKqy9/9w15OVGlX6ZoknbAP3hqEFgLMKW65FZ9CndqDLU3idrbxCAyR/C0ANz0J
1XwrMD7JKp7gopmfSsk6xp0uu8R+EngwKJ/sCDAZ+4l74OiDF6bTwcr0Z1xSIylgmil4morSF7NV
+HYlwW6setu1imnaidHSPpVF0q114nQgIMWfM55Vn3ToyOMEnrwOp79LatGt0JekAim9F2Gv7vJQ
u46m7g3P0JZL6a5tmrW5BI6qRrLV5EjyE5kKBWxMsZlmIbt1buqAMRdaZjxe1KjwijhmHKeF4JWd
6cBD/163CMswe+4aXdpOg343zsmjLqd7owNb1yyq+jjQMjfpYqTAwtilc3JQB/JNp0D1tAzdhRak
nLLyY4+qjV4qP9nRuCmawe+DmSdY9tMuJJma+KIyQdZZQZn0miw4VYshybC2SomP0g7H28hMKOBg
6ooO5rSmdbI7Wx0otkWMIcpXc+HcyflNXWEIQSu9apU9KhZ2awY8rgK4SaUo98UUbcdgHL2+EecK
ZoKXVNg1gJwhOsFTylStNvRNWOlHC8zXPzxu//SM01H8+LThzbIAk/O0JcfiOjxLa1j9D8Nm3hHs
cITQFbmfVdA/e+VUvAyHv39xcrH+7FGHsq7gal+0FT+/uFKBYEoxPJwqz1gVR9Wt1uyCQP8/WmvZ
l++vJPf42Pvgi/tX/i07T0d5tY/XwVlDfvIPv83Pjc3X752GFhn1hbkgZH/ZekzyANFJSaJzJF9j
4lnF8mPTb//+L/75zPrja/yyvJmbXEhRlEVcrl/CZutM/7DB/dO/gZ2xBShEg6byy6eZjyZuRfLL
z6V0XTNgawxqzq8n1H/t+3K+/3X7fvjS/InnbfmZH/t2xVyAFr+b/L/17UBSobaQUEBpZSIb+aFv
h3i6rApxtXHFmHwJvvftOjBU2KUyBpCvdOR/07cvr/HDvcI6xTER4Ts46Ni3KnTwP3/ZLKUKob3P
3dlqLSbYTD6pi5dmDiG5syH54rUNwmFdV0bkK9Oc6NI+b20xOZ4Vq8kzeW0iuIqCUtQ7JBwcacAj
B9lnEius60pvmuG6GKpzK/p69iWWhht622LxXynPUuQMNyRnI5SRAxUXiDOUAcGaZRZ7qj5H646d
S+jVNNDk1xDnzUxV6chWfybCOWHNMTKwG2dPE2Ybt2u1GGNln+cgZG7DeUqlTUwUmOp3ZdhsHMo1
MGUFiah9Z3pNOSSgx6baH2piZ/vUVPxhrJckdbN5mPtI4DkH3TP7GvFRrFNVhyzLTGhmfaqsJe6O
1lNqd3I1mycxEWEKg640b2NzESQz2wU7hp2QEitKu9tUy9gcmHqVXY0QFtRNbfH/T2FbPs2DjvCg
YqqaoPmPSmtXZ4om//ftVD6MKDrP819/O8kv617/x23E/MfZ2vKT376j+FJZKyoGLHJMpj87UdTf
2DMiSqHpWb6JP3xHLXKgTU7vb1Ys7rFvThQTn6tsMAhjVAL76d/N1tiA//ol/TClGqYJTAY9269J
IQ6tiBmyp7jiCS9Bk8MpbNRM9bKxeIyBefvqQjNs1QaVdWphTzC6XW0o732Jhb/kG7GHFEcgYJRi
6ZTFNkQ9avB+eFpTgkksBElXQBUTK/k0BPgLwbCBMizIy8kWBqPFZJ7cj8m5jur83lhojfWwDJIB
OEJtuw/DjiozfgQ2eJejs7qylhSsclTYyizJWGj8431OWFagE9KRYviwcdQz5FK/EFPGoEKVhrui
drbEoR+SapzW8ligKh0vtTIQb4BYK5Pqc08KRKjXG0NuCUY2xmNuNbdRy7KymcpTa+ADCzttkwL0
IkC2/TzFrJXKMOx9i4RZV4tZZcT1re5M62jUQSLCcaP6jHd9Zr0oSmS5wzic+4VQZ8+LeJ3KToyw
8cpY8cZURF7WpJ5jzJcgRMHNFpq3RsT9IYtBNORGeCa+YO/YZLmCZ/PnTnpLkgw/RV1bjEjizTAP
MemEmFmlPtVXcLWISJkxGWT2tRYWGSFpbDssBmNdp12SyrqU7RtSyXf8mb7AV8c/CixwpLSvEclk
bosyD7JwhxpYU1faYvjRTLLash4gbabTw07t1i6dS0DbdRNk0bYek9GXa6UCpcpykF2/uoHQfqfP
QJPT3vFsybgHXeTs6z7ZgkeJvSmOr2wMRi75HWsGsAdSKa+HoPS6TN5Qpa/Lkc2yYsSPjt7qm2JU
0d3SYLA7qNdzbKHSnp7UMl/rRf+iDxPUSK2/9C3rImUevvDKoz9q2ZfeqpWrosQEUivTdTIy3gvS
6OQIKTj2WvMJejZ9PTaoXRwW5ksk5ZZfWwxK/AlhsC/PKHiMgOy8vjoDCMCgEZbtzdiWKgvTiWgX
3iAQ/ljB3uzKHii5NbCF1rqpxm2nBazdGWJoQfPs6BB29amA4VvxEiROVLgTmgHwgzB4i+0w2Eh5
NN9rVamwtZ4GGnDr1q7NQ6dMX7KoTj0lNS64dMKDOfc+M8KzCnFacUD8pSaCZQSCb8lcObuutN5G
i1EUqEggZLAIiCRrb7oaGEfQnIIUQwOr9GrP0NTNieYgCEb38bssEck2KX/jxE/gOVkVQzitEyV4
z6rgOsMV6el5J19xkRHcIXQVgH92qNVC9kWSVdu+Uj1UFB7gkf2QqK0XB+pzUiFux1vZHSNdkk/a
0BhfZDlI70pZr7ZZb08ScvIIm9rHofxf7bh08X99O51emxj+zOsf76bl577dTehxNBBRS04GNaS5
4BR+qB81XMM2WyEEgBa3xjc5jvUbtklFsaA+oUhedju/X03Wb3DvEaKxP6EoVZFF/ws5DprTP1xN
aKwd0jt0jR2UqvxSPyaNlKrWrEZXuTzrwSlScbyPihzZO4NMpfC6lAZjP4vafDEjfaC5kYinxMeE
VB/fU/vgRHp56zixMeOWEEO51gqre2w1oQTCFZkFUwVLoB5LD6Oqsb4IefQzVU3hIJvXts3ilEWu
6M27MJteh3B+ZdWug/+8mK1N6iDUcTXL4yt1shgfp6Y/9gEkgGZPAQlGucXsx2C7dVmyv6Z1w1hh
QEfJ0LelLQcIMDG+ZL1qr7MC+rC0cKkM4ez0EP11PwTbKgft0huXHBq0l2pMGYPxDGQHlGyvvNZF
fVtp6ktkJ1yzmBPXkJDYt6vzvLFjJ3fZiXBK68YlMa1jb7dPap6CSi+yY96UBxFBq0FIYXt6a3HU
NGGzyocKqM2cXvq6uq/1uTppDV//uQBa0NhERjU5OgvIB6ALMtBAncZiZCzC7MjZ6s9W9UQJS7qm
IleekJsvc9tMXMlj5tut2GZtssFmuFVSOKMWsNJJclxd5+axVXUtyi5Elcd7QM08gGGxjW1c8H/p
/Ygrxikfiih9A6Z0Y+uRZ1fZZyWN7swSZHLXJfoxIDYJS+ZNXC1wDMPims5hc4XCPIbsPN0y0y+R
ad5Bg8XUZ1hvZlkcZlZG1WQzspdtdgQFiIeqLxMu9vFQ4Mvt5KFf6WWxyWKJSfySOtApBAjWxUNi
tkxI6TnWyhj7ZsVy3TAHVxoCyP+yvdZrqz8LOyy5IFpcuY2+68iWf2C1M5LqLm5m0lcwmUbnAoMa
EGloM8kk7psp+RQQh7k1o0asDFhbIDweKSyfrCB01UZ5hTPGuHX5NeT+Ik32ug7mqyyN/TZW105w
zcNanvVeHDMnvYabT7SbA5sqhZzVjOhUwKV39BbTAZUD5ZiRHEu1JBAJ330k2Y8S4LRVZ1BNKMkY
uFITr2Hgno0qv9Ic8mYc87pvbXRvfcMA19LXkla/wKfwIkO9z7uM+NSSC7I3r6YliqEwBdmKjO/7
uvTw79xhi/1kSuOpMcUXDGZ3bWftKJKPSZ8qOzmyTLfLHDhIJZ8DYctvmYJlV51DC/NtJiDUmlf8
8Shahuipboxkpcj5lRoo14ys1rWTfpKkwKUwkSHApZjmtPy6E6V9LLToYOVd8RiZjCmyCcYtKP/s
IGWico0lMCFAYuhaef5KdHXqd1N2o8Ciz6Rycklwx0zICNux52NWdCehUA4L/Xkw89dOU7Da8aID
nCXg2Vng7CIyKVqKGF3Tt1oFATsOMpBPpr4qdCDgEyArXU2XCTmQaCPaOyAHDrHSFDftmAbtfuyV
ZTlT9Ktc1WbPcWq2ZYn9KHJKubDMUecgNGvXKJnTDQlILR40y0SZLTbVqKvX46Tvmcso54gvl8vn
blwVULZJ0KEHNztrfJzrIrxAIMkOiQ5/rONt8IdMyrYKJGqYdghyMBQGeNR6s4u2naQRdM6ENMNc
JytrKQn+35D031W9iCb++qreFdOfyGaXn/n9mjaQZ6Cb/ZMxD/KMJfxKRYCBVYwQmx/vad2EhAQw
ERqpA3Po+z3NBIh289sFjlr939zTyDp+uacpHOCC8Duo/Baaof2yF8FvDXu7t7pznppss5cRy1jm
uj3fTGo/99UqdqJgNlna9HJEmdqnAy1ix1SG3gKbJxVxrFFB2nE9XSG7hH1K5MmwYAyV0awF/U8W
aRsipfKMq0rP4vYmkgLSLzwpcMriZeYw0a8tIZym8Cy5wts8GgZeeFeR6qR9ZcHawKHs0CW2bNq/
grmUPmo2SVs5p6iW4cSPjUnrOej3dYk1yUY7VYP+4iuaJrmn1EN/wKUwYWOMi7OVpeKimOnwSS4M
o0LdGoWfer0ZIczJ+UKfK32CgIJzInEqoXSMtqCr8hT+gDbdKAQ17FpRDqe0sAaCbfrOA6H4XgIz
Ybyvqs2rHUP1yTpdFWyaDVSCRtLdsVTIcVwXxmd7zpxNH2XDMYQyGSBK22SSrl3sWQbdroU014Iw
T4Dj7NSMrpOQusrTuUEEvE4F54ZeKVUFBhP164rC7BMfU7etAxnplVI5CgdOpL5oc0U83wxUbpWq
Qv2UAjcgW4C0lAn1xZNmtHiZVVW9Lion9GY7F1dCpJ95S4sdHFDlVsGFyWJElu2TPsQO7uUyOk85
Vk0UEPHZiNt24zjExySzY5/nOja2ec2yyZkI8YvgJH3WoTQeUcO1DyInN7SlzUFnHask7yrZDOui
TdeTw52roAq5UVIiymOwhddazDKlE3J5wLmFIblN98FEZshkS1yYxjS+D3qUbe0qD/djGZMkbiSW
dIop6vZ53GYlO9Eso7SgfqgnSsEqFMqGYMd5NRpsVqA0OME+ayTzAR3fIzJr9ahKTFH49QNs7bl+
ojtcEoQb+QoQ34ihd0h2YVygTWQje9LbarpEDeE4fTvAxYzF6ANLDdbtx1zyvybo64iOo+avT9Zb
2Lr5n7RACwz329kKKAasEeI39i9Lq/NjC6T9ZnB02qaKJO5r8uC3HshmBkcgIQ5QBQgzg7PvZ6tN
8qCmLmK6Zdon/7uzVV8sET/M0Jn0QaezHBRpkGc0Ns9Lj/TDbpaImAwySwKWQSOham3YM9Mmtqef
G9STvY4OTF6iKqWA0MpEcR6CDsdesARaGob1qcuzW2uJumRL4EFzYZdPCqaQ5F1LKma6xGM2S1Bm
XPdogUjPxLb9Mix5mq2KyTuv613dh642x1cahwiRGKcWhZnSYIAWSzpnD59yhT5vWxDcOQ+SZxHk
2Q0m3x9pvk6XjM8sHi6q1j07S/qnkRY3TM8V8JjSnbQkhAZLVmhNaGgYmIcsecpIEx1CmSBvI7m0
DVg4wozJ4zQOGK2ZI86sbpdQUrnSF/21vpLJK53JLe0LcbDb4K1yUACo5os6EXCqL1GnYRGchiX8
lGHgM4MHv2Vt8cpgD1IkSam0KQ+w7N5C0AOrodJqF3b7PSq6NwGQnM6BZXJqn6YldJXiiICs9BTP
1Wu7xLL2AZX3sES1RiqhrQVtSDBGyJfs/H4i17UVw0u+BL2mJL6Odr3pPiJg83xh4qLQRqtfB8ZV
qsK7WWRoYiBAdpodGgxnzR14GiCzyUvUbEvmbLGEz/ak0Nqk0Q4tsbT0G09xBEKjXyJrqX8f6iXE
Nk27J4NU28EkPLFbcm7JuwWYFB7B9J5pjCOvIAdkaAWYXFJy24CiuCU3VyU/FznjEv/UOfvBpCpk
q/BWhNZtGEwbVHCjn5fARUtVgVQkfSGY8jCbWFSS7pH/bluUDE313rb9UsV3GyUdntUkO6IBuzOP
pUJN7pAKYzLu9iItiDxLtO+5Um8TqyGBqo7cTjQhcRQpFoLar0qRr+S079HHt7cwBjdETj7rk7Ih
+ilcVbZxaFn3u11Z6nRwOfDnaFrXXAt6N2fuHBBpH9GfM2Kw3XRuTpUDrSLJg85XJ22jhuUh5YrO
HKRmqdPc6OmwTyLUzlHDfenw3uvBoWPovZI+EEsiLJvHqOhgg34gmGgjrYsKNQQyk71QmuTKqS/t
B7qJzpCka3md4nWh7w/eocB+CQw8rlFJuMnCDbCK8aE1m09dKupVVZY3VkhsTZTeKAymbZpFVzMd
rxotJhhWj7pHBn9mdGcFKSR/XMWYksGdNiZk0xEDzHwCwX9mMfDo29xFFuB15bjWzOl1NFWvHscX
OyBhyZnu+aDRhCXSboqlY1FHmyiVdvTZKExJe04I9gJ9jHoHdR+m8xEjw6TPe63qHpW6odljcaXm
47pHYrTS4uRoxXXqdinqx9HaDMRT51XOB/LQLcGFo1iTaeT2ZJbFUgDnCn3ihJ4wip2nPMGA0jbR
sV8KD4oAB0SDKWA1g0Cs5bPWOZ/bQedLQHDnaFXYGBxPq6aTLpLd0Cx7eVVuUFwMfLYYcySxFW3z
mTyyKya9Xpvod3IcYriZGviJNEm6Ufh6iq5LxpJTj4qzVlL51hDBl5qmHoZ4vuuc0HZbq99ifBld
qTa2On0k5VF/iBA7JTFLC+JA3UgXp8EqDiNBQas8zVw9tJ8J7qHURGe4QB8neeNY4jo2+0dZrXYL
agS4juUjteL8GwsJ3Xx50QS46nhuSHNDQxom24wDsIr7c2DOd3VZrmq1uwlUsYf7uzJrAwyQM3nz
rK7ZCfqapOzKEn0WcPCZU1hbO0Z3kIt5DXeyp5pitFvJn7IAMCbkpRctZvA0IIWm8Q6vlYJ2Lwxv
lNk+Qr3r3ZlcLBxnAzTJ1LVwhbtpFRLNir8McaUhNk40XmuZBIh7uobD8K6p87rI0e+and82NiVY
XCOZk0BGddV1Z9n3YywiNzcM4Y65AdwqUbOnFCqMF1b9e9KKQzTKD5kodoC0jpFDFJpo4osAg6PG
zbsRTr4QSnVGsbiuk/k+VUCBGX36wAnst4Vx00gB/i7ZeZbM5nGsx8OQR5S3IreYn9sMbaKDioUs
Go0rgCMHnYrYDfRph3Wa4lYJSPuBDdSmD30mDYzYpYIOd4ayYpPqk8nxTjWWvPMhn+lsojfsH8Kb
+nL0WgYyzjxfKfCjfcoFKlt8fmNDHR1o9bvV9YCyuvTUxQzZxDQWHhufxzJRr8tcvQAlHIg00lnO
tp8NW2WB5uxpv69ac9zNKudXYxEaXBjF/ThJD9VY3mWxyoiz0Lwqi9kXTMMV++XZ1Wf7doaZBn6T
dUzTIR412PZs9SUjzgz6fITtTjrRPyhYPlga36Vj7CEtdAJgYIkhwLULAeHn8qStERpMjuZcKbf5
6slY99fYYFa567zeXdoTsUV+6Xbb+GhswE5tET3ujXCbnKLNfwXuR4Er/+2U/3/JYiu+/HHGv/zU
twKXGT+GBgRGfDpQXmQKyB9m/Ez/Df4F+ANmMrXv9wKXubumycb31fS3/bP922L6sCysus6iMPlX
JFBShH4qcHmCGEDh69BIkOD3RJb18xMUYsxOEs3OriSlfg7jbljNIvukTMYuUyiSEh7uthG+ZVAG
wPOZKWGcqT4PNj6IYMjrXR7XHwkOfFcIJUBRu5ZJKRiWuAIbcLnbh2i4usAzpZJJhNI9xDZM34yk
g2iJPOilZpul7WtujiEmMv0toGxxKylnem+Mh5HkhHSJUFjMDx7jD9+ceuYSS9CCLCSMCctAV7Wp
o1gYCkYZMhPMJaShIK1BnWA7AUo8CEh2HOzdk7ZEO7TAjUrZ3IMqgMg/QjYKe4IgkC+ujIg9WUFG
xOwoj8gDMXss8RFRJA1EuNLsJ0u4xLzETORL4IQVcCZ362kJoqhr4Icq2RRzFJ46rqWKzArUJktW
bMx4X1XxxKXY9sLcT0m6CBT1Lpiybt0jB16ZjtZTKhKMUaUSxjuyMnJtit3Arh5tgxgNJgiUXKCC
6zi8BY9Wvcj18DAtjtkO62y1eGiZ1kJoAkQwhv0OY8EmrwZuXGGwZ0EGTcWI5h6G8CnCnqvVrcYW
f7iS4J74aSpmTzVmEvMWXy94VWkjleKiYfk1MtzBw2ICFil6d/O1G18rdu06huF20sqNIGw3EyR0
NhzS5YOjRMUt0epV+iUO57dhjC6zJnes1Cv0+ACtbPsVsPI54PneyVhhtmOnlldqEzhkUTF/Zabg
6g7ZiYNlbjuG8is5kmPue2c6a8nMbjwu8wGcg/U4FAjU4zw6aWP5pZ57kNll6NAB4IaZ/9tmftXa
GEwn/7qRf/hSUPT/SSe//NjvB539m7nkUsGQYDv5QRD4dtAtZ6AF75VNomPTy/9w0OlsMxUOIJ1V
49Kw039/O+g0YsZ1IFwWO1Ll43/6F9vMP8hsHE5aZC82qlMqfJ1f4cc+fpSlsG+aQpwRj7k1q50Q
UCjkoK8PyF+SopQFr/DDwGAR3VmGyrSXFHKkpbL+y42M6bavzUSvzrIwnPs0qiUTaCeep63NCITh
wYfzqW2D+TahJlrB7dIf8diFz1WZ2PtmsU0pVg4m4KuXihWZ9uGvMj+8Vv2H76r/8GANQd33CAPo
vHq9j+kcpOxqSLKWNN2qKlW/HDIygG0pDBgxtEHxFKeT4y8zDJjtxWcj04eztSjXdCFXmYu9IpvW
ZQBXMsOxKmUt8dJWPJTaldwrRnrss+Sq6VKiJODJu5FzzTL6i9FWb0UdroMWy3tfbwsSuw3JLDeq
zF+BNJq6LFg7uW+M+S4g4cLT0pyQbXiN2VS/E7NymSvCHtXqXWj9baZwOg56kzzDP289J0zFSbKq
5ly3hrnPYocuI0eBM6vsXCRJe9eh0G71IJLPwPIqP+8DQjwzyfDVwT7RvJyBGA7erOJ5CuNZ3RBA
dD8p0lNGEDl674h2uetC1eJsxJ3HyiX3mQbFPhlg/CM6gnqRDd43OttWMI9FdGmRoPjCUhrfGeXx
iXH4xLuolqi9U9F4utSQ+oOSqDY7ex9JivIPNLIljOrXRwyUigx2A/QMs65lZvXDTIrgdYxwo92c
W59lGfj82/kWz9CqptQrtrAmcHT5+cbyG79AyI0r31e3gftPALtfSocPbTOyY/ijxjImI93v598D
6eYgQuSR50AN91glRzcNgT9Wg66ubCt1/LoPtHWjmjhhSDI7hVYDFJzPiOzu3J2s6ewE8sT6eX4h
V9ZZt+wj111XrcGdvlgG+bckvzNNm8fHOqvwcTXgRa020bxx4BoDL55zX4/4050NdBk3CUil1+0A
jZyznTU2e6q6IQtCWdUdjrbYYXaTF9uEwXypIRArZVZuACZUxEi0xCjBFidNnkPu50t8HkZH29Th
0h1r4X0IH1jR8pMY2VczaUZNyoNmObVO/EJy+8Pxev21gP8xhPPnQ+RDd0hOl2VyXiIeRgjy8zvr
zOrgVHnQnGVibzYcBBl/PHEM+Mh8g3E5vqmQ4/r3E/1PXvJjkvm9lfjja/7yaUpjbzV9GrbnOtSe
DfAoI7MWhnPWVs9hdrGcWIUmS2qrrl0jazuW48WEfVAwxpD+j73zaI7c6KLsX5mYPRTwZltAWbKK
RW82CDabDe8TSAC/fg4otT52y4VitlKENqJIlAEyX75377nWJRzOJzXpmhXyr29hZm7qpjkim71W
w/nNipqXQiZNgGqi/vUM9N/YcsHf/P4N/jG47vXr+59tyctv/b4lewtqfUkp1NmW7CWf7vuWjD7d
IhfV5NTIpr1IhX4/ezi/gGb1SEmh9w4j5vOWbP/i2AaydX7B4MCJ5fxfbMmmvSxU/7vllrMHunm2
S9Ywldip5UV8XsgUFbyZLrQIyHGB2ZooM9FZJeKAlq5T/kgdvKpH4QVzMh0c5kfbsogwlvU7KpB3
UxkIVvNgSRmy8ysnv2AN4dn30mPJoJMmgnK9uImApxPe7Rb5A7wa8j0Sz1ubSf2m9TWKWbc/CYrq
QRue7RzcLjFFFoAP8DXxi+3lgYK19QGjmbor8RZGhQx9J7TIfRJatel7fBeAPEHb6M8ImsqgSUxs
u6QfBJKiejOK8Nsgu3cjt2xGVqq9dqu09os2ua2y+HqMytdZlQ/Kkijj2QgxAaLO60yxDpatWEFv
owWpIeyuOqf64lrpW+y0JMGq9qqVvMW+7bJ1V2tnJUe9Aqy2queLtEqGbdpabPGJfrZS4H6lgbw0
yQU5dGL0c7xvW9usael28i3sUiadWp+sstjNNzOdxSBX0zs4y+ekn+MVdXvDWyKSSRbebVeEGEO1
647wKtLUzCJQvPkizr1DLEYC+mKVfKq4W5li2EdavQC86f7aixCn6i1S5JKOmDCgK/ddVtFgrCxy
CIWT+lEtjANOhnQDWeOrMkzTIRpi2PylGgVdkbpbQ7rKuo6MS7vR9qzz9Wbqw/B6UspqFTfC24As
V+m+FpCYlcT2S7Au15WtgCbnJJM4WCyblwlV/7aLDIBCdbykVwPArGtzQ1YKLodwmHZ2GW5EhKPB
cUoySqPiTZD56WuLlJMhb7HOS6xbYxG+ED22tyNgmklWTwF/dOIgmmzSpBzJnRjWSaiJ9QIPPeh6
c4MtmWa7PoxBOlrckL1jndSOU16rk/MX9TMtU9VY1V2PeVQhyz7NymXKUzkwaHVS6Cb36BT0Xt3R
fm/RSa1bTzuVksGTIbiVcRyPQTQk+aaOoCZoin1bxsbL4GRQWnD4rjrXyXeiGyFWR/JWmcJuH+JJ
BoJbrmQRkpcRlW6g9gO3sefQbUVx1pi5uSNw59lL9S94cbcOxN+1PnZHhQhIPmeUSKYsySFovgAo
WsLJHCjbZeex8E+zMA8aGzH9Um7eZD22E7Fz8j2f4seR9v0GvHqFjqdXV5MzbiaDuDJHFs+yhNFO
pIK2CpdQM+bFD3CJBb5dAs/GRGGMTwRaVdGRpo9Mug3xaJKcNAAGJcM3ztoaeOULmrXNqlmC1Sar
vJtJWmvt+rJfotf6qvyWiOZWN+J9qbsXg6tez2S1zWS26di6YyU+qkuYWzWlhBQgNdoXrXlDqsgQ
aEv4G33rC3eJg8OqvK8+AuIyXrgX7eiVX6gkyKHy2TCsW5Ymc12FxXSolOlVXyyIjSYsOt/0WpJp
sA/JLAiTi0ZUkakjxCMZhEO1GePaJL1Raatbg/CTB4zWEt+8XmdQa7qh3dFGtl6irLIOoqvz6Axl
KXL3olHMlzCy9fCYQlfeFsjNgt4LHzV889TgOrdGiCEg5H7ZmVU2QLui0Sm579ZWjSWdu/C5N/vd
nBEkAcRiF9szfY6FoSWRZ6+8Krx2abmOJT2XuZiXzPninNsRJlCNFa6oE5anjISDPkq/0V+6bm21
2qEV3Uy4iHb5RJ/eQQAPgQC3+/DQWED7eYq3bog9x6OeaNT57JnJRZ9Nll/X6iuTHOKeSok6pbjR
pJb7QoTdriFPk3stvJoyVfcnQXCBEoGZLiOpZfuywsbcGeWrUw3x2tBhRTt2cplk6RfdlawGI+GM
+qZsYDDNrgWG3OQ5zAf49kp2p46XJVSLItu5FtrEeYsXeKsM7lWEHn4zTOk324gPcyGwe6PQd/Jk
rWEnXGkuEoN8aIwVg1/gW5wa4pDVr6VdREJl7WLuhfOV6gnmJQxOE9nbxqBqfiE5bel2c5Oklocd
wbkM6+ZcdbQ9kMXAQnGVuybWT2ZMeqQVKRurbTufFIqHzK5oZzcnxQ5Ln74Wx8nhLQVOtyVT4ELS
tl7hGIZSPj9ajbsSdXI1WVXh68I+1CF0pT6tN4m3sNPdF9VwyfKkheLTsKNnXmhI9xLDhxsGPAgo
t+XcIgMlFlU33+3BazdyZrE1XHGRMqIgViQjP3QaN63dHkxB7EKfwM5OWmfvkV8LDkvDisawT0lu
CRl4bXoQ6A3/jQCuoVIeMoOvWiVZrEWSynIzbAotek89b2eBsasUfhrW7jcxpF/rTrso9P962f/3
Nz/V39aTt+K1RFjz2nd/7Gebn2pKCkckGQ7C5Q9f4w+CDYKt+BHCDNrW2iJr+72mXFQZFHoePAJq
x48ffW/zIFpHAQJ/wPCQ2C2V6L+oKY0P4OqPNSUYC14C7n2TXpPKS/+hpnQVI2vHvLrq0R/Mx1Sv
YQppprqYBZFjnJmTDgJevYWktjn3sftmRrFct3pxN2hQEwutuGz09hkV7yHvypuEXoUAtbIy0vDo
WtaRxynz0Y1tI2OIAiowQM3yEZHW+0c8XTXoHQg8u7q2onnDkpCSgpGTPxxnGB/7lZGjPiKTagWt
B++7MZTaFx1p50ihmW8kwmtkuI7RJgc9s0W0JcwUV4k6wAGj7WKkNhNWlaGrPdR7J3EK/Ibewc7d
2bwzQkFjNCxk2iMgI9r1sk2T7jmVYRn0g1Hom4E0XjTUPaGkUIsgKHlWJ9ecL5XA69wWW1DpDPPa
8jT4b2XIaNnB+PWcy/FLbxPfJfPy0akZI4pYbl0e/i2L/WsdVmHgyGa8Tt1cboy+QsilNr7eCUD+
cQISl8Nj7Blsg8O9roYPSjvvAXfeDE7hl4AgseQEgyIuR2ldeYNNT6C2/TbXb8iXfa2VCl4GY/ZK
9MfeYdLrkBpCTgssTE+7GXplb2s6L7c5uVH9TQdkVyhypyUC/USxi8LmMvLKU6GPp75qv6hTd+Oh
PdNT+z7zBkbp5CJwBrHjASFMXt/mNVS1Eh1xrW6l1d20gsCVUe5T2yQ92l4BAn713O4AobL33cLQ
16n3rYTvZ+b2ia16LSt3a9YzxMzuGCbdmR34ue1mlBZuUCvaunTi01wVhNRMKyxnJ1KKdt2oP86y
Og7EnphFeeL79OtUbrw4PqVhdeoM74LQ1U0vxAFlzhZswAtUhY2biCOd/y9RRdbD8vVHjndnthol
n7Z17fESnKpY9Z566vU4mJr01Nr6dYOxSczKvRUb+zwFOJITgwzOZt9py2CdZKuwecfzhdYlf0SW
c4/A7kbEyiasrUvgshu9L05qOuRwXbRLaY5fBl6E75UYJUrtMhzmA/5JvwUpGTmMchMmwmO8rzps
h+7UvreOfgO676adIKWE0WBdExS+TWwZn+zQPE6WXly1nEL2zPSbGPpWZQBO5UywssbmityES6lx
S/Weuc/pN/gNOPug7ryvUzSe1LEIzMJAERFdjw2G4BFROAmNTmA0zQusSm4/w6bqD7eokyYE9CEK
1vwovTHeIKK8y2TITN9gUGEK+I6oO7GXUAsaBdlLStyOfj0oJeBH7UjNcGNScPocDKDFjHzjQ+qd
01rZdpyNgJBXO2zCiq90OC4oGo8CiXiGlcBC6gHtql9zd/Bt6bD9vL47k4U8+aXZXSA7R4M5dReL
xcUMs0ujUbaaIaHPE5usQ12RTfFWmwVfxqwEuqTJmYaksiTCvrZyd1+BqcQLjTulzNCK00UThFL3
FAi4+HQErcgo6ssiyeHlMo4v9OpJcBagaUYGkFLMp14zjmOWfLUNlE2KSwuxLi243dTTZTrc2KX+
IMgmUpgou0qfb/KprLGKyiPLx7QaTFYAqNK179VlH+hNSFgp7pBN2k+XFeZPAp6TK3A194Pd234c
j3eRbXG/awl9XYBMbnYV5nw0+FKzlQH0BmFISZxA7KEgUeQlWej5RWyhkfhoo/zXT1r8W3/dT9r1
xZcq/yr+uPsvv/e9o6Qbv0B5VulJsmPD6mOL/72jZP5iamz7hqUaMEQ+5/pRF9gffKnfA/y+D3k+
Iv+oFJ3lr9IP+ncdpZ+HPCZARPrRC1zBwxu31Caf937RTxIwriXPvXqIUj+dMNn+qnT4ywEPYPcf
mlYoQnHO4vymWKUCYmjOQP/zRXA1GyimuvpsSC9V6XR8BKbFhl4Cv1E5GwZNZY/Z9VwlNnkrcew8
kXqrY5xSrcmPySbQD7pdw7OqSB4bL3GmrHkU1nPCU4Nl2J+m/ByyI+cV4rDO2ylNdStUInSmmNyW
xrkZk24XTkzdYwRgZSI0zv7NQakZ5LrZF85Xr0qIE66u9ymCTkDJmj8n8VXEYubq+d6J6dJqY/ut
7Z0tMhYJJ9B0tklj9jz3GqprS+6aATcySK17h3hQo/N5e0+Rre5VYEQo1usDY/N3ojtpz49s8lPx
HtYq+X5FTWSgOrqrpms3dd6D0XJk4JYtZFWJdKZ21C9jVx4MU0HVb5YUXdEh1PX7diR7T0/EY4bJ
jYVPvnW2eZjMtkRyVNPSG2XgNQ654klo+WHV3rYJpnHHrMQa9OCxiGB+i864zjmEk9vcPympsZkR
09LQc8jU08W31EFw4LKb0MSuzmVlXjiyNdc1OYKrPGvIJ1MRIdCIivwx7QmnqHWU7axEEK7mR62o
9gZfJ40s5caSCoozPb+jKVZzNsuelaY1mf7Xe08T6SkXkqVLyQ6o5Ws0sg2ecDfCLvBmpNXGY8VL
Cqn76GM5w1FVhTNRNmHjQo+LtEPrMkgSg7OdHeutTqAIy6m96B3zzV3s126afHMLB2UtJo+A1tcd
sPBvZiJ9tUneEeBLX+vSXazD9tNG1684oFOWftHSFOikKVAsZuU+TzI2SkTHibuQxo108M1OyDX+
YM+3yv6Msv4eeGPnKznBHUbcklkY30ajYG7mRL1fhnCQTQhvJBSs5yVx2HNTWiqL3TxeJHLDY6bO
ZK9N9rc09V4s/AGrWOrGxsBktVIoiY9YSlrkjknts67cR1NzW5pWfYgz4yrKHSiKFdBNDd3kkJLS
WMumX7tY+VeOMz9ndniHmI+4ZopvUyOScGjV+yzK77uEtMsRxShiC3EsHOWbUNxnxZ2A42ax7xha
1wRjCLUZfoDNpFQYU7avYUbmy+yxwfzJp+GhAWnurEjOK7Kyucu9PLvPVMPbWzMpLbYh75pGJ1e5
fieGdk8XENxoVX/VRNMIBqcRnU36gZkUF8jpgFaZIsjtkP6b/bBETG6neEovi0UWoyg3bZ96S3p2
3iRBiEU0GKR7oThjFbReXfldTjjhzP0bGfV2rAwcDFbhO0tr00Evw7O5MmJgLJXzFLvWO7lbDbQA
bHUmxsOCbXiI4Wm55usC+IRUdyis/jnqOZ6w5ty0pbZOa+2m0oy9BDQ4TQ6CneiBM8hz51o411Xi
ConxddzzhNZi7sQG36QfetPXflDyVeykQdaJbE1Knp81NES6loLItTDhDyfHoVvZID024MTHiSVX
lTcSUugqnGYUZIrtQ5GQMRrq3Xsn4o3ejI9K92713ImD7WwMM+WkEJYyR0caSoLZqSIUZa0Ok/Pg
wMvcNk2r+2k06r7l1qI+ZYbxVFSmcgv1FJxhGal+ni5FZFaZ9YSjaTa2gtQT380pml2jeMiabtMK
+SRl/tA1yjNEeOOaIf58ZsNrNm3evDa6to9b4+sYulfNzPgyx3dTFowXwGVoASdLwmzSnDC6uaAK
L9zpGBXxbRJFX1IdBY/M+vyinSeC8QrghmFJ4B+6+OdS51uU8V2SVGngGcqhH7qnXqvmW06zxSZU
OvDqvL7VkLD3+F7GGoD2iYxRwpmvFEFnyE7pPk+TJ9dRW1klT3n3SCQgqADhFDueZjdochGY9jDs
ICvKbai3RJ8W1bSVJXmEQ17TNhdZwsOODUjmnrbrsuFsZeKmM2MqbG2bojJYVUr4llTYtWdbuwOW
/9Rq421ktfbeM/unCszPyozm8B9m3j8NRJdNF7cHpg+IRrjhF6f8503Xxh0JUrjpz5Ur17Z2lbp3
Nq/aWnwK5uOnuudPJqE/VhHLBo94BZSWtvQlOOku4/dP4/WuqxAjUU6f3XAdoucHKaI8/P9d4qf5
rsybPJd9Ls+4S4hIdVYx/Iz6H4bIf/o+PDBTDrUVPrCfLtLFWTampZRno0XDfDkqJ2XY//37+OPX
wkf16RI/DfAWY2+kmaM8m+5tARKkEGuqkNJ5Tad/uNLStvlfW+e3L+XTlZZX8ulLyePBwsbBm2mI
t9VKDgz6oS9wZ6yHgi7sb0Kvvyzzlhf+8+UIdoJ8oGLeBA/04+UEXeS5FZo8582Tht3MAUIQX0zF
08fn999ZQ+UD/euzRvCe/59T1Yr3Px42ll/8dNiwOEiAhuYmYyjJg/jpsKFT4vOEfhfBfm81mjoh
4sCMyaxxyHslRvx3RZmp0bqkD+nRZDQWt9m/8t3++HhZKl4xiwhznGmqB27j45zw6Y4UIT7OfC5x
X1bjTs0SwOSZbwzT+tMn8yerEcvYH+9FrMcqQeUofnG2/ST3USI1s9w4k0Qz29leRKprrq25xydZ
JKtKjxh6SEcJNFFdeVN/2WT1vaO3vV93DHtlkYp11mrZxdAyVjAw5vvGROKoYnGiYJ72JLuaibQb
Y7A36tCPu/y25oK+XufnSoWpie+XHbLRGwhCixmNIeSqmN2LBlE7J6DWLzWaWyBVdwZl5QYf20Y3
LYZOlE9Bh0OudsxHxXWObBAemenGU2xi8BxG69bQjRulGE+KYp1EApFWXZKXbdfbt95wkmGBjsnT
7uHh5Cs1Ghi7x5CU+0FcW8q8kWb/6Lntux45L1ExAR2hvZTRIURYlpyJ07iwnYJAAweagxe2245I
E99o23uIW7tkCRLJ4/gCU/eXUsYZVhq4GfaA5DavxjpQkL+sMBGXG03MLxo0ZH820yvTxQE05RbK
NiNo7OwFJdh92zF7H4t+BUf9xmn6reXpu8iOIDkMXcELNWjMCbBOsW4xeUVrVwgIVI734olirTIj
6htMa11vYlFmck96k8P3l24zp//m0gRd0fM6KgN0U7UsmM8S2qmhn9LpQIIJMleStskm0/Jzk8fp
xjDgeWKBjSK8PkIzt97AZxtLZE6KjXihbryXcrCgUWY3WFamwJi7h8Qmjijq8KGhvbjtZL9H8jfQ
oVbf1JyhZSSnhzxJrO1ozFf6SE5SF6cDobntVy3Xv+oy1/1s1Hb49fYOkhQ/k3JbZNZ1gcdvdCr7
0jFAJ9t5+Tan9VPsdFhS7OrORtIYgOvIdrI3tg75MTrIJpwzHsTZYsSQDbRpDXy/eS2Jxm03s6sw
+LVs0PuaSoMKVrHeRt3OlE0ZqI7caKTMr3BJYfrNLeCzEyqCUIMfa3yVqrdPLHKl5goW2pTVw0NG
0nzGu9NUPC0JevF+1JIgSyGZ1+ZOG7KTUCOMy81raCc3Wqa8U6lADPG664q78W7Sh7sx6oQ/ejKo
JBQN5uUFyuXh0m1zwtEp3hjEEmEMenqf95F8tlOnW49RfYwSNfQ7KFUuWrLY7C5riO+D6HZSiqc5
5Kg9evDQUpVQ0IpQeR5Zo8zAXlsXuaLs5zw2VzEJVet5nIpNOtCsk4zYU0nXb+y1m1jYnBXEezZH
Ej0XecJ2TfTyurhz9rHZXtD420228zqm6stsoYxFqNrBF3vJzVt0K7up7w91tegeiKLkfK3Dgg5i
zxTMNIy1BK4xcJprtbgiLaUetoYDNFjVmMNGg/mycGsQ9skgVFo8ibLe9lp5NVXggSpMp8lkPmCJ
dY+1kprNXcWJK3LNNtyB9eIc9g/LKE2rn3Z0touFscTwCe3kz72hrkOVE072dJaIFFbmNjyMt9UR
w9NKeS0fcbXtKchX4UXN0SJIt8Y/1C9/LCi4PBos40PtZFvLy/u0W5BUAAbY7ufz4DAv2Xsq7d7x
Ran+SYD8Z9fRVWo+DTWRqX7Ikz9dhyx64u7HYT4Teh+PEHTzdy/aox/4B6Hzj7vfUo/xDxM2On4q
JbLzU4HUNCZjIA1wrm1dtDbmA072/1SI/zTL++0in97MTxfpY1XtdGwJ52HTPWCDWw879asLfWhV
HWkKR6ubds2wZ6Pv7k9ukK9OwzHZPHTrcH2dHuRqB0rxUgT8j0G14d/1wz/cU38sf3Xd1IHvAt3Q
POvnVMO8n2fce6p2tlbRKbwGYHzUHqODDofIx6C2Ojxr29E/NRu5syy/uEBMdY1dciNXv1Gd/ysk
l/LtrwtJIKD/ZwWm97X9mpR/QnFZfvt7NamZDJq5Y7Eg0KNmPP2/alJzfmFmDIRN5U7muERL97sR
y+InWBo8y+HZ/RHWaxCmiBaS8sFeBtj8wX8xuNb0H/vK1KugXw2LrjJiTcrWn+tJjywWDLgAqZQM
J6I1cJZyAWTtqUial6E1WNcFOmbIZhwYHT/KZixZoWy69H5Ks3TtzfTCTiWZMgEi24ggDOQWw/Uo
3Wp6xYSkLUEfYHB7OmP5wFyc1D3XpfSAes/ukzlaM+9V1WMr3QqSz+JbV6BQai2Be6BUOGSSnzen
dwUMynuTE5IOkFSdbmON/OWVnqbxpiavZq5EzsYR0/XMrd55KLWB/LUpFcNDXXjuuDKseqbtUc6o
eJQOo2qGKOZsZEP9bBRN+kxhit2XJireiCEPr7CbRC7xf2lC16lxyZoPZ8xhbmKHvlfpe1o7hV8Y
aX9UFac4OXY53BR45hGQZLrpwwUedoAmLYhzjfuil8U4Ywn1qnk1tD0pWwTbWNi7tdy5UUgonP1Z
FMkO/c38VujK4jM3p670J7WxWjhpnpXWIXb2Pqv27mCILa2PSQGyOCrDsyAOTQOwg+vdTLUe2A4p
3gt6Z/4VxDNJGmDeDncz/9tUt9HWUcV83bVD+mJ4ZXftgWpGVmlr3iqn7XIHEu7kGV0tge3xaZ5L
bCzqOupU5DvRB5k51hdKM03t9DnLO/0OYic1xsomoAefqprkO/UjKwjJOrlBjdam46FwElO+29KN
3jlyONt+gWTmSVwtInlMEJ2CXLBQWieAw9M9xfTN2qtGgRdnz+LXjeS/lcugR/X3K9fxVbz/2aLF
L35ftMCjqIyzbHtJYP3VOfX7EVj/xdI1FguH4ycTqU+LFgpuFaOTy5r021Dt+7zNQG3zURtgxvIg
Sf07ejGr6aeaCv026nAdNTgDFNytlB0/FjVdL3sSHPBAq9W5jcz1lDrBpw/lT06/vPVPV6ACYNTI
0kr6uuUQiL4IkT6XTbZ0MqN3+v6qM9ND4jwo6pVnXaOX0MKzHE44nf7+eh/tgb+94vKKPhVQOr6a
hKWpv0pr6mX3gy47fZBmqwU6K9vKPQwC3om9IGk7G/AGpPEmHENrLQrhrNMFYQspV98jEFwyoWoz
0DpYzIYbX1pV/lC6IC7rVv06KNk3b1SellzkiiHpyqlox6dRiwJgOWHiR3LXbY6+HORgBLPW3nYT
3WXIMsYmqpNqG+Jo95ORM7PT9gz6ZyLj8c/eKhKQZJ/cuMNwwRiXeVcyXCpNyLeUIiPCUgpqi27w
xLjfltdhmEsa8caOnLHzEBsr9sp9qS6a8DS6qLwP0sh9q2hLMs3LMBvn0Yl3gzN3MNu7Lbkj6F3w
OhGHtiJWVm6Uuu22KBmOVe/gTcJWvyQTsIzeVmQD7eyGKlsrmx0Rt4q4nhnAEa9UtGN1lUfmpaDi
PJXFzDbQCWIuPT38Mol+F+fkNEhxKaJoP2by2HrhSVGz0zTbj1oO8mJZohAYciLRkzfTUr8CD7TW
0jKPY20yZTSCIasvRSjXfT/tJyM5q2SiIRxi9Z4u5TRe9i6DFzGTBxZZ8qIb1Mem19emyRmoKOd7
K2c+iJQ3OyV9eS4zsQWrccrm7KBWRBONqHIQU0AZbUbSILshU1cmoWMQUu4bMXGGUtRooxd1v+97
KbY5847rhbp2idrM2oDFQe3x1VPklRm7N10P+FuLcw5bcbvR6uIQ5sm5L5VbOZT0pPlaqoXtCdgL
sOJXJwahotnptR7JtdfTjIhHQGK6HZjpdE2rlnW9HnwblIdshw1clQBKBno3FSV1Bb3APBch3h45
gn8QeTbcjFN8Yy8HZ9lTc7tP4BL8EaHOXa0qhp9ChiixLBehhzS/JJ0zzFcmfByS3t9VKA9lbweN
qaU+K9iedCBEooy5bYzUCJDPcTIcTWJhGqvYjqq1xj0BkTu8oP2+axGMd7MIrE45eZ4X6FLZs1Bc
T24kMHAwdOcsB2zSeDCRwOo8IX6zoBxKK592mbTyfZuXmzqJkNtNyiHr5ju20JiDrTgl6KlTvBNp
OnBbhykSe1d/9fr0FfgpNqecM3cqM1927YT8XBa+FQ7u7mOZ+W/TW3ahv970/Nf8dcC11P1J35df
/H3TU39RASJ4JIobMD8hHPyv76v+4nHQ+m3z+kliylgIgakNSWFRqNJG/Z/EFPICLVQADLaH1vNf
Veq4oH7YlNiMXMNT8eeRpG4iaf25IVtGLKsQs6srVc2jXQ0zPMYIsWqJvuqdYfJlr3eXEPArdNSM
Gb2xP5cpWn6jLL60GEUD6itk8LG19gzW+kjaBlOsmFjGGKlnqkg9iJnpIVKw50CRY3FuIu8xthCE
cQ4w/FGdL9zQuGwtc0HAW4GlxFtU7I8INit/btzj3E5i7SDu3/W5OERFSn1vwmp2E7xKpnO0dfM+
smo4OYl77bHJBmWbXAu1fWUkUvquFT0MhVUj2IojvxxRGiDZPtql8ziGGTQwhqteXj3aI9tLhgDQ
AaZjFUfhkkLWyvi+bFHnKVqBaUpeOLN5Axt5o0XKs56MfoRZWABfgitRX9ZO9cRuczJiuMCxNW5p
CxPjZJuvIndx+I4kcCqOWCc2ViRtzHNyDUZ7NYGMWYOIhsE2DDynKXpBOeoo/9nElkiyUfYnubiY
o1lqW6aYmxRp/ZgNLEcZXlFFn89GaL/por7L+mkjXQ1rSlSeR9MmDrvYJzqCPniVZ7t37uMmjJCJ
TE92Qi92yQEPHM0EQVuS2WCQDx6UurMFcnndjqWzYdE+jBoR2ktD2hX6vR23qCFzPfTtyrtKB0c/
5aGzI7PxtkHQv7d7AAeM++2J8S7u403iAH5GlrJOxIyu0xDDtu3dJwjKQDIaxA05mQPwOSBDFtUb
VKUqSAWUBJT0m9wF7rS0LMW0w1+SrnC0fmlb4x1B07usCLCPGvNEd3o/Dg2qIjymayLozQfDytRA
nVyG90tIX9mgEbD3uaUdrT7etG6UbbQ8adfTyJhdj+xp637wHEqrF2s5LPBn+dWbM9kymE1SX22b
7dyY3coRzcFUGh13br3zbHaiinzFFaGQ4K9NouOUqMSlNb5mnnmXqEgfOrrihGtBykB6qHmPlUGg
ddyI4ZYdpVknXjSu6Y1P3AhkO2hzr61FjtvMsPIbD1k29hcKrgRzj2cjR+006FBtGuQR0xDHyRGR
oHbYGE2lw92w1Q0Guhzt4txfTHp5jev4zYikeS3C4sZtTYI/baPFHsF7iRlC+srcrzuzAgWszlcE
xSNlKLDOIMA4h451GRe0SWs1RW2S8gFSDwqhHbrqOjFNRMutewYtFu5HuzqNS+k1CHnw9Oqr2eUU
ZlP6WphFvXayLguUUcmCeub+kBaqCrOxoiCela1BQvz8okfG16G9TNM9Vv11UuGPbkJug6EIX6d5
Jml8ao7hnGmr0kAKQT+7JJmCmjR+UKLsPet5ZPSSxJC6pvzwgLkoBWomxjKLYPauKcNv3lCBAx+5
77AAbhmHRGsTTQXjD46CBGqUl4o+WketLO6UBBPKOIC7cnH0rR1vDoNxHuiFheFHcuai/hmIQc1c
DI00t3MvuY1b7mbLjCgz8jRem+RZrMYQ61E2zddVWNtESWAZ6Yph9utJuTGANwQqV6IFjdlcGaB+
l1kWboZJpEHVCHMX830NZnzIJv5WbzTXhWlc5FV3q4bqXWglFdTU4RCiNlhzHB+TVVcRqnhVj1r7
lH0o4u0PdXyHTr7/VTH/oZ5PFiF9s0jqyQhEXf9fTfDBUNL/9iB8zl/f3ts/FgTLb30uCPB0EJLD
UZC991PrjngfWnrAcNgSwBAsfejvrTvCFTQ6c8yAOTh+BPX8XhBAbYYFYi5NbM128J38m9YdpMKf
CwJ6gJrGiZuoLTZI46dz8DDJwRSmI6/ECG/MFAQ2D8wBqwEnmBddQVdM33Dllow8jDtMjox0DCW8
dR35TYnVDYYZczUbpKZE+J6AolOVO1j0iLz90kbgAMfcIZKgL29ML4+2Kg68rRxwoxQExMa186U3
klt7mB/jQtiUw1gm9dr0IaUV5LzUQAM7jpAOum16TJs512+5ViAFaDNK+zjQ+4mIW7dPfVpVR5F5
91i5iYrPoq9pBzq4pbVtjlf/j70zW47bSLPwq8wLoCOxA5eDQu3FfRN1gyApCmti359+vpTbsttt
T4TvHb5xhF2kVFXI/JdzvpOwY6tcJFTcuHcGs/kd7vKRymW8nQ0EXtRgTuAaiPNkgTIsNmgJmo3Z
gAmkjkKvXusHPQHx4Pdg4/K097bDUptbM4/2Tl7AYzClj8jcemx9jhZiyAZwT0PdiQDQfIpgcjmu
emZt+jKBTyTWZ9v/RsgAeUnzVdfJkzv2XwgXTjFOgF1m5wrGbqEpcUY8hfa8fI6iOo66u3NNJDe+
SJ5jHYoVxrpN4RUo5Vqqo3Q9ZIZ7M6UuUA8YVFX7zOjtnYbxTEFFrtgaquVs0+lH0mbvgFiW5Bk4
9x7vUEQiUqBVWOKK4rq1/HsnFe/5vHIesd4PWEutwDenJ2lYr5nnXxs1205SmIAlDHqnyI1nIPOP
XEbsSVfxnCJ6ZIiHLdWMnuq5vWYkcY5bPBMdex1LS77Oo/ZYm8NlTuZ7xPg74WhfBi37KPzMDmw8
e5u2Bt2/FhVBUh1AvGV5EAM2vcbyr/iYLhMjm4abMbK+67WNAE+ZgYd1R13W4VfCp54gi808zAox
ctQMNHhbVl/N0mFa26lBxfxmDRPfL71pmFOUObdZheuk+IYL5MVvTTSmVMJ64ZwGZzlUTs/cgzGH
kZiPNvTVOMXPywD6VhdTj88Cf7QL/TpotSULtWTAL2kyrhCQVbOeN2kttQzqB/QeC4Jf79RbSBmH
BbWev+36sj4RaRdfG0P1PHevhPFSnZmvEsEDQerikMR5GmBLfuKqTO6WqfWPEZm3QeV2894aIxbt
w2RthkbPtsuQgAjS6u92NvU+jpOmpzRIomxh0JM369MIiiMPbNK6O7RzMC8eUMQim9Zi8zm1MgxB
+vDAQhL5KMLTGWFr6E9jyCg7C93S3y/11JHU43lhP7XFKa0tV+FrdDRU5ms12hB9Vx63IuErjc/b
oaFvN2yoTTggMow9f37waorhKklu5mT9ZiBUSpvYC+E/7gRN+5ATgr6SRL8tgWExzI13aGqvZ8sK
MIFuVuG9pDajBI9JVu8lO6fvjynhTC2otWKubot02GF1weardeeq7sD5jP3JSkoCcvP5KbcIxVtM
nXxqEtCz9nZuhic/9w+tSRMRR9M7Eu7nqkKJKUguM6JmkxU475tmXXdEdzwDb4GNtspkQ6wNco/R
J+vIxD2XFBcxkaNi6gYxyxlFUW+/1ppTU+Bq29bMvy9r81Rn7nPdpFdFa73jryKnTLo3DthcZ6gY
vDQMssxmAgPTx5pSALyLObv3jPLCh9cEfrZOQZ+7T3IkUGUt8C/Zk5dsG1JaCdW0ULT4dGM5Yuee
h2nh0aOTIendOEIAGoM06e9J/T4Ohn5iYHWOhv6S26iZsUb0ZNw6SONHWARmKrH/uR4iB6mvKAr7
T41Qxl3lN9muH/w0wOF8XUa+Rvb2sByMkjiLOHrTFgkseH3SFuzFhEF9wLvIHhYs2rRY04FiFAH6
gg/ejZsPynokPa2oN5UsnxB0w0mtP1LCaTcxHKbHuWwPWmkgDBrQ0dZ8GoVLLtZAwQ+QlmNjOsKc
ioBQD0ifuR3q/sM3Jou6q+C71slhsoNCxKTrtFA7EOoUMRRXx+92XdR3/ldDEiRy9U9F9KMisihg
/npK8lAVb3+2zFSv+lkR6f+ycUpTvEAZsxnl/25EYiiLDuQWyzH/jW/5tSLyAKr7utou/juu4rcR
CQZdk0BDAuAtA6gUaRV/Z5n5Qx/5m36SEYkLGYrVKHAZhjTsBv9zim55MmutwVgAs5JJ6PXgpkMi
gIzTMuXkiOuwEbx+FFdkxkUB4Qf4FOxxfXb9qX9IRFXsOfnSs0Ols3W1Ho5V2iRbDxpxUcBAH009
utg2uGhwjrweeoOF3IyCQlSIaTTPP80GjzhScmJbajP/wI9a7hHDRvS3PPZt3c1fZZLEJ+bRpNCT
CBCSn6YYGR6C3HZ59o1mkxTm2xJJl4tL93Y9cVfnMq/8bVtN8wYuTURhJm5YUMBVTHNAsw7xVwzB
DyT14YLxzb4NRLb20LCy7LNedNVRljLk+Iu/EwX4msxxtAWRvcE6cMqq1cd2UuZHY/UpCwj4uo31
+IvIl1M6mC2wxfLOrhqxTUWv7XsnXjknBvOUJPCM6V/PhG10R4bxfkjKtrXPi9LajoYRHRw8LEFq
x/mpgQdJXsV4t7aAd+sC3vKgcUFptr3NgHEERuxfZwwCqL94d7RBS+7TCaWbTHX9puvIq1pcPC5N
0p0GI/va1O5MudeXamWQbfUY6wbslB6sPB+YNultWGi52FXNdCAPCK1zi7fGHveyxwFCBnj9NlZx
djX31qeWVyJsBKo7CDdeOJXFhvXDA9XWHeWwGeTzvDfG4tn4cR1bPnc6SZk3Y6PfVob3LOLO3RRm
eqw1sZ8NCBtuQ0FT83sch7TuYrRiykS7JuRcnjtT/7RtFWnhTA8j4ZlBZ1C75wJotJTiBg74oZTV
fjTtSzYDnZvEPtHZBaxFrAMicW6XKNutcXoj17Qn0oey1qKYREV1ZS+YUXPtCYBSEa6zdXYiNrLr
EH2VRvtuUkiEPr5zNHH7yl6egMYjcqPuBcpPod6XxiKvm5wQR5RwJA3g8WkZuan4gaiaLz50FJ4K
meYX3VEkw2EpqlPtRyYzqXa+gP5Ij/8cxL+0pgyJ//ogvvpsPz6//Ulryqt+HsTMqsl4puhCJP7L
1Pnnglb/FxwCMoBgb6kuE/XQrwexCyoT6qWSzjv/Jv/+OqsGsWUJBCemSeuKXO1vHcSwFf7YmnpI
UwzgfKo3pUX+g+7M1IwJO1Ke3+jC6tsTD00tNukoLQ1sTu4qOzGpchS8WXOH6T8cDHkktPwwH48i
yvalYitNRpD13nOyzFAp0/GRO6Q9CxgLyZdI4Vacnqp/gS68kT9YLOg57Uz2h9qwi00KsaXKl5tZ
K0aaH+MtAtS5sdv8XEN5KR0Eni7cFwjue9wkK5x6+Lli+uZAiEFVxg8gBucQz7CtB69iI+jfoT0h
/rY1tjKTDvpWoDP11OfIhOUtKTwADsTSKy3qjQerBgU0A2VV/McKZDO33mF0avC9+XSIHOPVUtCb
qVoYJSsQTlU145aBQnaoTTiTfut6hKFFcG2a5MuQN31Y2nW+j5Wneq1J4jJVJtfwI55rUkldyY/Q
rqZWAV6GyvKaVaoXh7Qi55P01anML6HSv9yeHDBHJYJVKhusm0kJA45sbGKd5LCFCLFGZYklZVVB
ucHK5TRuv8dJ1u2SHxFkGKIpq4kli1Q+WamSypakZees0sv6H0Fmmco0ozQ1z17dsl2Q/kLTRf5h
k54sV3P0o593Wr4zJnXku7n+rjcmlym7b7fJIIUzQh8iitc+x29a6tAJwFoIW95Zmd8iKl0q5p5t
/gmW7YXYh0sl4HVJ8BgFOJ4NQeesabWrThE0ElAadl3cz0l5qkFsGFp+yaZU0fXlo6koHL3CcYDl
QNHNAngGMJT0bn5rZ0vKrI4ZcAb9LMnWK4qckliKaZvXaq9I53bMl+Q4SMbK+PpKBraGt5Vr/LHO
iIEjAcOfI1LuKpWzZ/slMbCt/cGYug2YE+UbLowuNIFJDnofupLgYwWKXvrSDtORpcHCpCKIIuu6
dyYZYuWFaBSjexJeDJGK/zPj5ya6v3WXGqWiUBg72883cBxGfH7pGIpZXLs2+ek5wwxC3PLuJER/
dlBrbnobXFJadBppMsZXZ9bx6y/VA+bVlNyEidTdsnPJh4UCBPSJ0QWBSZ3rfsoo/kZrX2x4ujaQ
DXDcadntYLMLXeBv62JwN0O3yG2F7ofw9cnfeXz1hW7hWxNtH4eR3cd0DsTOAqPKmHCcyq6vHv+5
P37cH0pF/P/cH4TAlv99fagX/bw+/t/4I1WoM/zjljB0ZXn79fpQCHhUiVhQmB5QY1P9/3p9oGTE
/c7QEymhZSFL/Tt1PIvTP14fiIhYxFoMX/lT8AP/s45nQcNQVmPJYcrkuTFBCBbLUgZl3TShvsqd
1zh7HS6TvWgYOvxn/IQxIxRMq9J3HjPPujKr/kjECCxYL+pC15U4X9Nkqp8KdCVk1Ii7WCvbYw9b
zA/LItPejYJshqD8EZfg/ohOsH+kKKg8hU4lK0iVsSBU2kI1OA+Tyl/wxgVhEOl0s4pmSMjsbghr
WAhtwAz5ZEIZDITKcxAtyD4CHpLUO3FAc1x2H+0K9l3JB+JM3NdEQzAQfDbGjtlqz+YhIj5irHGO
DFH5fVHJEkjudpFF1oShUidsY77piaFAOTAj21TJFERUNCqrohcR7m4iLGJBlgVwRH3Hqs4lLk0j
/GKaK22TIJTQB/fGBK6Onvq88sQKlVc+qgQN9hTndqxfEhWtYbn46wvzDizytrcxrKakobXEcSA4
4XIkn0NH2SLr6rshQNm26b0/1EAeTXmpY3nU5fKcE/WhVeN3gRgnFNriUmGSlrJyxAWalvfsePJD
02m4sRNnoxEyFEaGGDZ2nXg3xlIvm3UhZoZ9FY5f9kK9z+iwypg9SLFoWy/PV9bFNQWycD+SJT6V
pr7sEZAKbjd9g/IJCJh5GIYWtkcLuFCkC/F/bVPjTHAGuecgVCO1Qh5pnjZU61dcYyxmK27FpBx3
lojec8yneTFrgTXAUiznt9ip8oCfqaKi8M8rt3xCQmliam8CwdOmHXtwZbmJKd7/XFSWlMcbu/VE
NwCySZxLMZlMPUqVOM8Jb/SyOutGPEI/8rNwbVEejYhGO6ewILu5oQcAc19qac+qtXGuh9SDU2Yd
6b6eKRQPYjCepxFySZx0Iuw7Q782ayO71CVO79h39G1ic90TvIUfY2aeDQsh2i+6Lq7r2TTu4BOA
fMxHckXrwzLFJ5l31C2N8Ya8wQaws6Q3YKGnDVXKbvHkbuhhv+hLWjDAKt8Rq+2MMf1S4T5KyT7Z
xgmfZ0bi6o1lYcaf5f53h9qfaPT+ywoAZYsQNvTLWO6Ab/yh169Nlh4FaqSbQjIS/IaDZpK/NCB/
acf8k1+BzoJlDosCHS8wBfjvRXkLcuYuSx3rJu/eh/x2qR9L/5/12y/YN0VA++s7atd+dn82bFKv
+vWSIuQUmD39Ddwxl1uHRuZnj4Meh97C+A3f8vOScv8FzsVl3vTDaskU+7dLygb6jxDHRdOJ2VoZ
O//GsMlVyp7fSTYZNiFis6GQg5SyEQcp4e3vvx05qaQ+cyD3Opq7U9w3Y3nVT8TPbTI51jW1Mxzb
vTd13aaN6xrGZBHlelj5ZZ2c+yx5nc3uQSbNEiZdifCrH/bNFId4pnCRidIAflAwZPezdxAVKQYs
O92i+G6AQtrXuq+4pIX2WtHnlDJ/mQai0+56t04e8jw9+BM4SheyZ6F17KxS7TqPSg+B4AjhUGrx
61L3yS0QxtS5TYrFvbVLQkg31hRxKzmod6rQjqQoHx1XM3dR61Mlc5RGPXrsLkmfB0t2bBnz6SU3
/MTEb1kdIDRlzJFFezVl1mka7HsbDXsYgYoUa/E4WCmJ5Un9AayW2JFkeJc9GwZCi1hYmO9JmXGt
aNa1MxgofObngZHWxpy0izZqoSYZO8dKBWPVtR56C/P1roRwChrkBdGFh6cvR5dgP+QeuM6stsNF
S78ZvvsoB+tTWNzfneRNsb3+zjWZy8SoUA5M/TVmT3X+dVHpqfmUHgRTsLBRtkhZeI9NoRu7qsyp
PUz4JXNmHBIcAuU4tiFkccAs3Aq2TNygRLkfdCIH0JURWIhFgQWoodK75GY1EyoLyzjQkeoIbeC3
+stsHGmYMHQO4puo4OsORLdhGIhQmHR76pW3OKmYRboMjXwWMJ4GP2X1H9yogBGSdLs50r6xK9gV
Yj4S+XIdtywqxqgN63Z1DrIk+bAjXpYBIuaNlEZr0OTHlPhzOC7lF77SfWD4o3tw2Bzv+HrdIXHp
WchU173NHWGt0W3hY3mNK1ykiX4f1RqaisJNAjG39iazCbnn+wbJrvoyAJogP70/9XyCPRec3STp
frZp/RzRVFtknkdJsTQ39ove9dcMBB4J/co3qCqfZZzcE00IEVkMez12NJh3XJ1j0t4vbvQoJiC5
DdSPSU/rkHEmu9M0XQDiRrdDtB6WIiLodtY+2kZLQmHRJi82QrBV9wHMDpKdld3tMdUgiLaW9VTV
7k2mMn0rD2JNPZTmRo7IXRtruiDS+lYUKZNPkuHbLr1ysroNUuGel4okWOGTDrvEzUbnAQgRmb6x
+5iIou1v/Nb6MrJW30i+WUG2SFgBg/ldLiphsK5INashILqHlXcGjMzM+LfE9dHn45MxreVBs/h2
RjFz0q5IQRUb635w3S/2ZD9wN83HsQKSUbTG0aNFCLHQXJJRQ0ZkYegV0rJ2U5PdpLETOlp+L4vx
msZWoyJxdeAu+TaVPu1t2eycAun0xKqP/eu8BE3pPDIZHClRxffIsACxFh/cu8dmMgU4cuaZkWZ8
Wp32/CNwUUr5LImn2Br+8ABSVgefJ1+rxTrbJKYr4jK1rXVyrdm5MzOvdsO0AzeyJA0TSKokwyYi
h2CNYLCbKwLh++0K3pkh/HtrGq+N55sHXxGga1DQq2JCezTnodU6Dn9VlsRQyT8ixZAWLiP7sges
VIuCRSypnoNiTkvg07VjPSCK9zZT4iEeG6IpxJWThVldl5syFdcjArItDtzPcWXfX9rOVZbBuh4V
9TpX/Gt2xWCFhsanwpzMYLIm9mA8yboiZ4tosq9TRdMeu2bGng7i0DSa+0kxtxcP2aAOhjtXPG6o
tlC9YaSkDBPo1pMaLNB0XMB4S8XzlorszWaEqEWTb2vdZh+O4n9jmoGHCRI8tkzFBocSXoELz9EY
honrFDvPWyXhKum6L8GLtwBvSpg88RTtK8UfTxSJnD2xHyzdBP22l8QrKmK5Yy/RHQy9eucqnDlY
8wxi0K5XpPOO0Ndwcj3BGB0OejIM3/JGZDtS7c2TAQSUghwFWg4//pCU6NLXSfLZTAtQYEVa10o+
1xjJdWCDYTcJkgiQr6ybwh7PMaj2CGS7lq7MMTD27KIc2SJY9zhx4c24zgWbFeoqxX4fxuW2HpLH
0sAkDuIGtjhk0mCASr3JzP7DaSQCcNAN+1mR5Rc97jfEecyBXiS3fQobIVpFmCsifQ2a3uyjSwSq
nv3r7ajY9WbWiNCIJspSwPZYqz68Ur4XXQSG2gXmT+9ps0CwT5XpLdtIEfJjGEiBAJqvD/lblWu3
BTD9PNbY/uKI3WatDn3aqj+L1f0eS0EEtAmNv1Vc/iE1ynAqxGutmP0j8P7IH9Bv6mIMp6aNNhWI
/9KTgoiQLH5ukiJE8vXKMge5Ao+uS0BAK/tX29RQIPTX9Q/nei8/SAj3t7pKFyCa5hkoCmoDlTxg
EEGwilqEMHWukFdEQVXl56KlErG4U22VYKATZYCA4OAO0cVTGQe0RKciKv2wyTVCeMsXSRzCXBpq
iElCQkvDwAd6QoBypk/6pgFDnmYsdg5teNloB4D+n4Aadp3iJ3fkdXY1/3UCrUyM8WWNz5KY3Rbq
ct3lSvf+nsCrZcsvggxG85AyQbMVtplY1NPaTSgGcj4ehXbO6u48K9hzCjxohzX2E040Q06I0GkW
8z9zgI/wotNWxcQrhDRC7XRP5faVCuyYztWuUbhpE+70qgDUAyRqByJ15E8vuskPV6jqKcrOuYJX
m7KHzeu/xC5Y6xppoXDJAKWIYTJAW13GezsBhb145jUUgKdWQbIRC0EwYoJYp/5lMSKIF8h+Bw1L
hpvZcPCgbQ8Kuw1ndevo6FYqheTuFJw7VZjuUgG7zXZ5kArhbSiYd0LdSeOdbjUF+i6t9uhC/p4g
gCcKBR5P3s2iZ/uKXAG28Ya3b6HZ6mQEQxFPCnDimgVYHGTJHs8BMa4wxytzfTdhkDtT/O7BJLcU
nFyLRMKH1bwRrww9zZgym4t4bM88Po+xGr4jmXrWCcJBOBp4Xbv1DmYMyLYqjmOfA8w367vyxzhf
lLBUtynRN9pLMlaVYL5Zdu2JmfgkTQTMozfu8HFqy93Cp1MKO9VCK8LlEq/ulIaen5+qCWbETKRU
ILR2v/qYKVri3TUWl2GZa9MutarQkvkQRmP1JfLQNpQewP1xifVtYWRPZls+TATI7zrT+t5k7YuV
oh6SFF5aRO/M2uSYuNYbUVK3c0pybOKinUlSopypuzrI/lYT2BMuDeYQxGcmDMCZq+IM4Urj81Of
HbX54C801cmlacnZK/Bazb17PfbpjT+4FzKLkJR02ZtOXGvnWxd9XahuqvqduwX4bsGKsfTAxaXW
qR/EJ7vYEpGTQGCO58Mah1sk+AlF3rqfaSUC6pophLL+rZ0kW96EQG3BzqLpnIvVFPcGNP2yRy1v
y2o6cO6yrANpQfrAprS77jCMPNGZwS9kmbfJLZKQOx3ERgckb62B+hJJBSAl/5o36cZKbnJY/5lN
SvZsHu2WsD7fG6+1rmwYwPU30gaBvrTY23U8BwtRJLG4tknlK8rx2jJQwshAW5uwbbX4hPTtJZ/i
Y5+kr73bP9V+hR1pFVuv3c+O+wDBgkmxvF4a42uKUM/vNE5GGR+hla3HbCi+8gd8SlLNCV1qwW2C
gOjMqfDVktX4IleGJVWTneckx94A9XazyBU604Lm29G/1KOAMZHfTVP5ltcePgagxIhXXgu7uqRm
8iKnJA3+GTr/GDoLpiN/3dCjy+/bt//ZVF3/9t+zZ/XaX9t6pLO2SUdHi67rJrjU37X1aEgsSP5Q
h3CeKn3sz7bew0BqGkhqDWQdvwhuf5s9E/uH7IJuXM2CmHP/jbaemeQf23pWpjBc+ZlI8JlBq//+
OyemL93Vh1Iz3hRjaiTRpm0qcSpm3TqVa4VPInOIeM+QmbqzdvHYfpG6RjkyZU6YlFxnYDgBs/Tn
3JsfRuIclojtVZ1wIgyTtzL0XE9+2j9Pcrl2JQ8YsRUmOZdBo8I05/nk1INDXnJzTFc0+hKMyxTF
4Kpdf95jw/lu4kbDJtawiCJXj7BvSOBtrjWESZAJlmXexlIx0n6XvC4O115XWMvW7xcZirZ+tJxh
YIKpASxk9GvWK7HzCCAtsj82bRm9AOALe8NZNlQLME+ndxzd5KE1ZD/o7kdDsQgZMf3iNEA+UAnR
d3lscVNy4CrjixNb9FkgyCPCqBOvpWHt5MFwRjscKw/YOL3YYo00VOP8vlQRE4AZEy+nD06Z15Sg
pI208j0AuaOXxBCQ5gmWxqhx7cT1t1igZJz18ktdQZHG5GqGbBg/nchYr0k8eUupdM6DnbqbFpA3
gBqHq9PT743OJR6vihJEjBYY1W4mt23Kz7rdjEjq8TYFANpRxkGCWS03xQzgVmClTdiN9rxuPZao
nPUrchtus6tFeHOYyxEeU0U/GhXasun5NgdUlmhP0gqnikjRPoqOo0qJijwlLzKU0GhSkqNKFFGQ
d4W4WhxJtK2SJlXtaHBN+thAZ+bDhJ+gpvCUrqJRCotRaS0I6UB2wa2eXaIfYgwNWcbQIqwOcI5G
77OXauhXbK0hW0bcRX05bTVt1J8EO91xH7Hz+aplfvzd8nCiSDhnwdSzf849j2PTQLeE9xhVlJob
tOlZ74yrfiH5Wp+2DKYunP+vout8ctGH6zYpWWNH/bwD9kCJC+Br59r4jq25vrZ6o981mFkzt+23
je6fI2pohucpdYy5miH5HWT3WGoapgNLZe+JVGfAxrLFROyaZb3XUye/qkgLO+dDPD770vOOTgUz
PNFEtNe8krm41n6fjUg7SFKIZm9JT/8c5L8c5Jxof32Q/698+1a1f3KE86qfRzjqE4avBkFqhuHZ
avT+czKrk/2GBtD2yJzWDc7937aHrmA/KED3qFP694NZj8hV2FxgUH45+N2/c4Kzk/yvE5zzG+Ce
jhmOTaESMP7+BK9qe81pc7sbUZiPrK0ejM4+S6u7y2e8WpgmklMsgknq1iFbkHtL5eOJlKOnn4co
EE3dBO6CkLnC+CMsooZwOzBGsXrgY6uOYVFZonx+VulWybbA03X049bglC8eWuUwWsvKC/RqvtIa
6NSyzOoNjz44/tkmskK5lIrR0AK4r7QXWJjYztlXRGCUl0wR+SuHpzGOyDU2lPmpIynBU34oB+lg
sLblY1J6ZL4r05Rou2ODiyry+njb5TrXkiU/V5xWrSi0AGTXocKDpSkzVtR0V6uyZ612/M6gPAsa
e+Ckx8PFKjTTL7rydSVvrcmGLcaVHzEOGAG3QG/B6k+AEpvSmV5j7eptjV9sWlktzX37bcBJpvfM
rnzBX6hFFtHhNgMYQ99RbrX1MmBEmy3vq40xrVIONX+BN+djWmvj9jZVLjZr9AAsoZ4h91Q53Iat
7gk+EtPtAqz33dFVjjhyUu9xmlt3PmY5ugsS4bzhTHePYkdn0Wkob13njghkHPLDyQjpGVMrp0E+
6SjMvYuBPW8ZUiugGA4zr8Sd2WGDVF6+xpTuxuvIe3B8OW/ZJjbbWLn/4l6A6cIQSMOf0WTXe+Yi
py53Hy1/fdOVjxB3ftCTNZ2Nic+Yi+whZhZ0hizT6GiMjYMZESksTgLsib4ps00e6aW4ra2+fIDD
xi9uFW63ulmtFtQtbbUxaop8/OZXiFVaAA/wqfUvbTNetYk/hJpnZUwKzE9Mp58jFosd5EWahc6L
Du5sv0seUTp/g5Kf03SXTsODbcTdWXriNGbZa72S7dFA37OrZF8xaG9QmzDCxgfax5EeVHmEZLXr
rvts5fEZH5M4em8SyOyl6c9IPuQD2wI0hMbw0pjuEZESkQx2dUoXLIoVl9vOg0/txPZTm4gEfAXw
vjxbH/iZ06WhxIJdV1XbnnxPpnLEXYxtybjOVx/ejNNQoHcM9ch66aqM2n2lcum6sjx1xoAQFhpR
kCxpE6AmxSowd9WXWETxoQRbcJuxuQkmE9p2ueg7b5DPzIdIBQTyPAOmR3XJULs263IbFRmmyjRP
edp7NPapsolmThK2xnAUqyeORLkdXT0q9g5/lqBxzCXgWOyBzne3XdavdCAkAffNIaNLQU6LGibr
s01daDpPmkX8hTCA/lmJG/oxGa+WTpQM/6JZ9m1GZVd145M+Z2e7HRg4gXe22ofRRQC1dnKfaAi+
SthD+KL063EenlKkBWRVJrfSGu7yeHr2cnxIcv3CEpnsEGwwgayyZ4eCwprFYem6x94DENEMpQgQ
JNHOFfMl7+BTi7bayQW/s9HOV1HLjh8AyHae9K1r1CdjGErGh8N3y46+prF+Y1UZLN/6liqwQfrQ
vUcR5I0hX78UCV0ik2hvW2byayddAyERtWdv1I9VYp1njXnrWPCt6UF358/mkNmH1HJKcw82y9gm
1XzylUPynyv8lyucXeRfX+EBaTyff3KD86KfNzjXtOs4vgf8y0C++fsbHPaPujh9/jEdGrSfVzip
GVzeNEUKQ/Dv/uzXJsz/F70ZDimDRaiLauhv7VZ/GAn+c7fK7Y2sFb8AxQT6gD9c4WM9k8gaJ+ZN
N1uCh3s8TouF9iczsQk5DZMsg7lQv7y4BvVkF1sfrelder5boS3Q22VzZGGMZ9GKRSUoRXmlgYwN
vLUeQkAj13PrdCGozwrh5UCEZPmawM1fZHGPWHJfLv3JMI37puaOz5qFbqo2uqDVjQu7Vqh7mkuO
qE+GpI/edJ2iJzrDF5tJNuftOm+cWd7YsXlDNsDWb6qTiyEsB/1+XFnPbeCDeWDxZ8ScK5nf9Xer
Tu6HKbZPJUwHRivvXsqQqFuxkskqyA1kSaYB3NIhoSlUsFwxV4NavT1P+vA1x3S8SfLkgPkMbT3N
TsAOhHRxzttNWpvXuWxORU7EztS23xvCTYkoqDgxC+8mRZa4meLmhmVefZpRx++YxMZU5Ehb8gTR
vC/i6LpzkMhz5TAvaqz1u4dk/Xq03I815c2tI5ncGdFC1FbXfiZAd64yRoO2z3YqMupln5Sdd9Mh
AMECP/GpgZsI2riPN7lEM8O1lpCkoDt7mkIAYi2AWGt24zsRY/Fi+kNuZZwWFFEmXvBpAvkpzXgr
liID/AuIRktTY58lBaCL1QpMZwZMwTF3kFGkMw9dxL6wuhQJTx3trMks2H/3xLHj+tyWZnZBknpe
++yGAKljv8RrmErve7RmTpBBHN5qXYpca1gwGUTusqcbKbYiwwgKEGDZum3j7/uM5iab22HvGzBs
JNGsOMX19L5kl7IfapsUSF1kByGIRwHhYQadaWp3qAfQ/K/8TZuZ7VbqCGfnxbjesmXCfVjF9VaT
gx7k7PNPjPFIfjMSsK/dLcGl5TYhVoJospp0HUYEaeLgFcMQhyKfo5jRHFrPVb1FLB++Tp2dPZVJ
yr2X+CV41TIKjJmxMwN//QbKcxwkNSLllPcdVa2GdWZyUxTYFkWwO6TfckmHLzIGcGMstYPos91g
E+bJvoA6mrWz9AlFgZpN4ImV0aRmkxe2tSw2zpg5d6tORts83KNhJTjYyHQ2mUZxTRJvf7Dz5ntf
ru+9Pia7vsYcXPhFe5Xqs7kxmbgWbeMcgX1FF0dzR8I6S+ve0Ibn1K96LRQ98J59Ysy6HqRD/QGE
h2gNDR1rgoe185KGCN7lUccSspuZCGzE6J9KOH3bacJ97I8DaFyoc7VLld8X8TYtS+2kWeKQmubT
yPVOai08vCY7uVl5O5F5oWnuVWd/RU9+Hshl/UJZ/IkC+zJbLOjLVs9CbxqmywBq4OD77HDSlg1N
nIuLwW9LEH+MI4NpaIsAJIorttt6MPru8wp7GC3s/7F3Hk1tbPnffyu3Zt9U51D1zFT9FRAZY5zw
pktg0TnnfvXP50hgE2Q8d8RCi6vZjC9w1Do64Re+YcQps0p+VFYlJJ+S4wwVJUCSZxQ2kmkmih44
P2SLKFAok7c+FRHK1JM2IBoq+fW0UmGaVFi24aUh5IiTy0byruPe/S5nzQ1cT05BOW9nVlSeBp2y
7CPTJHHAe6atMo9mqULyrQH61TFYCSvyiRGJkrhqzyu7+9rAlJ+BOvsAadieZImVHlOa4zdrGc2D
CGRCXmenTSgfxXaL9jB6SaGcFZcgwoYJtkDIs/TOrO6BB+FtAokV0xFfNW8it0mMeZb256la32W6
dZw2xjeMOo1jHOVoEY23vULhiCbKER86PvTBB04gNuJsYl34IaeMkwHlABoeOdSL2kzBwMgEx1bM
8DxFzSPortImOYvVikg+iG9r2zmyUu0C7tBC0gtapz5QFXifscK/jaVvB8G0Cpr7KrCQ4++wVM6G
4zrR/XljISGpR1cupiPcBYBstOHUr+OrxEEPHW3mOPLmvpnSXIMp3yTBpziop41qlpPUBVCdDOMR
jYszkHOAAftJ5ahTstyV26TDhHtMGhZoclU2eRGetZ6ZfgQvXs7/iY3WsZFGOeD3sdGHuEmWW4Sg
xF/9DI4obzgwYfQ1f8YUlYon5Q2d8jDuAKrNVyIg0A/1DYIjnR8pEF9EeXvNu/kVHMHFUUHUrFFn
mmX8rfqG9aq+AQePmE1wa+hxg058Xt/QKY2mmjtwcsfwT45A0ZKi20V0HmLyo4/Vle2PX13Am2pR
x4uOXqYU+BVRgTsxMm/huMi9BBCpyzrnasrKK7PNQH3Kpw0GgWbSU9StZmNzBAroJvPwyfIo5nqX
CrXD8yyo7CkgAgfWFw33CB4bDeLxR6w7+F03MPh0176xdNzFbE2quXHrG0wnj7Bf8maa0X4Iulqb
F8BY+bl8OrZgUAADn+uybdJ8R6ZQahABLeVVkFf33aj+sCV8FLMG/yQEF64Tu2eL9/oNqIOv5Qiy
FFUY0niTkGp0LlJzGE7Zmx9NwRbuUfODlwHtHTg5/6e6N9xG5xdBX7cEByqdPE4HiBqurs4Sv6SI
nml3cvTNGD74lSkAXRSNuxIpAkccD3U5AzI26BTPsXucYHSu1bNcG7pj2mS1s1QCvNznQQ+TCdgw
Hbw+jY7orBcUieiG11RH57JLVxjB256bEOd7irNogKttCXo5KCHReF19RdORKG2My6sWzxtiCBqc
sKeZKlg+VGcphPgFkVGSRjCKCvNbNlJ+6hqYKXqpczBnoBxqISRAhp3MXcc1FqbVDVesTX0Scj7P
wq6d+pmZnTgxSBJUBIJz15DDWec0FWRKTMD60hvoO3M/zgqKJhPJ19yFEjX3qoPTKAi5Bvk7Em7F
lG5bUkza1k4xXwc4SkERLKCXdwSCc8WBbCAf1VFmylmqpbDPlPH3oowff7A1L5orCN9MImkI5o6S
ouoYE+FFbWUsuMBXSa84C2NAkasoJZx0xwytazuGJE8ZfGlnANLUIZCPXFlnbmRaMCkB6kRT6qic
KZYVsZyk9DYfUpqFFTXoyqhITW2pPO2srDv1uqZcYHhKQUC2tUVem/GcL09Hhs+4D3RLn+iDf48f
rrYAyiQBfxsTbRE6OXgG29ZvZTiREwRG8KkVYZKXlITJud7OkYRQ6Ly6KWWBtIlv2XPeSRmq8lE3
Rmk990ObTmiv2f2h0xpleB/DYzhCo1e9ypC1oKdvVac1UJbyVEM3oZT7T9QUvFkso9JJDSail158
GSSM5+TRFdTfLptXfj8FmXcjecXXGJeFiUv7Ye4nY49lDXSkULYSannhFyXNPoRFFXwfnNFCF8Pz
z4bGtgFY1hNgPldBWtsTw4yFJJdVHOMdtwJW8L2R3cPOs31qN9J9F9YVnm3BjSaFJ7Eef+uRTl1o
lWRO46QUh4hzzlQcN5Fzn7FPpYZ1USf2J2AJHwrFP8npBhI0ZReg8+5U0/naxlIPsq//UI+lfWyX
5VE2VtfV6HxGwdNFnQvVhqIRoQkRbuAGw0KjsDMFj69TkElPOxrKpe1/9OQSJq7nAjSLteLUkEc6
wWGBrIl6RInnJLJQL9a6c6mnSDSgvcNOgZQF+wvhhiBOQec5wS3lwfS7GdXhEa7LAaVV1E57EWWT
WqMEYmbChzG5dSqDM0vGug/T0g+U0q5NEa+HInL3UmL4XkTzkYjrLRHhD1JtHiKhgaly1nlXicgE
KrbLVSOyg1HkCaV401rkDqEbOAu5yoOPscgsCAxaAnWyjUrkHZJBNysXucgospJwnZ+ITKUXOYsr
shfcmnVkuslozNK4r0SOE+njMbpVlzLJDxrWZ0ZDdqZ1srrQRIakiVwpElmTjykWeqFkUgBrMlp5
ZFeAa8k3yLdckXmpIgezKXgd+SIvU0WGFotczfQFVlLkb3LhKth98UkNkd3BakBNTmR8Ugi1DAkz
cMkiH8SUD+kykSP+E+oQ6uA2SoP896HO/8XLZPVj+bIQtPmzn7EOQlYmt+PG6UiEJr9iHUhiFtZ8
sraOdJ72ciyQ9Dr69NRmhK6l+NFjrGMd6EhRyTAsTQXTib+p6KA89zoQig7UlCBNKpapC/IZAdfT
Xg50LIzFAYtfZoEVndixo5+XaX9qp3ExNZryi0lLuQiJgtLMiseVn1UF24gK/lAALreRbrxy/DxF
cWWAwKuf4AUNHCwGSA4mp53APJUWARx9jj3/0MNA8rgrhAJgTqm36sj9pk5bpIeJhano9eDlNwBQ
QTrSr5lYNRoxUwpD+knbS+OJAaQIvMAgWpFNHM3AgUlHNV1KbMDHaSAal4OS0cJUIoesk7ZmLhqc
qmh12pum53W+7oLaoiGai9ZoW0rkW6JdCnaLlo9ooXJMetSinNNo3V5FF8AQDVeDzqstWrCtaMa2
MdGZJBq0lWjVll11oYjmbU0Xt6SbC4x67qO3o9Ll5d487UTbtxYN4ACPV2S5AM822ESnok3suRL6
hWXt3btdZn4fxrBFB1cAmRtZggXnVyB3yuYj9pnXdiinzXEOSKm+CiiuHBmILKdCfrlYKzGbFIjw
fGpcq51oFlU6TekQizRc454ksDumedAsGqT1ZmOSfhjC6sLU85M09i8KWT21a+kwq7oTKTFn2egd
rmEQeMsbQf6Do/1ja/e3/xwe6zxJYdP+/vA4W0arlycHQmH8zc+TQ3BIZQWAjL3WgWdn/sySNBIo
KFNwYrQHJd3HLrADPQePGEslS4KN8/TksA8oKgPtoW1ragQAfwvHs0Uu10KHnizOxsmFcPqlVYyj
QTuF725cRm3sncKaLtzrvo9YkWArokWnUxEdhNZaYRszKozxsV7CBzAQJjmKXEx3EyzJz7sOCTAq
FzTFxI06IfsDewLa1DYIZTrUqCcRjTkJ4bNzSxhaoM1yaCYeRWKKqc5or4ywxUETQt2MLGNMaOKi
Ud13p2EaH0p2K2zmw+Zj3Vb0+3rze9w7SHiHvjPvQHfGcnY04rzaqd7HQsHQXCbZmlFCa7kty6N6
VC4c2IUwfa4Czb5EhPeYqPEasshCyqpvkmfnp6mbnRY+3ma+HhwrTvct5q61Jf86UY3PXmBDpLdR
PtMxxLhWKu8GPPMx2mfzUHZvAKUvG4wYACaiehnVbbeA/sMz02rSYMZPyxJgqJU5p4VQnY9K9RRk
y0UBEBPkq3deJPqy9OvLekzvayYaJDpSwVkHUdzNTxIrsqZJRhHQsYVCDiBEFYW8EbHPCCSnlWvK
TLOGk9GVvtmlEE7TcYqrw+PGS2l0WtU4dwbadbYgDCguzKuOGKUrbqLBW0QZ4GxDK8dDbyBY8XL/
DjXPcjoQc85S+KGmFJzEnqMtaJRepDkZYFfH/oxSy5fc9fW5Vt4jHScfmZHpEMsjsoPg3gxU7r3U
VwAlHeeyiBtSxgBj2NYqPtmlDVvJiY8io7yKkS0EWwQips2mYZ1bU0Oo1PWyN3wf0vHE9vQfllFp
NIwRA8d09UYv8xMYU9/RWb4q8FYlJbzpckD0Ze3fE8NBWOkiZ44/20ViITgOjgnIuVLhHNWB5Xa4
lhTDA6vgHYZqc4ckQ4cwrXZotdHdgEsUsX8J7p77prptKXCc9YaBeXLS9N6ixnEpnnXGoC/4/LCH
BqVPJ4iWNnAhknKwyJcseEQJp8EMAAhs6sLljyMx42NKAhS4WB6ldXDoSCS8JJQSAV3u+0dDK1+O
bAZk1ENrEUl2d5Xr6Oj1nXqiaaE2BWyNYBp/Mwa5dBl6aO5YvZzNUR+m/2wUGq0IZZDnuhb0x4kl
oTBYZMGJbffjwmqNbg7ovcalHF6Q3LaHHch4W/YuITOgZawq5xrKxVBqnauhgjxdxeFFYeZYxyhf
O9sYrktFim5QmAB2XdDR1RTyD7fM5zbgJ3pNWgS+GAMCva6pJ6DGoFGopoRKppio1PusFAM3pWva
C0g4uKtlyOJLw3kE0zdy0JhtClAATUwDVg2q27KRFgq8MC7p8jg1SSd0wz6RkOw5UbzYnmU5zWng
3+V31cK7G1YepgFea070AG5W6ltwA+jZ4HQQQyurR/muUNRvYZK4hw712XlXdvYiHfGoi6LYWGQJ
3eCK1teijYoMXrf4fl0zmYy6e1o4/iLuugsU5ULgKc0JyhpXfsenliUD2WzYyIO2CBK3nmcOmOFw
LM9BddrTHsg0Z0bDNwS3HTz/IXTG4TBJkyvfCPRZGVrOFHLVqe0hQNTl8iIwohu5LReNVF2PEazv
OEb00u9Q2FKicxwHPEThyOygYyzcPD8ym+re01wfKf6smeUSwBMFG2f13O6TT0kVxmeO335ImdFJ
pgfOPMmMcuKhtWKE9dfBTLE+zKlm2as+UxVEq5OTOur6uaf0C+LM638ihHWEIOtvRQjQ2pvqVXZh
yOKvfsYIygEeVvKjupuQtP8ZI6gHYLNkXJVBaOlEkT8rqZpzQFbBj0BxGbDZxM39mF3YBw7iU6Ql
DoP+bayvxZu8bDPLhC9Ua3kEG8za8+yiB1kbSaYLwXvMLWRezSzRbnEiqd1LFX2XJKFtLKnYJIqK
f+NfD7qnTyIC0lmqNkB9sWac4KoczRun1mc4o8tHcgfRzO41+rxttlSGEYEFI1iORQXbS/PhBFUm
dhtwCAs3pADjfEHJH//iBDvN1q4oiw4j3SeH/nTUKO7EMSPAxVICIaSs45lv4uqeYpqtWMHXVjG5
9tOFSbFlmvWztB0XnBMoe8sJjiBhdoUB4xeKfMeVOHGDGP9OteZgdgqqw0E5Lp2Q6q/JxmnoiQEM
UT+och2fN/qYHdqRkcKSwksyQMJVc71lEyKNk0jWvB5WyN7DsTUo+ElUduMkPe9V/WueekCI0ONH
MSlNpqWGMn+Uo+qrZVgVjDZEVqXtT7UxCOdqOa4a2z1ssvaUsGShWCQrebaotGpeAoSlT4hETQw7
o2y1VU2TJIKeDMRsQs//LKWJMhqdNWk8rkgfxcmWRostOi5xnB8ltGD6LPwUc0TXCKjmpXzq06px
k8ADH5xctXyljejmyH1QposaQdRD28xPFOo5aeUDJ7PcM7qFZ2nL9a7TKTVPaAmUV0pPdeR7WMae
Oq+0zEuvpLEe8kWCJx+wtUj+Rn7EZYvB6B0airQduYcDLmQQ2Ye4DXnTTtzVAZc2PWRub3GPJ21/
VA/+hZ66Nvp1/XBYcOl3Ei2j0B5uEOz6VI/9ldIq3zXCBNgfN6j0YowlIgiLUCJQ+5NOxBaxT6AS
iHgDuiQoHSIQQwabREjiEppYIkZpCFYGEbWQ1AI09OxLKOxky/4I1gcnUr+mNSeinlrEPzDalDDT
54FSf2lFhJSIWCkmaIpE9GQQRpUuTBURV5UiwpIy/86DbDdFV3Q8tDvQjyEBmSpVNwHhQiYitVTE
bHBFKWsTxdUinlOwGe5FhAdwHJk76VtZy6DhiQFDgkHD9b05qYUFBBAAFgGjapdHsMQsoHXZSWpU
HUpP+PmIKNM3o/uKsDMn/GwrWscx4K9oCC+AxJ3mIlLFEOE07WIKnyKKDQlnSxHXhiLCLfoEYVoR
9aqEv2lk34zoTCcxLriEx5qIk0cJnVXJJ3YGYfnZIpjuwXPKBNeFiLJzwu2xL05xEM5PXQJxky41
ggbXkmke+wTqEjauPqXxXB8vEgJ5gtVmOorYPhdRfku439KUiQj/vSZYlCIfAB6OK7LIESqSBV9k
De46fyCRoIZ2atYU/f+52jbJ75tX22mQelt6hMqTm03hkrJQJ9IVxYR/Dd7p180mowCPsSL9QzLQ
p2UzE9F4XhbqRpikURz7dbEZ3IYAniySZsMyFW6qv0FisYT0xDMdVPJexgNvDXRKk3Whr/SEw6K4
Wo3JsGVc4NmglZ+RaOCARjQ7UWY+p6CFMmilBnT0Iw02hdkXC7mLr2TslUBwxwm81b4OprUlu1DS
bLMqjpOsROXNajU6OUYVavOqck+oFUN+zOJsjK4yRChyxCiQcP9OaF9PLU27IBQrZrpQrhiFpphX
+Le0a+gUCX0Lrn+8kWQJTVOgM2kYTRM1GmiwVZg7ut/ytVAGRhShMivWAhoRZgrTBE7ngm4JnHoc
KazenGYNemnnujTQ7kc1PNAD95Brq6NZgIO4m7b5rYpphQcSBaJG4k6VPD1E9a5DtBgjqFA6Qria
4L5Mb2WtJOeWYFzA2PwceNKdep6n+Inp0awnKpnSLENjPnY/KYV9lWQy+We7CMcrpTY/d2311USX
TYet7fyjSbyRidEo+P6+CiWMVk+yZdFsEzQTf/oz0BSCMOAOTUrFD833n4EmfDN2GwareErq3JS/
Ak0EZjgNVMRlFPlBzvgx0KSMjaTQZjA67X+zYy/227P9SBHKYSsabEUZT8UXHXtwjiDc9aG8HDAO
QVtdbRSKp2lqh3jw+OlloJvngW/5F6ZBAjSaxlUxRA7Gp/JHzdU/RmWzymRYCX3vH4eY66HqcNii
vx+hTyW140mcUpBKldmoijhIh1yVa2fYp8cTrUkuVN0+dD3rrPIpng7SlRn6n60h/Wr00ObdYmXT
MS4VzE6H9Dhq2FaSJNo3cNNsaAQDvjO6fAXM6aKBxUrl4KLH8oDAtD8z7XFh0LlGRe2zUSDoxyea
x2V3C8Pt3KVBWZfad8jCi7auT1LXhBXvnLZ6ceH6/oWT0fccdfSq8gtEfQkRi/OyV79y7B75CoUt
qviI816GSniRScq8bSCnV+PMl9sbJ6g++H5z7mGrDbVsAVBtrsXmRanSZ3Puq9IRMp3Y1CNicDI6
9tIlUkTJ6Stc6GOpcmatUX30vZEWFPyPHJWSvLweKlzI3T649AxkICzErULzswGDbRyqj4ld36Zq
fwH36MJ3i7PWTI4MkmaKI0dNgdmQlwtx5QtDQazXdY41T/9oiUQZ/MJRbWGZpMfdedRY0kQZitPC
jZZapn90cnRCKLlPYtTYGqk+Qz9hNnrtcYlpfWVJH0OnP1Zk94suxCEdbW6mwPgQV0HRnZan78rF
1EqK88COBa+76K/ioXFnWWAuaRuUi7zoF3ZuNHjp5F9VlZ41Kji3KF6IHkLpycW8GpwOffjKLsOj
EIXK43ptSwPthRM7XGO0weVT11FgaLd9dYzQh7zIiiaeSHb+MQKDeAL9u51WBSYHSqxo570xIqYB
O30S90E2gTOPoJs2hh9VRV1EKkZ6yD8ehalSiUsA0HgACwGxh3FK8GNB+Id3UdtyOG2sTj+CHG3M
KnO4DvShmNWOj06KBqFhbGp053O4ODR9P9tEi/PIBDwSxoiZ2Yghj+F9R9g4AYn6SVLduwzSjD3o
l6NqHOpldIFuaDeLwEEQ3a+CUT+njflV6vi787KpUWobdCAOOQRIzQQZmGRXapZ86ZoaLrdgEru0
wKajz90Q5vqt5yFHLZckAXlVNLNKdzD9g59s9SHeig0YPR0Bkbb1ixkA4JWXO9/TQf1MH23F89N8
yeQKvU8Nq7EcNUO6qfmMGjMRcoQ/RJsrR3lczlA2uGz95MROui96P9w3lkzdxj7RMz9A4aOZB57/
JRjVOZIQxcWAUfMh4jYgJBrJPM9i95qaHHR71FfnqgATNjoCRh2kyi4cmeUCZYdMuG4I5qUlOJgh
ZExXihehYGc6YwuaB75mDHETVZxberm3vQ4wrxTcztEyoafD9rT8+MgT/E+1UA/tnPJroakLF4po
LbiiHFM4mQDt85pq0kAnHTyNwSUdwXSYpiZQIqepb6WmpNQNF7V3UeiGnIpGUzsdHDg0ZN9TXRBY
BZNVr+FFjmX+ye+w/ZDhdM17wXztXfebJriwbu5arC/tEG0LmO5OxxYV3NksY1tSMat4PKR6oGks
WsG1bagmwQhB0E/QcIPR5NnakxyCbp9Q8Ec/HKyBdtz58oVft19SWT6pBbcXOToH6w7aBI0MxcKX
rzuIwEbqf1IGSwblbGJ4F6KRoyO/Y0IfRmYIj6whgiCjk58nyOXE606j70fpIU07+o9SRiuyFU1J
CW7RsU6JFRyGDqidIr8smphDSjkzFY3NvlFhJQ1XVBMoeYrmZ5C1wfSfpGCdFGiwDN6ORQ7LZXoX
VHfb7JP545/RiHogOta0ztexvFBe/RmNaMIJGeieKcwi1yzIx9YYTXX0yHSC9p9/9SsaoZOFFB5F
r3exT6ZvT2oi2mOyLr/gVhixLNuhW46XY/21sN0JDgaTJxPzYRPY/AVa9kMGCKj697/ECL/CHap6
jApNTLTsKdfJYACepR9j7pp5T+IOewOSo3yIuiagqx9te/T2+4hx3nofupNP0xyCgrwoAwMgJA6z
Sokh5I+330Aka2++g4AnPEmkPIBsquh/Xaq9xQH+2QLHBN/bkdD5aOfgJqZVe5M3R03woc7ciRKs
8KP3vA9qhuXCtdflk7o4NQ0qFy76dfpVE153iT/rneQPU6E8L2W+nnOKpk+fVAto9nelmAttjlM9
CLSvDVs/U/TLjvvDhUYWDPcWpAxCjwnqL5tT4bdamet+6ssvAzkn4f0NEZ8e7/MHoEmi1K1sDZd4
PwbKVHHK+CzSVfxthrXRsrMGBgAsOCnRDjCa7qOCWw2ALAR7WgEjoNXDPZU3cgv/UD7pnBpcXpx8
UxPtpHNlaA0queDnHu7kQoucEAEfm54IIr+lWR7n3PxqWxwq9TBra/Dg4yVCBfOEgm1WSNwy46Ls
nQ+J+gFyx6HbQJeDZVp9qjz7XKvjSRmh7gIVRYV4iezo1BpBL6E5ExmfiDEK3Leg3hbcCwjJNEpz
ZsnJnDLnUHyrwmQySEDmu/RUqfUr5MtD1E7bVM0+J0Y8yUFu0EH5VOvCE9mYhAL/ZASePqOpQzfN
Bp6VRfFNLcGjSMZy4hhIFkc4Ur+9mAWk+cliFlga++nG119sly5w4DP01XgpL7Qj93g8q79qC/u4
vKwmyll9VEyR9pk50+FQm56UJ4iWz/ob6ZggfiEvyE8Ow01S+/sl8+x5Xi/ZF1UKPSbmTcSSzaJj
+EYpKm3VpDgs5D8cR2Lpv1yZT4+jFwcecpNj7Pu8jwRx8lP/o/CmQTOlhmm6f9gEyvMp3nykp5vg
BVzJ4blKzQnUSx+n6g9RP4OpitB+V80p1nqXSLG9/Z1uOwERUYHFh6kDkIkXX2kCWhtfUU297EJc
a8dbGMNvv8G2A/DpG7yYOxSdrLT1VPWyamcC3d1J06qP/vAp/vQmL05Zp3fMEf9X9dJpYSSf1OYn
pCre/hzbrqSnn+PF8ThwV5dlYqiXEBjheIDANj864YVIJtZv9N4e2+fBXZlV2X39/8TIdxm0PiLz
+j/P/1lt/u2tstmyXj77B4pOQT1cNaty+LiqUGR9+6eMtNmXYqD1vf0pezXEf/VLbw/012r9XJ+G
fPXvfy1/JEFKd6gug7taJT5a/+z4x7//tSn+GHxLzwKu9YOtP9Ob48RLPnvzg3egV6igGAQrFRMp
8eJdQDV7Dz+WULCn+mOZNq5UT7/Ht2bh7Q/4ONlvzeabD/9qEjYP9mK8vzUJRI62SgsT/f31i1Pn
+SRQkbZVziV1byeBR95tJcC/sSjlGVA5wMXy4hB5PgnqARwWIT6yea+HHb1HK0F/Cef9n7aD4HOz
7DeTwDH3fBKUAzoSOCo4m623h5PA97bbStDsA12DpQ7GcLMdWPTPJwHogSJ8KlAAF++1h5Ow+8GI
pg7fM70mStzi9epMgOYvMA90iPZ1EggTdlsJOvATWnG2amqb7cAGe7kSTBxLRLNuXydh54NRsw4E
lZFUnxBRvLacCTQlQdyIhGAvt4MAB+22EsQkoP0vmA6/mQTom9SaAR9Tuthsl72cCtG+2nEqgGCr
3IPQKl7vBqrt+M8Ym/new3ORfGvHT68fwCOh9OY83JAvjwQa+0IWBYHKhzhiT/eEsbm7dgkbdaqU
4FRlbP/Wr5cHA1OhwriRzQcvj/1bD6+6x38/YiJ2JmbEaUpd73v5VbCAnaKjEjCBY9zng0EUWXfc
GhwMJoUEmt6/mQr5gB+yeUSdg9e+xtFCsmjHqdDArRI9CRvN7VvDOrANDRmkvZ2EV82M/2VrAEyg
WQE5cPN6fV+wa4ivhPUNE76H58POIaS2zhUs1IVfnY7WATwlWwGb/zg7+zkHux8MOj0rTO9t7SGX
eHlGKhZnJI0rgUPbzznYhPe7XJYmG56MSn38tl/GDRSadGH1oOxHPvW02GawQP+HE5Hd/qvOxjeM
kCqioL8pMYmwCdQiwnEPcdW+roTd8ymNaptsaHiTbV4vM2t2A8xoHMb2djs8lAF32A5k1hQb8UoQ
RtLi9SqXkA8IqgwdH7Y9XQkCFLtblEDJ0QBRqNna74rPUGRtjk4KEHs6Ceru1TaSBFO1SCM2QeG2
AFqAH1kKezsJmwfbYTtQcgS6oerUXTdnwssbUhWIEFF+FhSjvbwi1d0PRtGL4ShAunP7wahqBzC/
TTiCm1W3f/GiQPjvdiZoJibJwPjxLF6fi+LmfVZyFBclP2Ol7OskCJbejpNgsNpVk11P/iBeL69I
VYbrz39W1H2NGAV8ZcdJEBBynY4UnKKtk8BKwF7EsmlTbJbKnp4Myu7rweSTEjkzGdungvUg+DJA
9/d1Pei7l6CZBEvI5TyGTC8TSu4IVAXZMXt7UWq7T4JNyATsUFjIr18cgs+OR5FG4SOPuNB+1+GV
3a9LKgtUFRBL+k3MoBjU4wywDdYm09i84x5emjuHT0I7UzF023k4KV/HkNwX/Finbr+nh6QA2+14
X3AdQGmHFviQQb/aGnCcmATD0fa2T7d7uc08wDVKNK1/17sHwEDr3tTMfQ2kH+K6XbIJ/UDG5wzp
tYcY8uVNgTO6qq/1aTeztLcnw+7rwQGlgC0Kym+byIFv/fl9AaoHUwIoenubXf4vtTfxMX8V3+wD
m9oq/YiH4tur7FK4OYh7RP2Zc3AW7eFNsXPJRTOEJiF5NETO3wXVKHpQdXqobOzhJOweRFGLhq9K
Lv3QnXqVY+KWSEkOVcdN6L6Hk7D7pqBxCxOUjOIB2/PykCScNuhZ0Onf10l4aKvvclOYAuBEkKj8
Hs2Ayg7/e1D727+VoG++nV0mwSI4hN1toHSwfr26IzgeZXFhCs7KXh6MIuDdMXoUWx4lCmpPv5kE
QmiSLkQn9vWifEAd7bISKL7B5SeL+H2XSkVTld2wmfD92w7GznkEyRQZo0kE+ZszQdSiwTfpppgo
XvsaPcqbXG+X9WAfIKgklFYe4qKXFyV1J7BPBFZr1tr+ToW6e11a4IEhgD3iH1/B4wXYi+oTPIrN
1bxvW0OEOjsfkqB2ZB0M0yMe+FWKzdagdm/tbXIpyLq7XRQCE43NMUJDD6ieV3MALJCciznYBKr7
thAoIe+eVtoHIksQKkmbk2FL8IhooW3A0N7XkGH3AiTyNyx1as6cLs+Tao5FLGbIuTf36L7eEA+4
s11uiHWTxgId/1BqebUbOBHg8lOR3tdJeKXS+feBfhz9IjJEsP83sSOdCQBgJl38Pd0NxnscCdQd
+Z7F6fJ8N3BiWnhBKXtLHBOsx91uBXiUAtsmCiu/ORDhUVJ0oWO7t/tg58gZFAetKeFb8ZtJIEay
eBFHbeKx/bsaBSF9t5UgeJQ2KEb9NT0EGKiJZj7x02aN/PdnwX8xUT+5x8hdxT/W1ORgVT3hN//x
Fx55u68HeEI8XmMhn/2moCpvxv5FXf7Pc+byupT65KePpdX1Oz38/cNHfP3mz97s8XM9/sejYFUu
yzt/WP9geHjQC4xb/v2vt/1b3qBZ/1wAb4+eB+nqKUx0w8mWWUG/PuprDvd/N3iy/JGVjwP9InyL
XHPnwd+yN951VqbLeNnylVSPz/nk2SkZ7Pzsb4pm7/zw+KWWy7+mWVUvH5/1yfNzr+38/LNV/NdF
Vm61lyY12Xn8efzXLCtZPI9jPXl+QrOdxz/EWDTdNjhh/s6DL+JVmj6O8+TByVt3HhsBbpx8f9SP
Q/0aXhz5Ow9/nOSrMljGj0M9Gf49tuxxOmyZdKFhtPOTn67KLXMuUMe7D/2GDPCue/UNf53dh66q
1bY5eY8NepZVf/1f6q3i1ZYjUrS+d5718+UPDuDHgZ4sxPfYoufLcpuUrICdvcODl0GebbNEEGDC
3YdfpT+yu2Db6SVi8ncYv7xb/Xgc6Ne8izLQ7oNnPPvjOE/Gfo9tep5tnRNC9Hd47LRelavhcagn
T/4et+nFMt+y0EXgvfOTX6za5WvvPwNrnncY/BIZRG9L7Cg4cjs/+Yd4ebfaEjsKqPA7DP6G/fOu
B+/HgNCxCn5smRnhW7jzw18v70oyg7TecpcKaOY7vEH612SVBlvf4D22qtDznnBhL8sfWw8yoYj/
Lp9iFqy8bbP0HrtWfIg/CYHuupT+LHz+Hu9w1gTVX5e3Aa4qj/P+64QTNIB3+S7Ol/Vq2/jvsZ+Z
p3r512RZ3i63xQxCaP09PgPvMY23v8P7bGzxKaZlMz4+7q+vQQDPd/8I/nJrTig4cLsPTg1j6+S/
y2YOqkhYfj4+55OJeZe9nGHgsmVxCpDE7hNDYJJsueD197iDr+tlGlS4L1aPT/pkat5l6zY1sc+W
wd9j335a+cttUyPgDzvP+ydifLQRH0f6NS/Ge2zWTw0nwZYrXsBXdn/0Ble1ZFtdTiBWdh7+CyM0
2/aqUJPZefQbnF4eh3ky6e+xT2+a2y0bSehH/uGpt5Vlf0JjXxdrH9Udt/3Z81q0+I27eLUs//P/
AQAA//8=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_xlchart.v5.16</cx:f>
        <cx:nf>_xlchart.v5.15</cx:nf>
      </cx:strDim>
      <cx:numDim type="colorVal">
        <cx:f>_xlchart.v5.18</cx:f>
        <cx:nf>_xlchart.v5.17</cx:nf>
      </cx:numDim>
    </cx:data>
  </cx:chartData>
  <cx:chart>
    <cx:title pos="t" align="ctr" overlay="0">
      <cx:tx>
        <cx:txData>
          <cx:v>Califonia county  vs Quantity</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Califonia county  vs Quantity</a:t>
          </a:r>
        </a:p>
      </cx:txPr>
    </cx:title>
    <cx:plotArea>
      <cx:plotAreaRegion>
        <cx:plotSurface>
          <cx:spPr>
            <a:solidFill>
              <a:schemeClr val="bg1"/>
            </a:solidFill>
            <a:ln w="0" cap="rnd" cmpd="dbl">
              <a:gradFill flip="none" rotWithShape="1">
                <a:gsLst>
                  <a:gs pos="0">
                    <a:schemeClr val="accent2">
                      <a:lumMod val="0"/>
                      <a:lumOff val="100000"/>
                    </a:schemeClr>
                  </a:gs>
                  <a:gs pos="25000">
                    <a:schemeClr val="accent2">
                      <a:lumMod val="0"/>
                      <a:lumOff val="100000"/>
                    </a:schemeClr>
                  </a:gs>
                  <a:gs pos="81000">
                    <a:schemeClr val="accent2">
                      <a:lumMod val="100000"/>
                    </a:schemeClr>
                  </a:gs>
                </a:gsLst>
                <a:path path="circle">
                  <a:fillToRect l="50000" t="-80000" r="50000" b="180000"/>
                </a:path>
                <a:tileRect/>
              </a:gradFill>
            </a:ln>
            <a:effectLst>
              <a:outerShdw blurRad="50800" dist="50800" dir="5400000" algn="ctr" rotWithShape="0">
                <a:srgbClr val="000000"/>
              </a:outerShdw>
            </a:effectLst>
          </cx:spPr>
        </cx:plotSurface>
        <cx:series layoutId="regionMap" uniqueId="{00000000-D394-0541-B0AF-F8728B426354}">
          <cx:tx>
            <cx:txData>
              <cx:f>_xlchart.v5.17</cx:f>
              <cx:v>Quantity</cx:v>
            </cx:txData>
          </cx:tx>
          <cx:dataId val="0"/>
          <cx:layoutPr>
            <cx:geography cultureLanguage="en-US" cultureRegion="US" attribution="Powered by Bing">
              <cx:geoCache provider="{E9337A44-BEBE-4D9F-B70C-5C5E7DAFC167}">
                <cx:binary>7H1pc9u4svZfSeXzSw8AAiBw6sypGpBaLO9bnOQLS7YV7gT37dffVuJkRpQ8R64a1VtXdZWpmsRU
w00+RPfTjUbj38/dv57j1bL40CVxWv7rufv9o19V2b9++6189lfJsjxJgudCl/pbdfKsk9/0t2/B
8+q3l2LZBqn3G0GY/vbsL4tq1X38z79hNG+lz/Xzsgp0elOviv52VdZxVf7NtZ2XPixfkiB1grIq
gucK//7RXsbBN12kwfLj5jXy+8f7IkiDqv9g6zqt+o8fVmkF/7zvs9XvHzfGIR8//Db+dVuqfYhB
+6p+AWGKTiyTWMxiXH7/WB8/xDr1Xi8bmJATSRHDJsc/f+3lMgHJd6j0XaHly0uxKku4te//3x5g
4z7gcfzx3x/D8/pxrBHwAIzfPz7AM1q9fLirltWq/PghKPX351X0tl7f68Pd94fz2yaG//n36Afw
uEY/+QvM42f73y5tIvnfUF75y2R5EJCxxTliBP8AWW6DTEyKKccErT9jqPfW6w2kN+X3AXpT4shw
vtOpPgTOpjihpuTSItZ3GJG5jbOFGadU0M3JvL9GuxEeye+B8EjiyBD+Uj8dYB6b8gRTzBiWr/iC
td801viECYsLygH5Hz7ih7HeV5/d6G5I74HtxvePDNm7uqpWxT9vo9fYmoQQ/NNGi21sOWGYUsk3
sd1fo93ojuT3wHckcWwI63iZ6gMgLE7W+AnLMn9YZ/Cym7OXnCAqBUN0jPDeGr2B8Kb8PghvShwb
wkEZBb2u/3mMKQY6jZkg3HyTaXGTcYbGFvruHTq9gfJ4hH1wHsscGdKfwAnWxSFcMT0hAgkTmdYP
oMfmGssTIk2MOIIrf3XF71BpN87jAfaAeSxyZCjfBaviICDLE8aRKYigb/BpdAIXkeBgtNefUdy0
v167kR7J7wH0SOLYcF6m1fKDWhZPy4PATU8oATAt+UaYDHOaSwGBsvmaLNmc2XfvVe8N1HcOsw/4
OwWP7x34cF4H5Yerp6DMDkHTGFh2wrGk4sek36Jp6ARyKQhjAmmUv1p2wP+9qr35BuwcaL93YKfo
sb0F1TINynhZl/88hzOtE06RBSztlafviLIRItQ0rZFrh8TjO7R6A/vtMfaBfVvq2BCHybXQy7wO
0oNALiEFTgnY/++frcQZBjZHIPaWux39+5R7A/kdg+wD/Q6xI8MeVkaWzapYHmKyixMsOWRdrLdS
amDtBZKQHh8F5e9Sajfi20Psgfe20JGhvXaj02KZPgfls/7pYf+BpS6w6xa4dEsI8WZsDvMfondz
h2P/pdE+1mc33Bs39muYPSDfLXiEsDvByjsEpSMnsOxhMUm2onTrBHNTYGGyH+/Ez/ftR9p8/eD3
1ult0DeH2BPwTaEjBFutinRZvAQHybXSEwzZGcD1lcONHTq2wKFTJK0dU/19ir0N+45x9sR+h+SR
vQDXcQ2lF7+M4I8w6p8w8vJEmtxixHyN4bfqGRDUMwjJpMk25/r+Gu1GfCS/B9IjiSNDGGwnJGvs
oh4OgDI/kRbUKyD8mogZ23WoWkFEgLffWix7l1a7kd5xZ3ugvUPqfwHif6/ixm2vi1v++Dmndkzl
d1YmAV0jjHIOybjdeZh1Ng5DqQMsie/y3cCTf5VTvWleflR0bZUm/VV24x5/3OLfP5T/dWVHa5aj
VlA7dQjqxU8Eg2VP8pNgbZUe4ROKCOJQfPTz3fmTe+2v1ZszdXxnO+Dc+BEU2+14HkeH+HMBRXzp
QRAXJ8zi0oT06Y9pueWBAXG5/mP+WFUZL5os36PbW7hvjbEB8u7qwrvt33xkuE/iD44uli+HmOji
xCKSA/F6Da63JjpUmkoJ9Q+wpLb+jGB/l2q7Ud8eYg/Qt4WODPPbAFJnZfCyOgANM0+kQMw0fyD6
HdONihaIskxIrBE8DrPepdRutLeH2APtbaEjQ/uVZcaHWSAFOE1qSRO9ZtC2aDc+gewapoyOgqt3
qrUb8V2D7IH5LrEjQ/06Xj4fpChRnAhIkYDRfuXg4zQKwSfIolDmQl6t/iaH21+v3YiP5PcAeyRx
ZDjf+ctyHVQfYBcIs6BoWJhvrYKQE8iSIgEL45sI76/RboRH8nsgPJI4MoQvYGvAP48vbAwgjFlQ
p/Q6TcecfF2tBvkSqCsf5UP31Wc3uhvSe2C78f0jQ3YWr9JDLF1DjRqB/VlyPTM3yBfkwLAUGAoZ
oIDhr3Uqe2uyG9RN8T1Q3RQ4MlgvVsUz7Dn7x00ypL9MxCX/NWe3uBY6oQJ2gmBrZxi9v167UR7J
7wHzSOLIcD5N+0MYZkiPIQIT2ILSku+f0STG6/oEyTnQ6s1JvK8+u9HdkN4D243vHxmyF6v0RT8f
ZhlyvWELYLUsvDuHTcwTwJ6bpgSP/Fcb/S6ldmO8PcQeQG8LHRnaEA1+uID9wYeYzBZYZGpBfPxa
TDBmWeCRgWXBG0FHya93KbUb7e0h9kB7W+jI0L6vNSw0p4fIfVmQ+4ISAqgJfGNqIwiZCMaCjPZi
vken3VhvjbAH1FsyR4b0xRJaJByEhsFKM9QOode89hYNIycM6kxg08DIQe+t0G6MN8X3AHhT4MjQ
tWEalwdIfMCuW7Iu7uT4R10v2qr1hkICKCTicpzR3F+j3fiO5PcAeCRxZAh/0fEhXLI44RZwa+hg
MiLWkLmECxbG474m+yqyG9YN6T1A3fj+kUH6R5wFB3G9ACpwLJizr0HT2CZDNsuCD2S8Rm0u9tdo
N7oj+T3wHUkcGcLny+gQ1ErCPngTQy7yrQ040JMIM8yh1cVm1LSvPrvR3ZDeA9uN7x8Zsvc1LCEe
AlsOS4ho3WboDdq8zkTL9SIi26LN+2q0G93RHe2B70jiyBBW60YmByDMkI+Gai9wuG8YZ3C8DOr6
YPvkKAjeW6Hd+G6K7wHvpsCRobuOBjJ9EMr8PcsBLePE6145gHFj3QFmsOTUEtCE6mdKcyOz9Q7N
diO9dW97gL0lc2R4/5FAVdch2hKJE6j44FBMDVRqA2YC9VwWgR4Xr5Z8NJv3V2g3yCP5PSAeSRwZ
wOfLslwdIMEBDSChpRgUeLzO5u2ecbABEi5TSHGMyda+Gu1GeHRHeyA8kjgyhM+g3eghdsQA44Ld
rbB5+TUrPS7MBHvN4Rr44xHAeyu0G99N8T3g3RQ4MnQvV83y5UAZLE4s6ET0msHaVaIFzSyAjo2C
pf012o3vSH4PgEcSR4bwGexnPACfZlBC+51OvxbZ7qBbCAsJzQPH03dPfXaju3E3e2C78f0jQ/YK
dqN7h4iVTCiJh+JKwd+IlaB+WjAgWHxcLb+/RrvRHcnvge9I4sgQPk2yVREs4wPMX9h7DvvO2bpI
9vtnbJ8xgyZjDJq6Astef0Y8+j2a7cZ6a4Q90N6SOTK853XypOOX6p/He91QXcBuNrpdjwd70jmG
2nnyWoW5Saffo9JuoLdG2APoLZkjA/pymR2CdEE9LXTZpsCZv8/Z7aAJKj0gZkKQJNlEeV99diO8
Ib0HuhvfPzJkLzRUbR1g/q53JyLoD/Bza/lWWS06gUZRQKfxKEG9t0K7sd0U3wPcTYEjQ/ePGPan
HiReAkqFKNjgnx16dxVpwdS2+GjmvkOj3QCPB9gD4rHIkYFsazi9Y22eD7KpBTY9rAMjCX36fuSh
x8vE6wJ52KbMLDwq3XmvXrvx3jnKHqDvlDsy5GGjB3TRXx3gQBuTQ8UH1HyY6K0zMPAJhyMwuDme
4O/RaTfiWyPsgfaWzJEh7aziD5caTk86iKuGno2Q2lzP8vVny5RDk26oJABTPrLl71JqN9bbQ+wB
9rbQkaF9sXyBPo3/PNQwq6FLI+xkgkLM759xFgxWo6ClPpRf4/EGtr012o3z6I72AHkkcWQIn+vy
wx+QDYtXh1iroCdwSBUxxc+1irHLhu0w68a7ULf3w7qPkiXvVG434rsG2QP2XWJHhv0UDnA7yPZU
vj41A5Jg+O3G65Zg8AeP+grsr9FurEfye8A8kvj/gfDbp9P9OunPWVbLyfczAv9yQN3fX/3+gOBs
w5Ho666kHf28fvnU05ffP0IexGSIQbD86/jB9UAbe5rWx0L9zIZsyqxgW/vvH+GwQWgngCSFhrvr
HJq5btfZrn5dAsoGVfiWaULC3ILfngKt8H//CDXcEMtBjT40GoGvWGsPUOr6+yUBhYLQBhL2NRPI
s1NT/DrC8VrHvafTX8/k9d8f0jq51kFalTAwQh8/ZD++t9YX7g94pYXh/DTY5AP1pxhuN3te3q4X
buER/L+4KirU6Q5dVaH+7MqUzXhkGmfEqDMFW3GzG6ZbPa9TKi+7yC2nWgfYrkq6KDRLVZt2uQqo
ZOdFMdSKiqhRZctnTVvfxaLLLqKS2kGZMgXnRpY8DiYkaecmr11n4O2pdMU0sDLkZIE3q0s3Vqns
E9tq6UObFnMa+Ol97nm17WXZM2/Fma6zhwLTzKaJGSju5c9xLyNHlzRVedvOu6zrbG/QfnoDh2DM
cEjptWHyM5e3clK1yLWT1nAdAxe1Hcf5de9WS6v2nt1EtFPSp2ji9Vl+KlKZqFwbt1Us4mtZFVgl
3JcqNgum3N6yHDfg1PaMIVKp21/7HS0mhTRfyoDf+Cy/FFXgq8yPPgfEvK+0zBwjJKssYt3EHbyH
okknQV6e1tzwVTLguZvLF4SiVIW+P49kd5Oi8KLk5EuSemfhIO9xmFmKDZVWBUH3mRUSNQAIlZ9V
duy6qU0qtuzrsrNLq/ws2jpSZRZglTPutBRdi5hix3eDm0A2WBlJK9pF36PC7tPsGyqyBeLppRiC
s6bX3qkZlrc1l4XqGGrUUCSlbfFYhTw2lJXFjjVEncoNo84BMGIVSlZxGc2FLpJJkJbiSpKsn8Wp
IKrh4SlOc3nhlcWK5A1ScrC8G6OOkBoC9ixJE13mPfkWa9ZzVXCNHD8k8jL2C89O0yJSbsQ8p2JJ
NE3jNFt4kb7ykyKzUSyuWkNXNnTcQ8rr9bckoqYqsV7UBbnMdJbatTkUqgpooXCtU4WZMQu7htoN
rr/yzP8URVENDR+lnRM/dQbiw3Pz4OHGaaiVKIdPVtAr7OqnxHNnNcTeC5oaN1hk36jfT2q/m9V5
J+w04oWNqsI85XF+mvFk0VVsQj3zqsfRFTXrzpax5Arp8BG17gNLjHJeRVLbvmE9FJXHQG1y7mak
VIaoa5XnSahqhG6TvlqgNpjlUXgbBN6E1/GXFhVPTBbaxhEunb5sLkUR1U7B20JplF4wAQ+XUWPR
xCadceQm01r2kZN61jnK8bMgg+mUVf+YmaRWDc6mWTmYSldD7vRdcxq5A7KbFF22cfvkw7OecDNz
7ZQHudIk+2ym2YXU5YQLPQ19s1SCuM8VaqdWkSfKiNvc7iyt7Sisz7o+yu1expGd9uylatlFm5NO
JSI8z92C2EGWRHZEyCz0y68izM+SJH3A0fAJG+UN6BergTIlW3lRdGnsgMKONzStI3F0IfKuU/WA
bktpfu0rmV151I/toDO6hRH1xqlO2sJJm+C8ifI7WhsrP4tuBU+ZnSU0EYqabnnqWjDKUPhsnlh0
Urh57YSmEZ8mCbkJEUkVHJ/C7RyXgzK0FdmJhpe4F3FjE8+6CnUZg3o6dlw/jlTndTch1CUpl6Fn
MeDQ/usBrhsW/FlnfRF4/us5vL/++Z97ncB/3090/fOH62N8//zXbKXXLQfL8ZfWfvbXt/48FXbt
134dETvylj/OAn7Dlf7txff5WaBBf+NnYSvNDj+7pk5/+lmIo+Q6WoLYma5LrX/5WQKH4EBDCbSu
+rPgr3/6WXCmkPcWFlu7VKjvhXD7Tz9rwsoWF6aQUEkGnUbe42eJBBo/8rMCceD5sM3DIgLWTzf9
bFW0YRqTsLvKKtdQmagcyy3uK5L4dkj6yhlwqu+DBsdXpEqSu7J2i7mBcD2vBxfbuO6UJ7VbqZya
lyb0T5hUcdLZvRWuzIE3dgX9KM/8vHmSdZvd6x5mZ5TH3XURFGctKeVM1q6+T1gBXq5gdhfI84xq
7tDUTOyWCa3cIaEzH/WFKgc+T3vUzEthdJP1ZtRpFt2zITJtgnPDNmIhnI43KjHqayMPPCAK5gXr
rNbuaEgc3mTBVRx0iU25/Gog3s5lKz6lAwkectrqCx887bQaZG0bUdrZGB7MVYCFO+1QJee51uzK
awlXVSKTeZtZ0ok9U86zdKiU51mfdZm1imYh0IU6Oa/zfhZJ40sLXFxVuralZqHNfPBpNZ1Elocm
xGsWUWGcNVp8gmd8obWbKVTpSmleJyqN/K+socuOy04B3Xn08uixYGk8yXyvVa4X3FUUprkZG1yZ
KbZs7nnzaGjyucGTlen5sepSvuAFCVQ1pLWSLAynlcG8qe+2SKVs+ALwh7bk2Z023Esa90/gbeem
G2dwJ+aL25fXRpk255EQhSqqAU3yVlyagwQD6A6XTAPQVdY5ed9eR4n5RMzicWijZ8PNwOj7/iKK
uyveuj44aFwp7CHwJC05Xecf7LjuSqf15BUTorJJQue85Oe6S8REW6arGPa/ZN5wA1uDz8Lc8pXR
DYZq0kgqeG06m4s8Eldmj0LzCRgr60+tqowmlu+dGS4dErvAhefErCiVb7GVUUbToBZUYaOf8sHN
lStDdoGaeNGEQaEsloaKJPjctFio4qYJlYuw73hMBLOeRRORY6FKYyC3BWON3YgitakXPecko6r3
g34SJH090aGcAmsKFY8GeMhB6Z4afZnbHouw3cK0txGO56aX3cZp2jlNQE87IUuVRQm6T323VC6l
c6zTThUsbJUleeIQt7UHilJl9u6q78k8MAQ7jRi7Lyr3K0nTyrZgJgCdvqQli09byrhK2hopK+an
hijolVX1WnWiqOwMB3zaFfSuicAfuhU7R0Gb2TLtpY0MtijiOljgXp/lNManuQ4ApUrasfm5xO6V
0XrTdrC6KQUCUOVFENkyKWZlH2VAd3xH5PGTH7Op0BkYAJgmWWZ18GCTr5lfLmA+ZqeRYQknDjC+
8tvMdNza8G/DIPcWKXB1VQv3sskNrULJJ6SXA/CeBt7zJkmVm3U3PS5b1edZtMj7QaiaEHeO8opO
RKnprPdc6SADeGyWp2eej6xJ79XmouTesMhDbMyoztFE59kNN2QxHaJ+YSDvc2Yk5jUJg84Gmxid
GhA/2H6ULQyztb3Ocyc8zL7kVuh9K9PEkT5M4xsrDFdDOFQECKdZFer/vOqP6BXc4Nte9ecG+h2e
db0Q/OpZoZgWzpOBnjxwpsx6h8RfPSsUUsNWcVibIJTD3jYIbn9GsOtzuyGshX1RXMJXCLjqn54V
DqOCH1iQ4V4vSMPhwO/xrJBS2fCs62MKoVsQRMlweBmFcPi75/1LBIsbViSGTpKrgfkLE3wAbTRT
XQR0Hkj8tIGVExW68QXN4mjKTDpHNZ4FWXXl18YpGGVHtuQmxQbECnjRltkyqukXt4ztKK0uugGf
e5LOB58XKjJ0b/uW96Xs45vGdaMJT5KlRJzbEA2AlYvrzB5wG58lfQwxROQDNU6q9FGb/llda3EO
3vZa+BEwRg0hy2AZdiGjJ26wqeliCCP1VQaWSGUy/Nzihiud8ivBgJGSOrJUhNvgqub6hWsdKtb5
lT34FreDJsKnrBfnVWWdmm5yb/bdqqfDRUnlU+yW923faCeMvRm4uzPO1ly/4VdMW4u4isF9++zB
NAxn0NXX1ufTsikaVWAjV60U11QWZ3Gir8I2ugzbcJoZ2LVr1gZ2aEE8iAvjEaxSpvSQOYiF534x
AJ/O+jNTRtVpyuJcJdGApz6XydQI5dfOSq5ZU5/TWujLLL9B2pwmUTDpLXwFJ55Ma7O77XGjujAM
lFngpYl9O4iNzw11H+GcsymvIUKSTcvmZpw8BX39kBnIdJIBol7chZd9A48uj+ob1LmdU0Y8+ZTT
U96XolKV8LQyc6u59JCYui0QgYTx1u7r5s7vwwn8PZgGvIydKk8/1aCGmw+DHQVGp4C7zFgAEXEh
sK1Rf5Y3gEMYGpYKkYgd3QuIDHrzNhD6rG3dF5pnoQo4vweqdWsQy7SNip/LRLuqZpZv+1keq6Dw
bw3mnrKwoudMV77q8vBeuOmzQIGTuslN4kcvYVp88iSqFZyoDWYSbmqeubi1peEKBT7as2Fny9Sk
VacCy7VjHUTTLKidASgUULcZos08ImY8Seuun5CyXgnGMofyvLGRlX3WOplInMXnPpABO4/LwPb0
0Kq0w6Uyy6KDuNTCaujAtcFJg9nF0BcP+RDdulktbIpCYCGBgVXQATlMauBAcaHPkO7icwyRey3K
zwG3zqHN6m3a6MC2ApnYBh6GWZKGNWRRinYq+xTeTJN8zdL8TjQAPGs9p2fDJardF7cxsGM27FZm
4rZu3XlrphDWu+6pFRlCMXjpFbQem3aDiIGQpFQRLwJn3xatCvOisY2hX3rmUNqsNDw7hieqKqNY
VI3hoIhPcG9lCsdJcAXFq7NgIMmkj26NUGHfparxhiXElMuq4fde19xHMXbqTlxD6BrZrTdQuyVm
qMzA+NQLI1VVbE38oZr6fcMXQZC3CmgZA9gbT6VGvwRc+wUQiInOgNNE0HLFIQZdka68iJFxAUwY
UkSiTyeoH5YaqGKfVczWPOkBriBTfWtZqi90rUje3iVWq+28rPDMJZ60oTsE6NPEqdPW8AbCz7+R
uOtVz2JXRTSwlIiN27xGqzKBV4LyJFhoy3rIivyyjP1GQepxlWXoyjLaaRl2XBkkppO0tciU43Dq
o6E4dzGadUAjnASe+Fmewk1HKbxNdZV+oUmspxrYveMFQtpNU1AFycu5S3k317hf5jzQMwmmkUbB
NDdrw/Z9ejFU/lUZm4liFhJOH5h3bZi0yqP6Oi/RLCzofTaArdT4Dns5sfUAZBlpa+l52SLj/oLA
zTltgLhiqH4w+IBtF+jOJA6BYxYMXuqodL80fPhSVPmtX1Jv7sXGPAtxPUnAwCla1XeZwIlTRICv
aWhHmEVrt5abKi8pnsIiBlOR2dqXV2DoZl7uJ4rQ8r53208RqR6LXJhOHNWPVA5ojkmLHTh50T8b
yrBxAuEzu/fjRGkv71WMzdOiDO9Sbs6GrNaOG+EvbdRBjiwOpyyWoS1kRJSZcSUL8qnhN225GNzP
bXBGffMmDXMFvck/hUbyEJgJQJNWM57qSwL7KO0sxuUchXyFwdBPcCevm4DD1KaGOzdYHyuLD8Ek
toIaMrjU0bI9L7P4tpFkbnUxmF+g2UOP71IGkaXuBxV49SNQ21ABBVzk1WXDe1WxOlCe5V3T3gyc
WMtgRvICwq8ieMT9MIvjIjxPDTD/g1FcyN4ypk1fR1Oz6kI1YBPSdZkAtNxk0mbegklh2CUX/qCw
9mSu+tokc9rplQgS/6JNK4iWPLDY1mMIyZ1ZUQUWhFz50F9iHwW2XwLOVg8BrCeqSRC4tgb7tXAh
2LzCZqGv0GAMc7es6Glj+Zdx4QuxrGnfz4auI2CPRT4B5xFOZe5NE4YvSMZOwRotuAuvjqAEQjNj
cIyCmp8gcQ0Wosk9RUtj7uf0ktLSm6c+WkGktHJ77wlcTgjxSjfvkeEkwnJIhODWQcfSxNqJuvi5
CyDryzx/RhCkHSvXBPPg8c9+lzSzHlfhpM39CSSftCJkmPLGCGzoIXDmwcPOniq0wNS9jVxrbkCw
dxkU1pWZda4d1Am2oxg9wOMHL47jVdaFiwYSVtMs726Kks9CUZYOM610mnYosvsCZU4A7S8UztvP
adUVdhffMdo7PGYPiYRceR5Wig8RRDx8WgTxdQPzRJW6m+Iqu7c0fQbjel3JNrUhdxvaAc9vsVFM
wcDhWUsLcNm4vEx9iJEtSHmnHMi8DJMrSxa9ily/ngQy6idFV8H70Hqx4/PBh4RwOUm6GLLpnJYq
0GQ5lJCTi9t2ZgUhGGfBLyFF8bkosvPOii1bJ8YEQ2zBWgHZ83DatBBF5s0ZzNy5RTiCdQL/IRvK
zA6D+KLF4GojfB641Zkb60eW4c+tG4GPSK3HknQXurMauw2koUIDw5II8z4lPUptDBnCIVgUtLjo
PG+atSRy6kBA9j8DH23whzprLobOVygNnmLKFnmEY4C9P286Uc/7oq8maccvEixSmydgCA1/hljA
nZzReaTJeYuGs7owTQhnh8LmA38M2yS5Nl00OF4lDAjvC+I0Ph1UU8sMAl5iKpakvZ2VkMgUQzEv
KdFOgcInqwUOI7r62spKcyaLRs88WZbnSV70dm62Z3FoCTBK7iyKXWMmkzYEzulWMLlYLAZ6zytj
wQMrmXFfn0pgW5mKMzPkamgkD/4vHHtdTISs39+FY+t2EDuCMZD6FYyte7RhBKEVnECzDqz+THNC
nMagRmx9EBgQlI1gDBaj1wt8CHKgUCgKlaJ/BmMMavuh8wgsTq6bnnOK3xOMwUHxG8EYQ/CLYfvP
92JjCnnYdY+ivy4nem6O8jTR9eUADBRcSP216FtfRVFlKcj/OH0RPzIMxrTX7kVQiNZhuC3tIm2u
k1KfWhKSoyUjEJM0uVMawZlfhxe9BURUk+AOkj0vDWoi29ANcG6jTWy3JRd6gGUHF3HPTsrsCszZ
Yzvwr6Skn8GM90r4kk7dGLizNIZpTA0Dcmu+r0gBq1meUaggCz8xkX7Nev3Q+AGBlRAwDy7nn4oc
Ipgufayk8eim/ZnPwcCawUUT+eeVDr6WWiQqkNZ1YbLnWHpiksCNqT4O+IwQWIfC+guYi35CQ3OA
YfsIqHU7F7J96ElWTLyqnVI6VA4JIfkBaZ4YgkzxkvsNc0TMz8sqvm/TIbKFxyYsErc6kC95Ka8D
BnSO5L2nkBdWE7dtL0XWfIYlxGe30l/cnFyVOn2mkIG166jwJjWQt3kJkZeXyXkAgSkNva8xqZpJ
FovMaTkEpW2mn1ssLyIDEtJJD7w5I+bg9DSR0yBvClti6xwSf4ucuucpWOghyIppr9spKtqFJ+Xc
I+y2H5pvAQ1XVlLcm7Cu65rD58QbEgdZoCSAJBGsoratBTwVgXciXc5veFNe+LL7FocSaJCBZhq5
yK6LsFQJIo/UY7e06l1HBNE99ci3mvDmtA/W4qyup7DC9hmy0fNS+5mCWslpXdUBZLuqcMZ5/EXT
MJqSrL4kPkMqiKwY1nOAjSNqrD3aFAIgSCIKNMsrXysvyhpVZ4BaUpHWJrCEWtPAVPkgpjwoy5lb
ZmeBm+SLIYk8pwjdHhzWcGvFbNambFrnNLfpAHGZF0G2E1UdVgL4nxPX8MYxqzVsMcBL3JeAYUIy
b9IWw532IOiuUzH13GbqovpuEOYiaCNTWSROVZm7nuPFYQbGPnqudPdZwPFXwOGyJ4R1oVLt2kUL
K1ktCuY8LwxbG/4cpUboGFaU2gjpGe/RDKOgtktkyHnltz2k+sQqCfNz0elGZWWYwTJ2dcq9voeU
A6xSe0n3oHO2cEkRQBwBzJWb1VO59jeowFzRIRuuk46TM5r+D3tn1l2pzW3tX6QM0QpuaXbjvil3
dcNwlW0h0QiQQIJffybJSU7e5ss3cp+7xFXbdu0NWmvN+cwFun0XBSk/t35aB0XT2Bc/aaalnIiu
xTPehsrA3WDclrGIgkNcdbT/xubWqCI0A1SJdGp1nXtJx+5IVYsYPYeo74LR8TcxD6VucQllYR1W
N4PWmTTxnCfWZTTip5ql/LEeKcl5Grl72pKLio8iKFG/A8xdSbsVLon1eJ4ZrSAPCGfQSlEoCIVe
gxyqzb1SsRuPELn918ZSKq5hN884Z9rag9/BflI+zzJv4nXqtsxWKt3KqgmjEY2mz/g3alir3/xq
4VVRB/CSi5F2cfW9iQRmG+pDpsra1GF6+Ee9/E29RHX7i3KJ7ZjCrP+lXuJlv9dLAPE44yjCazTE
s5z2ldN/2ILBLzt/GUReBM3kD+Uy9H4BcbPvN0a/hC3G+5aQ35VLrIHZqyhWOaXRr89d/jvFku05
yH/1BEPUcBRJuIVYvBpE+El/Lpakx40zjrq7670hDK+1P1cCE4+gXQT3wfpp5tyyJFnLhp/j0n3f
1FYfHekfMcLVWcB+rIuty2HmpwkW/4jVdZC3ohanFbuhxhtzIuc2U4MLoRClSxHBNMAxGM9ZPfAb
QqoGkzlERFmpW72aDxLDWIhS+xEORJU1Zsg5hYyiEnHpwg2+QCqvyTDeTVRFhcIlflObeClMhT9j
6/QBFgN8yjz9WIQ54Gxcj1jC8oM4aH/WeBlz/MSYuUE9G9ER1PCdRvtmE/LUmrXNZeM9BpF55Xj6
3hFzIPAd2Km3XKyqhOtroJ00E1Qa/s7Ypo46WpYsSad73Hy3KoSQVm/+I/XYmNWzuHc+veho9Bma
7ogJ/l2HmJl91N+JkNwl/iXOOfzt9NTR6XUOxFm5OS76hsNdjF9T+SOwqgCJ/VOn6c/J17fTJl4i
5X42YQKTKEATjtH7Dt4QZsLInrpaYEQwEEE2MvPD2ohHLYKbeSA3WzBWuaToK1a/RYs+Jt1ZenqE
7Qaxz1IgShE041FXPItIzWCCeJeyjvlRkjk+jLy9rqHVwHRxT7EmF74dQdwwc5EoTJI07W6HFRYK
QIvkPA29f1yNPSaLROsv5jof1jY5NqyeCkm7pYyXypXR7FNoXfhTBodr4va5StihFfNdTOdbqnqb
E5KOxynsc4cF0KhkzdmPOAAHYzHw2m3NYjqdOxJN+eST6ogbrcqtWi4pozc1Pgr8TcglZHqIl+jO
cnrmksFJ9OUxlOqpM+Ep9Rwkoy1+MijjtOPPWplP7O0hebP5KotmCPfLmNaHZN5eoXUMBfeHi4oN
L2SeddFq+0RSg0LU8bbcWjKWwdI8rsRfy8CPoeV5III06XKhhutwTW+bEP2SWZ2fJcpezW6xpUPh
u2W247hXpqSQSvh51aQnayAxN8Hk3k01yILqoSqCSZMsaOTL3BSsFU+BwUSXpIKVuNeKMFxQjQwz
x14bjPR2Gk7O86s8UPRyHew1wKGt6KQIio2Q+3WRdbn241Ywv7sRPWbalTho+UGAyZtv58qp98aN
dL/WHsPggqxfDUWfS/j0oJguIXfKoq5ZmYTqmcbsi3oUzgELv6aNvqU6vaK2vRnW9dGHuZNB86zL
GFpEtnZQvrCatoVxm4n1nKjtIpzTXTOF8oRrTwJ8CvMpWb98PX3nZL60yty3A7mGcgFntwet0Ljr
IF3g3aMbz6Le+pncia45rZd8MuYLHl+Xtc76RevYuxin75hQKNQC0mS+AjTobBJfmBlqko5IAjU2
fMWpO2Yorjpb2vin8XYDOfYF9LPkUpPJHblGq1dvywVkEtA3E3+Ia/cuRcSzIWzCgxk1LHtuvFyH
4ynuMEvXYstN7R4NTJTcyb5sXW2LsRF+2ffRhJtO4ZZI4ut2ErJUrrpRbQCzea5czgh/rKrwVg3p
Y1qFp8CtSR73YATmtYXuPdxw7o0HzOLt62ShLVZ2uSKU+TlaGtzYkXzBnnxoJouF8ZRaAIN+/cP1
Ks7QT0KY6C9woD+soVpO6BTgVPjz/RAufiaiqFjg1YPHEDxfdBBmUay+VUl/UVeQdoF2XOl6uRcR
uEdfYvgRoLCYmrwSbTleuyyPUSyTE1iEH1pBX0+Hqcr83q/zWALh4Bv5wkp31It6EsckJfd4VsSP
OMC9PbYMen4HHa6FsAFhfutv6JiG2aTGV7RmVW4SiIfdClU48K3KapiAhcKZHQ09PUhBzQEd3Y85
FS9qwIVkq/6wGg6pHh95hnI35TYImsw4yg/wB/GeQpg8BwEwER520MvCBjdN1OJdWp7qtbm3qIm5
kYBURARBDautId+TFZdbwqC6SHwtaUF5DWSzRRNiYCQBgBYLIIVTazPSxE+RWY9Tv35EKrqTfPh0
Hr6dDuVrHBuR2QlmVzz3V14Qjzcs2sDQUZcx1p+o551NO0x5uPpz2SRUvY6tbM96G58C8DBF2wcv
ZA1vjTAfdmwPaSWfUOzpJVykHmhMetaC3zIxfku35hQQWOqsXlzWzhDv19Ceqgg9fr9qmHKhxa8S
LYXP2E/hFETDSfF8VMOGMSt58DB0lFFUh1m/ub4chk7gXpmrM53W95jgYjD14h+aJvnmetZkSUUu
BOfvk2QFb8CaOjkc1ajwejbcqQYoKHxIXhIv+jlIF2JsEm8hhT8gx/iOzvGzCuNjNbTutPHgS1LL
cMZ68Bz8qS4T19eHmLVzZmLdQIdfcfnJHT4Ra4ppyXuLgSamUPjLbcAHOxGc2vUa8EKy1eYxke+0
968bYevciErm44K5amnxVpvpuG7hDEsWKM9Mm5PkxuUigcNCjd9kow/kVUHSK+M0+ag5zLkx4dNh
AdIFBXBZCthzuWq2/VSNX7qEeyCHqijvRvKtnuzTlKYKxEiaK9tezdqLMj4DjeFajYUf1o8mZmNZ
teY881nnHU2fwn6+461N80AbW3YDmfMxxv0ULObgOGmh7fZngs4JN6SkcIP0j4F3d85HPce7hRIi
T2NMAZeM4tMOsKOG+Cum5BsJEhSBDjJjkzZfTHd14bf+z2WdLlNU8mxl0U+9sOOYzIAZuXdR9UFf
pBsoVhc3L7wDnTs6oJTJHOewAjBA/qAJv0JjEGZJCLrDm+XFEE1ePsxS3vhCnasRhkySNG+cRDBA
rfzmTUmfDTN5YB04Vb9T5zC1Lw49VxbX25CZQfXlaAKer9EMBb4Z8c8JR5EldgpLpcLLZFR3SQJ7
sGFjm+O++8KSpy7DNeNK3gQHusyvw4Jbt568+5b3U45r4TqIBYTQCPbh3AyPscBnhHRrgPbS4Zye
+mug1f1hisMLLzE/Zbfq3BPmZXRgrrqZPm2tuHBr+80PSVdYjSOV0R/LAjA7sXATU8NsgU3sV4Oe
Dj11SUZXbXAcUoWrVn6m6I3rJYa87PrPrZsuthRsEp+2s+/3rxCYC8Pk07AMTa7R5bEGRx+k/jmv
U8uOqhX4JWd2pG76imu0dEy5t6BDz7dID561fJ1Zf64qDIRN/14lzQ9p5tswHC86YbwC0/WhWnpU
ymA8rSN7cLVXuqjjMJ3Vo9Ng3sL0nEYEk6S8M1uQr8KDjRfUZV21pZiWq8mp8yyGvAWp7V9o6UHP
5cxv7tt+i19XJeLkZiTRgi9EZliKNYlh3g/k4p8Z9LcZFArnX8ygn/V79/5fRlC86o8RFAMloFMs
iA0gsnr/NoICDqGI5uORSViJhQHwf/mZfYdhhMfXJZBr8ejpX4Xe/5tCMZ6GmEOB1uNFfy8BgqU8
/zGFxnHk7T8LtTb+NYby5ym0b7GIrcWvcbukdaPBPgdPPKIn2ffkYm556ZlwyyOyrFm1zGdnVxSN
zodfvqQXJmrifAgC78Dl+i0hajzOsgOX6UHJhFldynn4yX0HKmczs6ugxqmZFAGZnzVshYcVpusx
nuLqqg7X+CwdK+LRD/KBLdN15IczrDG/Pjjm/TCV/qJQ9E6D7W8mX3oijxUgROFm0CLuni0yvh+H
rs15Y5OCtkAQpiTGvZXC6OdQrLI1HVIEOTpUruYg+UxOnmRVKbvdEJ/Fh9f7bi70ginc9HIBJImJ
jA9blZmg4fCoeu+28hEMcHOPr9Vpf2Je68HZd/ebgEg3QQPAT4Hot0FYyKYgGYs0sNctqwCK1xeu
909m6kZ8e//d4Ka/jDkAFGWWKFsq+aAiDXlJXS6Eot+KA5hoHejWrfbEPleXyTzW+VTHVUkxNcPE
ekyn6TTUNDlH43Y32WYtQCC/gG/5qSZ1M0L4B8hT4+yM7iJTfeMLTjcLKH5p0q9pCM90Tq8jbXXh
axKDxA3ZcWjVq7TtRdyLNyeNBr1PvhxPajj70IHb5XvUp59Dz8azF9aggHqTZH2MtwVxgyELal5f
CWGBK41aAJhEVVjlc0NRC2ynFBBDpGAIJPCyU/2GGIt+gfr7lsQuV/CryobDkV65wOTajs8KFNGh
oy2ILmjHhabum8JH37b+EuRioSgem7fkSKaonIfz3aChUUImlCUCST/DwbwuoGc63sMCCLyPoWqA
L4CcuugrP6tIEhx4z5ZD7DC+bqPm+PE+Qh1Q/zJahR3MAW+MiiEMzmRO0yNPOpkHicKNoJKvVYKg
bvSPYIDHkaLhLD2p0ZHG+sv2Q4zfdk8zJXTIh75pD2JjKKZVmjG0H/kocI9gymuzRdVbUUGvCVoT
ZIC1jnyJ06JO3G2wVCc/6oGG9bdxk5wJEYfZRzahqOx1iu+pQ/M4jBYhmJUBDI5fGPQAcBhQ8wO5
FpV0x8bzcoqmQ/fmlbU1LRRG80zJIS01zNdcpSbNjOwPqhmufX8+YmZ+0nw+NyO/Mt3QAWPQufDX
O79dTuEMTILZFFe7c7dd628XCW3fai1uonjoIQtYdgZEfOWnmGvNcGwJZqBEr8A1mmbL9n674LWX
5IR74jxLceXPApDQ8NZ6GAwTq2GgetVTyKKXedK3PlI9x7pRaeGkFwPsDqNi6s2a1RwtLpnNEVMD
Gu14czlZuwcbVy8bkmzZOMwaGaMARw9ex7sWDL1pi0E252qbPsc+CEt/A4A9AnmgoJ3QkMRNluJt
zRdTv/hVcG8sDPlAzGu5SB0WzTLFp2akXxD2LkMhrgQm8My1XYDLeixoJ962OPhWVfjcp0qxfDRA
5BrpPURJ+uZVGNV40N/7xNnM25KvOJ2PZiNrNvZJBSpruZ/q+Vj1/rel1gCmCQfOnVwAEQNdyLr7
doTGzgS5qG37JCLTF3AXLuI1KRfegsZwfpTLsW0xptqmbAFOFButr7fewngAJQZyof3iW/VtHHiQ
rR5a6UDUw9HV8mMagN0rzIQ0sVsRAidD4ieklxYxt5NJhgOzjGfbuN2vmNVKskB6aSC6u0CUs09O
aTVcpmm3HMJhukDytUYVqDG8jN16DCyk+jZW0QHY02s30YPh9H3UThydX+8q/nIDEv/Jj5arjSm8
1BdluISHSfIS1P4ljKaT1JU5bbiIcth7MKZDegQy+HPzhuuI48x2aQB0eKclpk8jxbVx4/vmeMkw
YGR6nXMYoG8q6YHZgH12toJ6T0/M4DTl5oC5+0QpzqMAlYKJNimipm9zt7JvwyyukUL6bAwOShHE
qlxamGkUwJnZxLUXIHeFZu12Sjd+9EP7DKMH5GcbgkWxU50vPoxGKJWY7JYs3sVLChUTtXMqlajn
jNSQOOH5gvXcZU/CMExPenoVUESjfm7BOaVPHjNvchdNwaw4WDG4NKALezhBwNZAZg2qxB0nYNb4
/X6A+sB4k6gPvWuzqfSWot/12r6RUVFBwkXNu7a7pmuH+tLsKq+Bvxfsum/azR/VrgRTNn4EdX8r
ZarzaleLzVJde7t+HO5KMhjWpeDOQF3edWbcZWNeJdFNzSjusl2NJgIUGOTpNQLEwnBO7rq1hYC9
7kq2IPJ7A2k7siwP6q47gqg9oo/AZ1Atjx5QDEyEI7vYCDsPpkYp7qEMtGiNcuFtKwZIT9+mW1jw
tYM21qg86eytY4iRAvC7ooHocuiDX8DxeEnD9M0q4pVkhLrO+/i9qaMoGzh5peNc3WP8ucZprtPq
OlzqYy3CCArIXCdnipzeCFmoVTXyiYJCFAFStmwl1OOxvvqnj/61jw4RYf5/99GP+5Mbpv/so/dX
/amPDj3sp/uTZfOHleP9gm3eoNRDz9sz1jBafufQ01/AmsNeQfMN3Jzu+ebf++gEEX14Q4DHMVCi
Nff/jpvjJ6Ay/tXNwcOXfCDyfoisGQDFf0MfFqhrZiTpehvFqT5Q0kJs7KpovkrMhNxWqu+l4+w+
odJF2bhE8CGiCklKi6w0HJ8jUpsIT+8xalHT6Mrt0epFQheeNVKnWFmft2ugD75n0pt4D2W7BckK
PwR6HYeGgDnn0VEjxZ3usUOC/GE/QnL16u2+Ewox2j2kSIY934HcIiDZJe/3KCMfEGoUygK5S1AU
ZsH7vEf2ETHw9rwg2VLgX1HSPSBJ9qgkhH599hpY1ai5iFIKZCrBgnxaZCzVrsLtocuJxgTtPIKY
PEU52vZwJvSk777vP6R7bLNCfjNMqC1CJDr1Hu2skPGkId6aPfTp+HJPkQLtEPhOkQoFsfCdkuAo
97io2CxqExKkYYQjeEamdBuSD0Sl4KnDBckTf7lc9wBqtUdR0SF0WR27Q4qUarPHVRF3O1RIyDEy
XvfIs0p02RnbI66iRtjVRuuPTfg3npjwP8nwIGoOQUMGY3Kng4SsRzL3K+Ld+HkVtUs+TsBEPSTA
B3X0EdehqQXOZy5nLz140/a5JYkoI7Zc9g52CZuAWmm9osjNwEzCTqJXSOwA9ROalPXDl2Fur2cC
nWwMh3JBTYdD/VkxRHR8xL39ir+va/81M64K1kR9gQFNHTxq2uuk9e+qCTlqFo8UWOtwD0j1PYG1
lHmoGHndqjifgB2jYVfnxTfPUqr7mXYUfRlCdQm4020EegqRtg56JJ7je2f5i+kxOZlOX/IJHdRC
4CMlMS7XREcVeAqONOMK3JW1vShVp+EZ8gr85Zg+D5VEW8pH0MmI4dtkKlaUfcS5xTvIZo6Sot6Z
g+ehHREgfirgmUaFhTVNAy0/FCAkkK2iHtIFLuQhWjj+yCoQHBtI8RPCTtdmj6jNe1it2mNrYg+w
Yda+bIm9j5Fs6/eIW7+H3SKk3rrYP8EnNvmCPJzrAUG2BF0Tq70z3UNz8QAFM9qDdBKJOuXIeVJo
l1dk7WY5v0hk7wZk8GQ4u8LjSP9FHsZRDnkTeT1kEmgp9whftYf5UqT6AqT7ZAhiWw818grrDyux
SsHvH8UeCOyQDGxHA2dkDwsme2xw4EAlTRW/QYu89/dsoZTNp9yQNlz96rjNKJf+nkTUeyYxRThR
7SnFgIu2JEPz0iPA6E01DDpEGgH/fe/3jKO3px2HPfcoVHCNLMqzRCDSQzAySTtaUheVMSKT1Z6d
hDCdL3uaUiJWaTCAMqmukO1Ht8CgXqPvfjWbb7JmT2Uuez5T/5rU9HDhAU4Kb/1GJdCsok18/FMe
fyuPqBZ/UR6FbmBzz/+lQOJ1fy6QIVZ4BBG2b/t7YvnPrAOWiFA40mmAR/n+KagV7k+DRL4Z4WSa
xGD3UDv/t0BCg/o1noU4NcqLB9Hp7xRIjyEo9q8FMsQC2X2tv4+yi19lL6B/DmpVswaKFqs7N1F2
6HezI4TdlW2hBb6Di35Z9+OcWgrGDv4JbTtMI6BOm3O72y6iq/Q1KC10v0EwPkr4w6fIzfrGNtXw
gVx1d2S7DVS3bGUZ91aRDymxQdZ5xN3pqTO3o5ThGxLJ5uBVfpTkVeWBYuur/qYBF/eRIB25uhZz
kOfBZ+e1PW6QkJ7geEVv7cKmRwvc7Nromp1RABWqxkyagxet6jmYqclQXfxPFc3tawQB6sQjnRb9
UOn3JUhpCZ1GlJj9gS5LO13O9TLcIwKJiDV4CS74UCzWC5fbmvTh8lNpXoeXHgy41R2MauajBw2N
fIY8lfVNHbbzmI04ZqZbVmPuZtxz9WONWxYj9AwpejPBthN3KYHhSLEZAf6Oam3CQE8vgyUFMMtW
XMYEcZRMzDiZ5OKPXenbFPh75d5i2wbvK6YRlcGZ7g+8jqOLdY7XR2PVhnBOBHMAgxq95LapEQ/w
UnhFC/+BK0nktN+290rX22cs3Cv8tUPPxQVhShedh8S6jWCQk8FywHHejAg3YjOX3DPrVaPcUEQm
xY4R1ymChJTl4qA7A3UJGMyA/O74EmJEO7ep9xQ0Y30aCOIUNWoxavtkTrHU8WNSD93ZEJM+DXSM
b1wKL73z4XdlvolgpmqKBQpLm/4gIPIuIL0wmADdrUw8UkxmcceFEO1K246jKVwlhi9GlD6vQ9U/
xF6izxEFZco3jyFkBZPAQVq6YhL2oyajxLDPFAZVtl7pZlNv2+zIJS5engO5t7eST9VrsnX2qd9d
rFk58UiEG+7q3f9CxpW1RQ+kQKNTCD2ID2ltSu0iXXAAtbCUkMo4+Yv/mSKHH7bBBXM2uF/jKQER
qmLvE9tPtsMoUNDSQSNKb5Mo++cs/u0shgz/V2fx5zT9F8l/F+//OImxuo96WNKUAP8B8ogz9U+j
CkWKFiuf8IgiEGkYcP5vVGEMD4BM8BzQX09pfMPfRxVMMXiaDawAEN6YL/5eZBbPyfmPk5j5DOul
gJzRX5939a8n8YZpu/aVwDmLiGFWdZssY++74h80zbYIUsoU91ciWTCK2BRJhAFfn3x2i4DR7TwO
hzjhD+08f9d6yymwlaNu6td+io7jwB6CPrke0tFkmr0BOEdQwJlyY82liZjOOLgtBPMQ2XT9N0n7
EcwIBY4LHregYnhDXKuII/8yQhaz8yDg7FEgub3C3xvzzpmLOurL1EkGSEic9AwiRvbbq8fZydaN
yMPG3DlWv0mskdkSdYXh4RXJ5i5rIv+L2P5lnObnxuv8LJyjw5SSw8a2OyRPWIZ/2RHJ2zmHuAnQ
GDEUaCrQOit7NgK2JlnBQfXhkY3kMGlweWuXPI8W22wGs7Iz0qceqFBsUKCtyqUlJ0RJgbCIqTrN
GBpU6M4+8qR2iB/sANPCdNNTG63v7QB3MR6TC0ToXzAJXqLYdflA3TVIZJDSnJEykv0JQUWZu3m+
RM7oHKeQ0scKB7L3ofv+O6/mpzWJYBeHOIu3xH5vqMbGqjGA+xB+BgyOcxp5T7+uYwBzBv85rA5G
Q81Y7RKjAVwhsK3HJLHlgCI6a7xnnLfoxFcuY4SfJRSiG+OMV5cVGsIjWvjIXYKCX1HBB2rOKkl4
aVi6Fp5vEM0ZFZ1Y6YuwWkqtA5O+t8toz9JEvinihrouc4FdwxynMsaCNsQGiHocc3ie1908jiWC
wT/7ehozLJnwiwAJGYAHCv9laWE3/TOu5jBPm/ELzUacrZUs1h5kLvPWJcMOiAe2p5BZwG5IDcrE
+AO+B0WomtSvrQvf+sTZfHHL4zA3NYK0gyjCMfqQg/7yEaDezLRmC2ufOVbvZkEQQI8FsN1osIM9
EaW0JijDaIHFj1ENNsUprKe3pInMISBhW0ZV8rbusMIQxqDLmf3QiY9AbQtiee0MGgOhE4yVKb9u
ObnhaDBg72Mzg5MfIfZ1RB2ul57nUbNdxn1/lGq4XwLom3XjnoZ9oogVP7ZQBBki2hmn8UsF++sY
4SuJZ1/4Nt6LCnHFkOgrq9/6KMLCi5WoSwKAUhT4VkCnAdCQuAYGj/1ehNQ6bycHDt3iE5f1+DDv
68CaGvlF7AfbsCfMYV8YHi0+5W24QMYd12b6+U9d+a2uoAz8RV1577FcMEcE6L8VF7z0j+LiYQVw
4jE8YmVvyvcK8kdxwTMa4CYHKCFh+OtmhT+KC/sFywLjALUnxLq/vZf/o7jEvySoN6hF2O3w24rC
37c93f3/NwqG3r9HgEBGYb8RTcK9AUxA5v5rcWEe95D6jNStn0wtei3kKj27rqVzAB18x70zAnaH
NljPfQf1JUv7+q1L2UW3iEOSGkAV6obN41lG5HYjEOdDZJ6RT1NXrWBYQyCm55WCFgTDUcBWQr6H
mHJZm2/xBJeVmg39IUDVXkl27xBJ5Nm0yYGWbRJT6DSRpQjD0putFgsomnA51tjclTcIAGU9Ndg0
4KXlJqGqeRwnGY60rVIiQ9QJaxBj2xU4jG7cOsA+WTeZQ+uLitoZrJdZ6NOCKsbkWlrf6MIAfcpj
Cjc4mqKfMf6d+bAvShjTfSHb0qqMOovy28ufqUiTcq2woW5G2B9R6fq89WF1bgcZg291peqRicF5
2F5GEbFXlcA2wgprWvJwkk9i7GCEteAeJy5vFTF5JFdAbRuQyHj+NokxzttmfIoZvx1GD1pBYK9C
J8YDyOQZm176uehJu0cI6ZinE97TZpyvB+hHebOq9rAt5DhM0UXU+8+dXB5SiR6hsjLKNuudWDAi
5dqID9BX17zfbja/QwwcebNsltNra0he7axbI4YrCOqAVEHEw6XH+qfNGbiCFZbuKRmgjEpkp31w
ACa+byooZIHVtvA3Xo4gEg9Y9ocVQMiP+lTf+PCgwpEgKNRddQjtg2a+DLDtL+9CjcUMuGYwb96N
Iob52OCtocgdlyEUNo0zVcv5OKI0sqhuDiZVBE6DVKfG64tmIMdJkrvGKX0NUh1iEJZo5XMSP/ix
f53CHi+nFehr2MGIAPQFyxv5/KwNjS4lbG5kU6tSc/3Npa4+LLK/5mH1fR2X9dDC3eE6iDHd0Odw
HL9DU2SFhx0k62hi9Bz8nlvvynNdsXF3Ay3lA0v9hqJbNN5DHZ+RaAFJEUdXZta3QumRILTC2u0T
U2tzYrCF02Z4bpB8yZdtudRiC6Evr82FTdwP1dAHE00fybDm0wjaa+Mwv+Ni0PYiNehpqH+p2vpG
KHXhJKK6ChnfvmmKUcOUbKvZnuMq+tpiMmPrhcVqQTFXDONHv2yAjLdrPk766IGJwjAbORjQ8QV2
WgAomI6WbbpcWX2yW3A3RW+aeIDI5vSpT72slfxy2gNGnYnOtg525uJu3vxTtQg0NNF8j8MO+hpi
cj5wNSI4rr6xugOJd4WHjaE1SwxWg4oH7FjOkbt+3AY3ZfE0B1ntBFZNTQY3Ssf6Y8q94DAhnncI
mvjYYuY+jS3BseTXWIW1gjIgM66cfgAE3Xt+iOWcWNjiyCsL+y810Y8uwbqHULXPW8+vIu9/2Duz
3bixLGu/SqPumc15ALr6gkHGoJg02RpuCFmWOM8zn/7/jjNdKStd8l+ou0YBBWQZGhiKIM/ZZ++1
voU7a6orHR810AS5CSzXSqovdi8FByeNjsAwWCZk+TIvmRD3Vq2cRy2D2IYkTl7Glx7GFYKU6Zoy
qNppxfColBg5dPl+ji2aufXaEXLAfOJ5sfVW30x9eFdMTu+lI1A2e94MAS6Fqrl04mwv41u3hnBY
TXF8TizG7LGZbktYUxeWZHyyga5y5WEFefYWGJ66iQwO40utVD7u8Mnvx3jr5El/ZZXOtTG32ynT
41WRDTloK9VVoSSI5qHqGlbn8beikhF4VyeunyIYUatuBj5iZpmPtPY1dJ5jDgNtp12nvCfsAwq8
xCIDjGFf4qtby5HEpzikulsFVuMOC0CZcUg2VICWGyeZ486d9DXm16FTrD3DCC8yIzzBBkWR2MfD
XpcUTgK0ebaGOl2LCQIaAkpIALVebxdbZ6ptHtsmRKoxMb/0UlvbR0yKkGdbj3K7xDuWYwTvzBxC
fVpLUX2jxkiUIJus6HX0/sSYkQZr+5yq6FwknNONYeG2rmtopkbDXVPd9MZ00NF2riQN7RNKIyOt
TmNZZbtKGc+oVq9lhrtSoM1rw7T2Ze1sJUUab6Nl7tdjr76kTk9Dy7KgvFgJNgZEfv+pp77VU8qH
9dT3vLe/9kzFz30vphT9N05/Bu1NAxLeNwXe92JKMX9TZKwRtmqjmfrWGP1+UtcE3MqiCCNW6Y8S
7PtJXf2N3o9hU3IzcCRlWP+XeqaaGBq+xTOLI7qhUpgZqphgOuIk/6ZnakVIYCeaW8dJA6OwVlJq
r2MlZlWv8rIUhozbApAhe1AsW8u2NHFdwm6bEjyWpg6dR8XuYBfBuG2UwcLvaarPTDlaRD/BU6Ok
N2y++eWMGwvBtglAyGBdBi/ZHkvTfIWHkXhpzklQKdp4HfW9xhg/bvzORN815IpxWPo230lF1tWu
kqbAByYTC2dCf+tU0SJxB0iTidmlezABIKCrcV43BgqLrk6R5uVIo3JHYbHOFHh6w3yBWfJgl12w
z2NwXankpIAvGfm6tsoJJU+NeT05VuQBEFEhF0wpEFyr8uqJNR2FNIIYXXrITOVcmVNxYUX9rWIi
eQpyveTAZVbYQ2fp1CTm81igFKtLS9kw83hdkuTRGuM2Bx+m5JSoVgAhM5k/0TYOECJHPPIaUtso
eenCRX1A0i1fLRgd1gPIX89qM+qSuUSnEzqFg4IvUHxzlKULvZrkg4FpZhNHKitN05uHhsfdzsLk
JlcACEbzrVQB0y51mguyXV5ZJvBfJwB6SO6T6UUlGt8ltSCbyaPiQtSVDkrETAfPXWQ8DFW4qwJZ
o8ESQAzZhLkEYgaibWM254jPblDTND7OSlyzvYWKKA4SfhNbiiN158p2ajTrKlsEKotZvZXUPot3
YJmXCzjVzjkeQGJD97JLXPm8CcHZCTAlRDESwkFx0gM9VTEJW244ESqT95/V6/fTIOORD06DEfS9
nx0E+anva5eKsFiQ+WyqHtmxTKQN39cuVSM7hFMYY6DvwIc/1i7srRinOJiBwmLi8w3n9+e8h1RP
1jobjAQTGsv4V9YuQl3frV2cQUU/kxRQgyRf1MU/rl0oKMCEZHV2KWcWrh29b10FcdRg4WxEKXFG
typgs/ExzeihNbO9hWdQAS4Baj1M9gsV3RHYxa0udFiFUkOEEtqsNoSkYGtbO+vXJuKtfFK2wNb8
PMdbNuICoPX60BooIoXuS5si+uZUKBa2oK5/sWigjAjFmIZzaEE6Vk/6M7OxTYhuF9BZCVwizvtt
guAMlea+RYBWqgYSq8SXtCYCIT4cTLX8ZCFZG4V2bW70eIPh8SmjH6LK8n0kD8baCoJ+VQntW6Nk
MA8MO3J1s70wpm5Y20jlOiGZ0xI/jZKbQGjpJqGqG6BuFooeui2Cu9HM5W0uNHiaUOPR1AM9VDAT
k3Lr7GjZV1Vo92aVMUyMw8KV5uC2ycrXrGI2LQvNX9Emx1SoAONQTf1iqDIYRwBhramcWT5sn6Ym
HVV0hCGCQg4H0kWOxBAwH8IB1rLCdi6UbypEozs6yBJrTgIc6a/iKZb8XigXZzBMMlJGZmw4rdTi
aoo45+vIHRNkj3NbSbQpUUL2cL1Ws6ndLogkEah6o1BNxjaNVw0hJX0E0LPyKy1lc5ssk+6pQnUZ
AROF8aZdEY5wFyW8/lBoNBeh1jQrnRM5e18llJw5SLsSaacEum/EbabHLQuyUH7KSEBjeWrpEKIK
LYvoHnnmNVRWBMc2k7NF6zdghXEVCVVpNzuGNwqlaUbLkpoS9SlAk3NZ2oJcwueOPjUVSlUZyaqC
dBWt4aGJnXjH4mqvDKFv1VWUzY7QvOZC/Zoggw20EviRc6hjw9plsH5phccnOSkf6qRm78rYD/u4
QeQAD4gOtDsKE4uC4rZW5EsVBW5ljDlH1GDfoM1ti+pTLw2bsi2OUVmuAas5wCbjFg/T4IB0Q5No
CrGvLQ/3wnLUDioe12kzxtXsJUIgjATkLM/8VSiHSyEhTp3hxkZTDFaqXk7dcAxQG8+yswtRHyuo
kFXUyJmxnLElO96ATlkVguW+53gsJMzqQsPHTDI6iTnoLcINApodgmLJLy1yo1rZdOLpMuC0zuXh
lUZm6k25RpNYCKg1lNQTGrwRZbWVTP2uZI7GKR7ZtVIYu0gIsZdvmmwV2JhLSMO0kSQEnoYQb5dW
BEFQCLqbSqWqR+JdCrF3Puhfe6PD24YOvNSG+xpdOINR3J5CKh5q4+Xc0+hIYoaSc2d2PssR2nKj
L9Rmz4i027P21F5iV5xLproGQZt3O6PIE3Ot9ZVpfBrk1MarqTfKptdnbMpjXbBPW1Oz+HaPo9a3
C0nHojaomr1FyDZXeANQR5xAAMz9jSPnSnczOo2k7fuphx0Jezq6bxZdHc5pV21L4WmtkjnzS+Fz
jYXjtZaXJ6jL163wwnbpdKHjUFs3widrS+besKbYoz2nuz1mWpjarZt2JihOjLapZNqrSGCXFUaY
F5rw46YFow6+HYClUT5Wgf4UJeClOhvJsrbUr51w9mpRKXPcx+0rC99v0zUgyLECz1XrgRRP1jRP
8Dk3V1LQ73O7fOT8/rpI2mqchNGXthtHeyNbtdp0Ec0MUMccI3v1FKflNdav0e1UI/JpUlpu1403
spqcAozMUjI/ZJH6ugiHcxsar+mQfy6AY0rLBZ36xNONxg/wRaeixShHMtwEb8r2WWQdZShonoOX
GkbjLvpmrhY26zrGGsjNeDKtdGHg5KAQxZVN41X1RvyfHraS4wLi0zHAqfEuVFuroGfSlnK30YTV
u9IrzxLm74V+AjZZ6bZLvcUI79QGm7itJ3i+pDTx7NQZubjAn+ErB+itrJYJdbE2Yu2lLVOe86ka
fQtHemV3WNNtCJGhYp3jsThyUs1XU0XJVYBfydtt2HdPpjNC8BRWd+F5X4T7PRA+eCPpPwXCGd8z
5qKLepFIKa8R83wvXPQ8dYAmuwVnvfDYo2p6gW3wiQV6LcP9TPOoYzCnbTXs+fUQb6QYv/6Acb8e
tcsBGZxjlF9i4ewnyeqko2/Thed/oE+5CRalWRlyswuFTwjXYuiqhpO4EdgAx2BuNiAqTGy13rRG
PK5ivT2ncX9JJbJGNfmZk8SWoX6E7xouwdzrk58KVgFhmBhowNttJECLKyw+JYOjYVNIkrLBfGnv
0Dg4qzbKznIlXMBAEXoyQ9zapOcBLiErStmfSzZBQVKQYvTZ0qjss8IxV4zRaQ3zpKE6UC9NwWKQ
WirdrpDz3SJIDSB+sfN8ozdY2k7X40toVJ8luQzXUkG7mEWOBQ5b4JKrPBKGfak2A1wIRcs9E1RE
UYZ3mlGf28J6XkBJTKa8Zhh/XwrKRIg/pIM7EeTVvVzaW01HXQKXQkuklSZAFXIW7VXIFRgXNr3F
pJ+CPIRsgeCgxtco3xQCelHADmatj/7TNPgdwaZ/6Oe7+TaEcZ+aLz8fw7yx9YFbw7Oni56BYwG1
oDD/R/UtE9ipygxUEAMLzfKfM37jN6HPcsCt/V5lvxnD0FQw4Q/adBaYyotWxL8yhnlfezsGkyCV
YQ9bimNqvLq3fQMtosfUzbl+isDGtKdpenhzGvlj7PM2OOonYx6RFg6FTuP84Rh4cn+8Qh/gPAqQ
X536xfDphL3OlX7KMLEZTfdKYhJcrCb2cl2rPUUqdqrlbJs68XurYnApmeWmHLVNYZFy0cq3Sc/6
1FZfpQynm+oceoOdpe3S0V14tpVBMdIDRutaO4dg4kbAckx4eRNxA1FiA4SdlxaSirGbojZ4RYR5
1LQ8Mr0ZPihkjjj7WqsCfbso0G5bugmNjPA/ofXL8qI/k+OTrzvFCpEPRPVeIc+FJdg+WxWj98xu
7p0m1Hx05viEdR3x58Q5XFNLZGQNlvS5KfZDEz+mqnqgmePhgpkPY4hgk/VnS2LAQru0vg2MbKNx
3LEjZNY0bx4leTQ4Ek3kFknnbhKziXxZ1j1M3bDqbiy2XkmmL1w7DPOlLTCqiw7jMqXJfDWl9gVl
MlXk0nhKB5PNsp4CZWAPtZJt6Ehen8ZPXRuA6LR0VzfsLQ2Hs7Tw48VIFJT60KbhhdNb27w2DnpB
cdWowzED+Gbmmt9UEDSwJNOVcD4n8YLzJs0u8TQxq1mwjMTyQ1Wr3WqWkgtd0m+7TIHsscB10Bb9
JtYKoo1azl69He/mDJ+4kWC3CBJzI9cxqAMzfex1xx9l+DFyiHqs4FwUhcXFxAjH0Yc7vaRsiIwT
SRUPbbewX+jXUQ6Gtxc6P304RmOzK+eR4jS5iwbILrkzbrNhPERqdmPSSMfTlt2pRfsZKdYdWoF1
2ZgXNvxgaWoekcxThHXORtLaBwhnnjrnlJPz8jWF3MykAv+W4WnpdKjGhOiDOiSoA3kBhKUW7YgV
uKFpPfIUQLxIHsIgSLAAdckaNA23Tf3KprO1wbfqWvXYN/KDJMk3rQUkPkWmMEzEPxjZlyUNrtKc
JnM0h4c0adKNElZAiCWL/jAOwQpADzMKoAd5/sVRoD1IVYT0erGMoz1hdo9jkyNhhb3HMG8SR7/v
q5bNSWXKmFXi6UmoopRkT5qbDS5wpI8OKsCF93A92ejB+7nP9uzx2KFMrfWdDPKdqseBP7bmKexU
04/hC9NqCD0kgfYXoEmDH+EqxeyJD4jnuxkC+AizBAMviYf4NDWxeagrk6KLt4KavgpBLjFESvDP
eHpEqz/rJeJrFnCuRRek1yWHgk54+ffU0sAaZzC4dbPvOrJy9KrdASxHRaNhXFXUut3S2Uh8LKIH
E/Gy26ZVgS7S2CD9Zmw7qQrUkKzyy64uVTbo7GxlMjp9DlxXTDFDFJ8Yjpb5cxNoT1Zab1nfjkmk
4BRSIOBTUR2C9BsbSTHc1DSmVZeV+Q2STolHFWsR8J/iehxgQquqedZjGxYF6JxE94jZ6z0yx/ZW
zYEGgjbfP14VPciECrI4a9RFWHN+0mofGvWqWrpDlkgMYaKjnMl3gPJWaEgvRifINsWUPlJBkgoW
dxSJgblXiOkjriS2viDdpBeAVzV29XrMbxEzjesh1jaaBVedWp3a3l5Sf4nj5rjY6UlTq22K/USp
TeQdbYuqsufUOxoeSx6SpKD3Q81sdtk8fDKl6pZ+74ruYp95bdMDKRq73GHN6S9G2SwfC7wmrL/S
K1NB2Zt7jnxcTvcaAL1nBtQAZefUGrbwjSjUmN1jiXCiu6DmCmqf3RYk9yEQkp2Lfm6SC2Z/p4Jk
Qnxdmr3rmbS4emndGnWZ8P8SnfmY2hJLpgfB2kjrWzPAZ06ezv0SFNiA+7Jdw6NQMNohkkVCuqnk
odiUc12uMn7QbQajv4dWDBfenoEBMZ1koKZH3VYfiCVMx2qt2Tnyo7x8MIdqV4D/nyyi3VpxOLYu
0nr+JEeJP+ByAKUWfeoz9RYftkOyGVFpJdgorwwyoLt9Ai9Tlh9osGmeNun1fY+XwKtKJEn49pAj
wTBEyqTdqxPsMfTHE2QryVklPajJj7fnH8cGNsMHKgzhhXIITADr+k6DgSuCaUKYFKeOE4gxLTvD
HK/Gpl1/fBmByXsznvh+HZSEaAkRNP6lCOgsgcCMilOeZcfWVD+xKl3aBNCwXDY4mQE6cTraDlO1
zux026rRIYJvZKvFnpXqYARQHJ30Kgr6a5OoGI12Wg/prQgDun8oW2ceAX2xT6Yc0iz9Rzv1JwXM
T1+5ofJQ6hxTYDD8WL4YeV/GnZMWJ9hfhOncyrhwovJ3Nx8haqSK/uQiDpL7H98fhx6s5qiimYpr
03r3OaB3r+Y87YdTFYJclUx9B7tex1les28Mg+EH0nAvISm4KhzuQUfeEcyIe2YGPxtoDBiSfB1J
S3/VR5pzU7Ar9eVwIhcs4ykB+W+oyeIaZXiKJTAoATPJUeW5MfMxg0NgLNeGkj2lXbaiBxlvlhEX
cauYfpTFqZ922rPUqGtjEmGYWo2CTudwWta4rKKG1lMIFHWOzF29qC+xbj1NlsgvQDAKZ/s4M0l2
LWuWACSNyVFGbO0uUx9RN9H/ihyIQ0ocfg56Jb+tRwIcHYWBeV4Z69asUGgr9DpLtjhFCGkSC6+P
rJ4N2cLfjGeX9T47BPJTT9uGdhnr4oMt0a2xkJvMSPgJ4oz8gkAwt0Kopkmyx/mKTYzHzLNCSPqT
lG+bDqdnrkwXvTw8QfyKnhnwb2SzzsG3RUe1FEjDtl7DziLnihlyjgju5PQK2LFl2tdWe/z4nkP/
+5P7QdgvuB2gYsHb+PGuCwgUKPhad7IU9UljuO8t1ZCdTEKUcM5Ej4yVUS4JBqo5IQfJsOlr2ZF3
ZXGDKLW2atgeAdAj7VGPRmnfazoIpjY36nXfy/ouN9TeDWM6iYM92Ogn9Xyrsql7I8Mfz24k6hEW
Ihnwwio26pswB5SuRMDll5HufMfpt6jqtZkvz01pPjmqYawGheZtk6ufTLh6ejsjdYRcA3qjXjUG
HfdmNO8T22Ripn41rQm548gy4GRbs5huyf06gPKAYKXdmAZC0akCnqbeYIQ+pkl0QzP0OrecjTl3
93aKFoC6UfbNuqcWrAe/7XHX2UZLbzAhpCMABqeY0pPEPYG1Q3tQNOleiSBF17BxfHzH62EBBSVN
pa/ozUaWk51TDL5aArSKBlANnbxC4Lq3moS3BHG9gugJWNutNlYnx552bTk/oS59rrXmqcBwZ8y8
ToaK6ZCeIRIdrMJcj7jTItjzq7hA/+PEVzS90t1sLzQUZ9/MAi+vKGhKM+RcwsM4SM7VWHevsSUh
1Zxlmhxkw3U92rAW1FPYrUjlPZioC2KNPqPNKI3k0IU2KRVq2kcH8nZ8on/uShxcoRRfCv5XGJVr
NcX0yS4ejeHWVjIGge2aNILCoVXhKQAmvSwY1x3be9HkldfTTSWZggBUgnSXBGGzg4Z0VMJx1cos
uouqrBNy1wDnXwa2sg2LDmNHfShsg6oXjsE5q3Apzpl1oYfjvlKTekWyBJ8NQbOrUU62UTUeab9f
NhkgKi33S+BHQPEuTcO3UkI07BO8I3Nel/oW3dBdJdMny+WjaeCznAL9kEQj7D9oSfteHaxViwVt
ZSVBsaEV7lXUDdtyRlc3m9a2GahCrBLBiYW6eAga5Rdb2y+e1G/DrTeDdzVy5sSp0v5ksu8Dp84J
KpxQwgTjOW2OCieWj9eGHyk87KTsFG9WBu3dcVqNooLTBStDWb4o1tdhIogDxvb9qG8/vpAh9pw/
JQW/X8nUMR9Yio1l2RA745u/bGy7oU6QMp8WWKp+FU+wPQL11mjDcheVEvfcNOyx78tuqcjK0a5x
jkB3kThMkEpIygCfjCK9Mly8mgqN1p7Wf8bofy5l6yajfOPUQ0C0ejOF+DyLjhyNLn4sEv1OirLq
OuzTwTeiqNvkRr83EhkxouLPCmA0SrxN0WnWnaM6N9WCnkczLnqt28Waul9C+sWVcx5TtGJs25aU
7lNVkBoJQohsmqTKXQ5RPc6C3QgWAfOm7XZG/kQTlwDEMXyoJ6e5U4UvVW218Bfv6o+Oir++qcxi
376pqakX6Pzt6WRPj9HyZbZ/52v900riV7//3caBm5waOUznU2zfVAl0Pe3TL26Lj+8K8939BxUJ
goIazidDvYx1sBKdL0fz713Ff/pXiHfhr7ceo2dKUgWX4rtbb8I9SuYOf4WjrtTuuRtzapJP8WT9
4tNQf7zHDdmAmGVZQFhoflGaKu8uNCdxQb+/Uk+UMc9sat5ttib22x/ceHXnFu7dzlwNhy/XJMZ8
nvynzJ+/8ES3W2338buqij7b+7/4zWP97YW+edgc5C+Vg9T11K0HT17J/nTTb/Ir4Bk+MY/NWtnw
Pq8R7rqyG/kkOA6+fiqeP34Vxs9exdtHXiw+b14FEXCZrTa87/dYCnyGK2vn0nLP+LQjb3NnrA7M
4zbOCdDWtrgxtreBF26mLeueu2xKx209Wmee40mHflts2nOErNINvc+l25/k1bwxds6OodW2+ZSv
bz5+6dqvbvx3FbSktjHk2Zj70i3dat2+EFZ9q3hIWDwGLF7sF+v8otxcPh/8fgc7cFolF4hnLpIT
6eErsiRT92uw+vzxq1J/lDb85XE3xdffvKFxXA6NZfKqop3jRqtlC7zktpDddIUrx3SBtKyId9qA
3tuqjzTS/I+vL27f93eVqf/5HL1bbVhqyDmt5ukkL6VvjeN+kdLT0MM0/Pg6YlX56DrvVh0b4CYo
xWw+UVO7w/gsT9vR/DJrfo3XVarWH1/t5x/1P/6q94dJKWfxN+qkByCTcvK7rsKrf+8C78582kSk
hkl89yk19mpCH9CxvI+v8IsP5psF+s19IeWVXVgzD1pZnVpi7yr1funtX3wqv3qf3i1urZKRJWYl
3WkSn8qSrbDDrf69v+PdDdaXS9sXbT6fRoTusXnK02mFEvrji/zi7rLerUpmEEozzTl2AwayulMw
eO9wfvcrC8hnQpzVgM7740v+9PMRthmFOYvsiLzvt8+trYGCqOKuP+n5a8O4WiOaxtx8fI2ffjxv
rvHuockIVpLqSJ9ORqLTv7/K8190FX51gXdL4pLmEzPaejjJLNo0o1Mt+8Xb9G1//OjBFxvKm/s4
Io1bDTLuY84GLoHKF8M2PXJEWF3ABfHDc+/m+4/fNYEg+HCtEX/1m0sq9P+UTo3Yo+5pDBesqigu
XcLLnpTDshvcy4VcK7Zuw89XWMavJPe688WufvlQX2ok7bgQO/y5c7fFKtr86uX9dCN/u+S+v3Pi
ZpTht3Un5Sw2clKKNpm+K5SVm250765wLxhc71/lLxzOmk/zHpDzL1YvVSxPH30o7z73QWrNqHZm
aglv8IjlWVyVXMB95l0DBDpom957UNeQTujYrptNtYGw94sV+lcvwXq370lTD2R6rLqTtIeCSeKq
m3w11opn7fuXaVv5+YFR/UZ6DR+0FeDBM6jnl1/cJz/fev/cJd7dJ+mgYfApuDWb9bRGdOzGoqrb
pavbYTftdgCxXbRLuXsnr0svX1cb6xIQqNf70Q50yWP2i5Xy28HsL5/Kn4+78e4tsSWH2VDBklL7
+sbcmJk3rZf1coj3ivsc7oI14U27aktT7wBS/pNPWisfUbdJ1zexJ4qEP4qD//6hym6/zYafy2pu
4jDq3v3zf2/LnP/9j/iZf3zPjz/xv5uX8vQE4eD9N/3wM/zeP67rPXVPP/zDLwCaz1f9SzNfv7Q0
Sb5Pq8V3/v9+8b9evv2W27l6+fvfnr7mSMDjtmvi546b//ev7b7+/W+/j+6FOP4fLV5xlT++Q/wZ
f/8bo/v/8uKXsPz5D34XzaLqR7cPCQVIl2zZCtf5PrZXrN84N+CFtImZNNGU/zm2137jTMG4n/SX
b+Fq3HR/Cv4NGLya48hQfEWWzL8ytlfe1bu8JH4ZI3shAqDbasnvbm+I0xFylk47EmyYR5h/644O
UW8a6UUe52OFmXJYrAbXlVypk0fXYLnpSwr2CEOS1icWXLtipXUs2jL+MitTlMtRaQnNTL7puFsh
6c7LDi2JJnTetZB8I99F/a20MvlUjhCF54EWXKSzCV4V8Xii3MSWk+kcwpesfXaK0ByPjVY1xpUw
HA9mkb0EQx17ZQFHZMX8uk+IUbIVOCJ2PFyDEOp2OuMYeghLlJKaJM/946JbPU2oOpL3au+gaqzr
xFkVBZE2EbAOLGpN5zMaifew+/VDECxVz7QgcJ76FiElw69gXJgEm6QzF1F/ibpecLEerTR8Tkw9
9/FoYKM3jZeqy1/wy8N1GvJa/zp+C34qVmodjrtikY11hzzocTRDE628HONDSnsFdfyYuDwD9p0i
xRU6gTF4nhAJbntSD4hRw9IfR3MGXrWxTlbdT7ulquqNbgzlChkQI82UnpFhV2D3mx45KPBEPtzK
Mzt7BXKXMLMu39u9Qxs/aKzjbBjLLtWJuozp2bq6E5FwCd6gQbpLHJCdrEqKMpICUg/N/outRxIp
L8sW58RZQ724IYKWqpyy0w0D8O6tPt2LrCy8YgutetPYlIrIrgCkT+rDeEo1zJdyFE0rJzMmD2uT
4SdSpZ5lwl5upNHQrgvTLF4SWW9QBcfFXTLg+ybL+GtBesnv+/8fq8fl7yvmu2Xq3T//j65arDAf
rVrPDctX0f1s2RJrIDaAv/9NQlqC2ogpkgy4A6CITEH+fdniS0zImcH98RV+6rtPSRAOkYeTLcV/
1G9EqO/Llv0b4jkdSJNhi4yrfw0irgou45vahMXRsmgm8urwGwjY+buiV0uGol3KCfwmqCaacjFj
1YGxaZUMq9yaunUrpS1mSUMfHsh03lftRNdfti0eYx44TJs0GQpbuQ5DEzg0Hed8pr2Oe1raY+l+
MgJ1YTTTvYxmDbgvoSlbZcENwdHmsRh4ZuZBq9cVSMSTqWh+EkafybdDXlKQ5u7YFzgOL9DnvqbT
/HmM8gtLT8911njMYbZOHNExSHIevFyrECpggVpmjY1c1pFTOwy1dMN8SSz902hKj+kgvYxDhOdH
UH7hoU94zfOv6JBAhMvSqZOH3lPIGnFH4cUiH/XLTKSJRwNPYco9sAoRs+FBVvgc5eWVaoa+WTJv
s2ZiBeoegUXYbPrwGMY7s9Ku69Y8alnwsjD+mgt0itXoaU3K0NxcL0hf8lpzA8iGUWHcDgbYOjl5
nUPEqXGmXtnCy018kgwfuP2EM5wMqh6paJ9F2XrqICLXDgKtBqZTHnYIAiz6zS2ISlDUUePLRW+5
Swn/PccKuWqDxPFJsG+J6wu3aYSCA3n7pu8lVF9KpnqTiqk9meHeKjEpJkYpaceGsB069QxyUlup
gLkSX9ROrG9SKW/6SWCUlNhrtC5GoZoY2z5w5vRzEUpWeAwcppVcI4gfcGYS5p0NCz4Jc3SHKR6J
jbBfWyfaThHMrK4hNSZvOwseYNc6j42gzxFDbkmMHjMyL3UFBUGLM8ySmXq1i9MTzDFjo9XH8pgv
avzJHu3PTRdPW0b4j2k85StjqOLzqCeqp0+kydi2dgzqGKkRU42sJ8hFj7AIKCTq6EuqYWW/Tfu8
WKcWiPPFbIdtI6Ko5Zm8riXXN+UCSwulfL6CL4/8s7EOytyQSiLX6wkI8C2IThRJfYUVIpsuyeRp
EZCP1W1YD19aVTb3VqoCO0+il0ph4V70WSY1WTlJdhl0royTlEQuhiZO12+bPmi2amNmN7VZZ+eh
tIrbVCXZs1Jgqw96dVvandd1Jrtyz3aFZ3sL5itFYAVnJtF6EjLK+Tx2ToC5FT1eDoPbN2J13HeY
ktZzHJgX3Sw/TUG1qqPxsz3r1Uor5Bn6I5lZoe4QUTrpEtByBxxNMgI/WerAi+2u2ExVmT6nmtFu
eR+BlYG/SUeSstk4bR9dllCULFXgIs1urkZNISEg1OyjPcynFrwFCenSvELwwvOaDxwFZBuoJGKv
o2SjcG4xSkL8mRb/2+L8n11KFLv/fJc6M+0MOai9r8jFT33foaiedUXD34T0hH1FAEa+71CK/Rsi
WEhY7GAGORhsHt93KA1wL6UHtjNCFcGW8KXvO5T2G1BeZCpAfTVDoHX/3cIaRI9BmQ7tENC3YAS/
7S/UpjITSiAHx8aBYKQtWeqsFFF3SlMt7wurxdAgibpUT6KLOJgfyAyi5WAlzxosTI96aLS2ZpQh
S681BstyVVf+hPgvXKmEYn8Om8GcVziGW0awEQ4PiZpMdceKUbKeBfFL18tBs1YLI/KMlhqxwJZV
4NTFVhsntd9lLS7/rNGHdd0kjnkxWxK3eTq7rbDACHoGvewEtQblZPMq2SEoXsiqrhEHgxupzleG
tkA/ZzZDSUucdTbAdmJeDxivwTvfY4ldyn2LNnZZxitFW5DiOFskCQd4BjsmmruJNRb/EoquRZEM
yk02MrXVI4ywyDYr6TJhcnhdBfa+qyLQJyHR5XS7lEPRls1KlUDOzybgp6YidZaK+Dx17VlKGcSN
oTCWALJbynL0AYiaoKnMTqrIu5ub11TrbuJMvpFNJUdxkHXFpVSny1HTyX6AN4ZWProv42FlUToH
aFqPg57B5S8j8pLCZKVWVsiUH5kmaARn1vIbyTRGAAnQOyzkK17T5Jui5s+tMtOdMLC5wWKZnqoU
0XkIx2BLBDRiRaNdd5OEFwVdrmOKuTgrt+ZQdVcqcT6xdFQWDcMvIuW5r/RPrUPrA+qYEDnZaxmN
DbJLaoJ+IQEE0d+DEfRCtyg5TFMLxBurFs3bL/qNnILflF7MInjg0IyYyLyRzQGx+fHGTuRolJH3
EeyECGetZaP6FM3/j73zWq4bybbtr5wfQAUSHq/bG256UiJfEKJEwZuEyQTw9XdA1eqWVN3VURHn
PnScfqmIkkRuAyAz11pzjsn3BPaj+tuU+r/r39KO/Nfr39JbuBrS7n9u3tKu+WdH9R8XwvA3VPcu
6edcDY7WVPDfF8LFsQvU2mYNMiEuLZ6B7wshOezg18jgMW34SW74Q4fBgc/k82OmMP/Wl/jeavmp
rPrnkrSlf/CPdhUHdTDo8AlwBvP7WJN/WQZb8OoAaAABxTxAoMxS598pGZxvs+J/vMYyHQvsJc8W
nKWgxbIkHv241JaiNsHkMJ6Kc/9IaR7uRsvK2p1fjnAMRk9vlri7/UwVuUVw2vKEkFv7YPVNCqCp
D72L3/ohyl/i5C9kZgeQ/wbbkxfPM8wREdKACslshD9vO2hOdaNNFK4kCJA0jZN3HOW8JzfP2mrG
0Ps2ceQW00C2t72Gx1B5t5lfxfsmL83NQOw2QQRxYXHqrpHjVqWe64eqnZOvJcS7nS1YFLN1QGQ2
8ujJsTLKZf5vKxqnFNvEKU37ATx2jqJXjvKuH3kXqaQDiMgaJVLy0W7EmcQZJrzYtVZkvB1tJfe4
oK/04ImV3xvXkGCf3dx+BBL/0ObzVVypZ88l1CTwyHFA+X5FXts2duRVkmQs1XF+FC3q63j0zhot
YGCWi8WKXIkUi50JnGlGbdy6aPSzDHhW4UOAreUN2uzsAIeK7FMa1V5OoH1j+wgvkNkGhXgHD16g
QgyxTIGs68MUI6VjY40YR3df2dF8llNzVpGxH8v80APi2ZeF25KJMRMp2WylTi8okuxtZDuAEDAn
z3N7jNr0PnFlsc8qYOUxYql2rtHPd+JYdSPY9ASBddufE3txEE+m93lSObFDxNKuKYp3Y8OtOgoC
QSg7VgYBHqWKjmMjSbDAFifg1OFrw3mLdY7stsx9cJ2pxvntEAhPyifmvNACYu/Q7pj6i/TUEhLe
HhXFILQx893xhi9sPMEe4VJ5tsMS5mwCiOKuqcj6FaOTulAmgGD4UIFD2mF7SqTP5CkeYSFdI6J+
6unFQOLzVsGEEzGHO2MztSiDO1VVu5DyIWthQgljXXo6P+jC2ge6tzbS5ot3qyVLRH2A7suEG6Wk
H4avs6cuWA0xLrfjyS3M25lfqkR1KfGRzw5G08b4ZHXiHQPskQLtyo6wk/vPY/RaB/PJL8mqd7Gu
t777JGdmI2p8U7Tbhh5UklPm+FSm2zgipM62cgbWefhSxNaLDW5u04KgCh0oWdq5ga2LiyhZJzMw
JRc0vJ8Yj4h8nxxkPGOcjxs3iW8dheXWTKk1gbiBhMyP5CNwilDiuTGSxyAon4wGkWGld37cfLX8
8SRD4zSO5K10mXei8bcvPIIkA7/boJAdjs7g9PeOzk58vkUl9EqljxrVLiCx1S0p1naTXZfOmB9Q
elovNVjjj11QA+oapykiXhiZ4xj5aN3HQmydNsL0kPYksv9uRejhV/TTgHYf6aheLAuqcdPrwVkc
7cU3TwPO3uUJ++Z1kIvtIVgMEPNihUjwRBid5W0VLokoaQiSWYwTvRN23MzoUEGNFWfE6DEVpnvf
m3AO7MV8EStsGAI/hqopuBeDRgYqCCsFpo0c94aHiYMrv5EDUcH+YvAI7MK7RIvpY5yblGFl/ebE
HLE8OWENwSOiHffRXEwjXTaRnoKPJFsMJdPiLFlSWHGaZDhOgsxC+4sHJfK4ynhSkCZzGMuQ6fdf
/VbfYOvOSI4EPmfr4sXKCNrF31JPxmr4ZngRdCIhvgFu6Qh+yBasMf6YCcZ2hl8mk9aX0uvHfYOT
JqvUi7KjvbsIGOcUTCzu6wbvjcz1zsKLA0zmGXs1dnpMOgyvH8Ziuqpw7/SS1ouhsw8x7uAUf48a
x4vC7xMvxh+z8O57nEAU8S8jzqA6c6BiqQ8ax5DQ9Sn1Z7VTTshigauIq7GtcBnhfYeBjO/IWQxI
42JF6vEkIU6jz7zYlDKsMxzr+AYXCxNpYI+4X0+97fXrDpcTO8EZgAHFQVrdposRqs5iPPNYo2yz
Pbh4pVhuNsZAIvJiogLjdBXgqmpxV4nefQkJXYxwXTVBfkMz7pCTytkttqzSyj8ZYPJdsFtDMesV
MTSfCJs5OYTKpou1Cx0cyczTXbeYvjKnO2W4wFrXe41whSlcx06vHiLH34Ahnnd01GocL8mtiaOM
XAp3NeExMx3AehausxD3mcSFhspi3uT40iCFyQPw/+kKH8Emw7s24GHzovpsLqY2SKs9pn1T4ABz
9K25mN+AadlE4LYfKzPBZmQGN0RdkFlRSXnuFvtcvxjpXM/7nC7WOrmY7HTjcb8sxrvJpJ63FzPe
uNjyrG8OPT1ZF0Rh0dcfzmd/O/b86E/8w6EYVNKiu+cUQntTeL8MsEXuirLElH2dZU9e/pyHb477
V8/dv7zEL5OaibvYy+mVkI5M2eXfDM3NmN3++cdYdBY/n6SWj+EtejaSh91fbZyWNYDXCIkPJsub
xfEGz9A4PmJU+vOX+bl7uxzYQgSh+Dkt+E8kS/4y3I7rbLL9XDHXL+etRLPcWTyH8mlwbrUSK68j
/8L9P5kY+mNPxKW78MP3/ocJ5fpTkQIJrNJPf/ypv3dRnN/IInJc06OJTluEX/j34gFUGUNIc2no
/8wjWzIcOGhz3IaSAvZ1OXB/76JYv3HXYAOmqEDdwuH/L3VRlurgH/cj1cNSYwry0CEEEWrqLI/d
DyINVPZ1I4dhvK60HW4VKSmkV9rYN9a5r9WdZ7jTKRuBRm5NM+9fCHJRT7kDf2fVhZX88MO390+e
cbHclr+8G4IplqmsA+XI+lWz6lRTk4cJ7hoL3gbFBkEOQBZrL0Gp3aNbVNoZXnyFfHDVlgEjUYnF
kmzdGUcs4z2/+hL2vXnD70hodBSFeJpdIxD7yXOjdzEZYvx3+ok/VF8g4TygSKzcnIAAIP38/WHf
S7i2U39tj24cb7xxLp7YsYCW9P5UEwI6jSLbpH4UrOhPwHCdctPe0+Cc8FOruv+SjF1HJwJe2KYD
Ss6howQ3RKCkm8dbnuPkNh/CU0lXvNv4lKHPHX7mvND0o1MSPi9pm6jy3yyEf7wMoFxNnwvhcW/A
p//5Q+EBijUeJoChfRQ+1zFD95WDkW8B8wzjrR5b5NwEbXz888v/8xLPpFz4i4KdVZ57kf8sb+uH
e9E1R6YcXVxdVxCjrkWeDNdVx3wyiJLnP3+lpV798T5bXik0LZMi3BN493+pmZvKmWYIcPV10JjO
J6nrtthHZIIgvWqSrSnZvdc2JB02aRtGz7+7aZab4ueX50ZZUALEpjC8+vXlfZ+IxrgqU4bMufsJ
QKf7KS+W9+DOZbf1WiSnk8ml3xNVoa2VzGv/vS+on3XI3Hz07NZc2zqDbEXdWz7ZbWPZhItO03tj
qGZjGnPpr92wdjjN2B75Y3/+7f0iJlsuFBHGLBtMTdhcmLr/fKFMb3Bhj0c0z7Buf0pboPO0xPKe
0EGbgX180rDk3mKAzlfjLImUh5Sfri14hV/xF3J0mmgYAl3N1Hva2ngj3Cbx/52+/tuE8qdv+Zvw
gsZjCOtxEY3//C5JzkjJOEN4kTmyicJgA/Fm3gN2tsNdr4Zh3dInvoMr7A6rhNTPdSvQQuO0RgeG
KiMvZHnfFEDbgaWSmMWQsz4SNU7okiubJ6/Lg00kqwgDX5alq7S3sYtGWYcBsTG6G2lgYIpJUMlW
Bs7Wcm2ppDzAkirurSy+jafKHjFO+/K65wzXW8zdNp5ilxbpZLE2OMM8r0xNJlqRuMFLZA7OKfEC
itB4VFQJJo2KNV8HkCpmgiTx4lfaCE2y+JyNn5tO9g+DaWDm0WXv76JOUoJFlgXvS+h8H/kGLU+k
G9FbyKEXvVUljdeh9MtN03TWMa+r5ihkWHxJsYXz3Ntl/pCG0QgkUjrxifILThrfw16QiXGDa5ku
jm7lTohRqG2BsTReKx3T6FFWAsqts1Fs4fZIIiM2GbDV/YGtxtLryswosnu/+DiW5sJHCZsH1+7d
/RBmhoW3sCTujHHqtjPHbN6pPOCcSp1JrVzor13cNO56tnpzwGNqqZgZaFbzcGi9nWI1BLu2jpIN
8psS2kKzNIEdst08VSocZF0GmoU0CCC/NaMlTt9FhNIGhtO+9XLaM8NkLqMqB41TS/lL1pAkC6DX
YbcfbX+88vJ5LqI75l19yTA3Laaq/QJ93LLml04bo88IOmxZyuvP0Aiy3m6p14ehMbHx9khwT6B2
571iDB4dyzbFvZUxcH0wfcM+coJDOYsvGczFJE2EHnNSBgEThoj9sC9yLdHC6xhgKKDw6CaRpudD
vJ58/NDQo8MeC1pvc0fpqBadXoP1MHYgvLLoRvHoeCS5Bg3pMgJMV7mrirSlhS/ZvKLtqFJvbUSh
CKk5IrNyGB1EJX7acNDRThd+UW47cu7znVvBiVzDYGDFrKycgXeZtHRbFHOK7rZLDXp4dZwGX41B
+am5MWsLbiZ6ouDaNaI4OlW23/tElFVjJ+eJvgmrW0JOXOKX26hTNCjCtmPmP9HJmQ5m15VwkSyA
z2t/dBHr0JpLjTWX1fpgNOUsNigncmg99ALxt1FfdXzlFVKXkkSzow3voIDQ13v389Db9i4zaotu
HgULKUp+YmFjilrVVA9sxvYpAwya74aGdwCAoIihfwmwBOsgm3DGlcHErY0BtGkJexbDqQWgX2zi
yI4HGqKKy5n6MDkYkmb2/F7kFAYbgPgFRMOpTEjbNlPnEBOH5YEdz6W9Ses02sxDlNNo1G0T3mZU
6M7aTiWu4LLJZrQTUeHsRBPFLm8X1NZWTMmMzysVmqjr0EnwrPPvViJMw4rbJ7YlkoYUi2mPx/8V
FcPSAkh5jshDnKsU0HmgHMN+nJgzYI5rwokpFmkvFwp6tqS483N+ICwZxu2g1IvqhdKvSk5yIn95
12mm8rAM4v6Robr7CbhWuaRVcPPuhmr07W3nzSlvfhBZucGUTB8wgO2Y4l99KbTmZJHFmXro8LO/
NfRaDsrXcbQldcOEyxZE/B63qLNxV7VKXGM3tZ27rnfFo+gN/gX6DTI3ejEB4FZWmaWHltY0KjA/
7qyb1PBDuGJyuTmzTHbEiXVJdztODt1FU2I9WyW64o1h9OQ2YAcLn+nmc3eXrJIt1k1AY0fEB5F1
m7VDnt9bQOqc4+hkmtSwsV8On8k03roQ2GD665KXrusZedZolf28N3N/+fDLW9esT7yvphTXjgvf
8G6QLl8VOdj5TOaJ4tGhLZqnd1Xr88i3A6eCmL9jTbV6plpSOGBp8GYmJpdbt+DMSiNBQZ2agxyZ
l0M02k5KWsuiwcO05hOxgIyhWM7JfVU+R5YdngKVgrgIEnSIdNZi75OubN7G2GbTPQheszvHHHOz
M9yLPCNyS+h9V5niWoaxfAFzBHEuISTeOtUBQppzlNSx2kytL2GT+JO9b4CSgLry5fQ5L3L3ljg3
sz5Ikw7wB/CXcXcoI6P8Os3hsoakssAxi/jA3hJHnnS7xivDD4ZJngLSyFiix2CZm1qd3Kd1353D
csk7di3yGVn2qIBXikHpM3h/FW8Lq+IxIWHCxjBb1UK+lyzI04noDZ4NvazY28w1+EZHWPpbNhkN
GqgdLG8dhUWv2GltZXL0ltlrG6rw0Zg4pp/mEPjRF7pkE+oYIXxFI4uG53YsSWJdOzr2wPVyWfTa
yBcJT61UfyFlunjIFLwKOqAHpxyVe5i1x8XJTdHNIPTzur5U3uhcGb3p1NtEVqU6xxPxzYtBukwe
OYl0X0w4cfQT/bRTMCcQGa5CrWCoVdEkH4pYivSjqGc7QCPNCWx6anrbCPllXdRinzZoWRlRo9+S
2DQUWiUaHMc0NMXduARz7tsB6Mg2nQdu0pSIH/t2zIvZvS69BuajbJTpXRyB9WE9cbrptjppuGo6
qFDMtLMPviboOvDwzIDajSrIByFeT3L3gyiN/c0UTSZB0xDS5AftTuIRDAH3Gjtd+My9Xna3VVgJ
FliLlKZdAN8JENTwYqGQCcQqz5X/5FqV1BtwA71zcaIiUPck5IUtmzt3NF5X6Cg7CodpvErtPq+v
/LZJ7FtrpLV4jMY65HONoxFf8pZkuk3ZRawZnMaG/lIUEe+/DfN41yVBnmz0aJrHSTo895PnAcN3
InCD347O/9vj1kuKHb+rv/a/arl/kn//5wm+LUq6fz2UvX5Xn7781Er5XSa+/NT3doplEsRmMxZH
PmL/Lun+eztF/GYxU/XQWS/9kYWe/H0WG/6GUgWxJT2YZRlcNOLf2ylA30zGtD7JbsRMW3+JkIym
+5fKDtUk3Taae7T4eMFf7UgRMkmbuLXphtayPflLtu/EPU1k4ThbemVONO1Dq7oK5uIeddXb1BSc
QA3mOTqBTzilHetPH566HAmwadfr0fDewiS/FEP4DCLoydbkBA/xThqcytPQf0Ge0PAUeksmD/uN
VV6BYSMFK1IoTGb7WptwFgvPdEAo5s8oomcgBh6jr0gCPCJZHRbyRwhZz/E0vxkRAhBGRwcth6c8
7W/b0MGgHIk9g+wHDqxPdT3G19CNT+j/mtVkdGcRELA2VmpXjjWfeYaraq8Atx+HAFOsF0ZIXKpd
lRgfhiYlvt1duVZ4XXCMn9lHNpXvM22pOpQkBFOTww70fYFpouhAgvSlDtObLkczGKdyepjpQacq
stei6dazHD0gZDZBDp7T0OcHhhEa7ks559bWg/dO3INZnJCUhRuJYn5jjNF+9GtmJ1ptCkpGlCUO
2ZosErYYHrypqWF/us+tVDIH09U6D6E/xD0sEbdOF6IWLOMnoTXjYxW4EtmP7M1kWzBWbkkQ+paq
RrK0s4nqGRI9oWuBp7Y5IWxmMbL8k8o2LPlsWYwb1ySxzZ8jhjiEuDk+aW4lsW5N5l4KE3yJ6mcE
9VD8vY4bB57OE6fY17R4h2J2kg6yTJfQuInwuLH1ke4QJ1dbjLSTJWGOTeoSLplz+URCRmJ+mBzv
VC6pdCXxdFK48skpu/u4dO7FtwA7fQSXsh+zDOGMGwGeTqMD1JJ6HUv7PC05eKSp+cfJQBvLFPTZ
UG3AyMrY6dBiRq0CuFb1KiBYbw4Bnph1462cuNqEiuwiUs33aZr4ZJPNt5UV7WyC+jqDWXTbDs9z
UXwoiPKrbb6zKJMfAeZfVVH+BLLtJS7b23FJARx7Bi3EAnbtAoStkwM6K5/IsnJbESFYUkevIed8
VPCegft+6idyWQkdDAkfFIQQQg7vNxGDMLZfEgqLtngcnPYp6Vy1agZkr8SmnXNiDZtZMBHzXyQn
YM5g3qUl82ROwPjb0Qc6iOPenCbEC8OrS2QixdrOJ0LRdtybsSFTUXqzdZUtOYuSwMU5p5NpMwms
vuRMmwcFPq7T0b5OtYne0RGb2p1uU8/dBGbEn2jmub3f4TDtyDfxrE9lFFVQWHPm3ETGg/yxVkpN
j94yWB7rgoFV6z9WVXwOpPkyB8mlCMc72zL2wsyZNkkkZAtwPGTE7PnyqIaSGzB6LOAMbqPMesfQ
iKxYiUdu44/kywBDj+rrPvXuutD+EpKbgoFA39aRzldlJ5x1FFs+qEFG8IWHYyPgZIRmbSwInAjv
85x1BaGcPEYqMbflJPSu8sK3Merpb8nbiLPWOvLdaIPII4IxJ8Ntm7nnJuicW84wwPrqpLrDeJI9
NJX4HE02coV8fkJjdkXs15uoxGkohokjZGhs+9y6TnpYeuRwd9SHAYP5vH+vG1QkAyKuTZs3BEz0
MiSHKuQbCH3A3S5prJHTXgFdhdguTukgjsAr7ttYEfij7aM3O9fjgB2u5FOmBNU0PfxhdzaczUSH
N0vKYU1ayO8Dm//tg8F/3pYv2Ib/9ZZ/9anr3qsfpye/b/nLT33f8uGyLhYtNvtvSanLLOSHLR/V
FcYuUvPQlfr/cEr8nooABgz7gnBpJ9Pi/ceWz0DM4zf6/OWy7f+lCQp+sJ+7uS6TPAYn7nIowSvx
DRH1Q9taDeGIFsLTN5O2O3+bqIhx/rCkZsZTyu5gRed+Jll9OwEIy5/FIJAoYGhL+2MzIyMclTfn
V90U6nmbIWWctzDslihqKjPPhTGsfYJVmjaat33cphMo9BZdt4jDr79zxqeu69odE1isQdE0z+Gm
aOol7zExIoPxnxdbM2jMXDM2maGV0dD8xjAvrRieueOLEjpIgFEChBE6FHNhn7cqdtynQhiJt/Pt
9phaAkVIBWTzQI95Oow2jPWv2g7GXZwF2BHiOCv77eKqO0CBX8qOoHhLI9LIwlgLYzU1k9oaRYsj
q0z9FWcajA0lEhDltu6bWpBQ81za+5742WTlytjZu1Py1dMGmV1V8DWrCofZCCglv+HvEKTCzlRD
u+zo+pzETXcOhIJWlpIES3hNzCJvVG+mD3rAAqfaEhWNILg1DZPtHFUC6mHzELSo5eCUV59EUMwr
b67jU0P/6tZZVLfFKMI9gQLvuQ+Q0i5s6DqJcvZd3adbs6u8VR4T8eQQD36bm0O3lvQGykbBqZRS
bwODAVAc2O9JZ9QHt825LRSnvBLd1xY5GxuiZ7w1hLsdvLkYkBrXQOeRAvsacE5DFsTKL6kh0bOg
+S16y9/XddmdQtfMNhaNPALF2DPj2quR2qt1OmTmBk+Rs3J9Pd2FYeTudVhTZg8JsA1d5lu7ddDu
DhCWqrnlbQb2x6LKWWVlRkXXoumlGwoW0S/ITWgUWb4MA0mA8+RdPEkQ+LHu7/yUhvE8CQn4fJpy
GFsWiYJ0KLeooPViU0NHLfxh4ZvLbTRW+UEUAK1llJWH/y/11H/esrkIA/71srnIV1fvVfpPTWb8
5Pelk2qJSgQ7q28hk/+2CP6wdHrA/5m1/t0A+71a8n5biiEmVMIJHNtnTPd95SRAixM7f+QJAqz+
ojUWfs+vKye8ORY6rLvo98HHL3//w8qJ6tN1aUQa175bZuuiPqolMqAqPII7BUFMuT8Bk3bsNZvu
HdaycK1SQLha0kqa+nrDwfs4t4KZRTZkawqyemXpiXAnGWha9t0bY4lneoevjSkv02AfGcEGVzhc
2y2wRWIy7Sdkg/tSlJhbGMyM3who0v6MHnyNnpPeBcjG0ERCBrLVXQHA/mCO/teRbI5dppuH0sqe
luVzO9OnWw0GJ48ylB+doRk2qSDmMTf0LmNGsZG1satkPjAnIzsxp0PuEPOw6obylJBdQbIDEUxA
+1yweNHovDaFMqa7jF6P2rEMaZJV6q6vHwdIXw2lEYkym5AVGfV9uGsEils67uXWMgd/LeG5KJjQ
BFxnt0MGQSEkb6esA5y8Zval9/33yHSIG00Bgdn9daGerA6iHqUqg6VwYGGd6gd/RDxFrPZrVmDz
BbVlbZllq3VXq7MXdd1JmtWbtAiV2JBtAeQPtB7Lqlc61p38ltea+OSuEONqInbL/QHfw5ibiwfv
Y+XUz+wCNQaGsb7C0jet6dRuK5+qNwbZSmBsJ7p9iS6wIEh2dKOPzHM5meeEzKJkpbXsmEcxcKhO
+Ny08sgOi7y6QFJG3B7v50MQ9+lJpdgIGr4+OtIRgZvaLm+iwHwsgoJ6taHHExLh55Rpz8Fby/Q5
7wyr2KIa9byt0MFltqY7ggWpaDzoexCPsTI15kOspruIILfV3No3Mg6ZSFkHfH13buYfo2Le52o4
JOZM7FEfP/ZBeTOGZKuMFjmsplo7JVdeN6skc5nKldkH8MuPfs28F79aaRBwy8zjMA7xI0DMq1an
D205fEx7cRBjQIxzkTRrT8IGnYEEj0q7O9Qk1kK5vfLALZ655Gw1Q/aejc5Ktbw3Y4rdrW1r9+BZ
NHtnH265+2q1zFgqM1r1Q3GZ4+ge7mRznNwe47kB83vQb5XRMbx7bAfIfdQTd3GSbRp6kVVDmJgn
ns0w05uszvaEyB3SKQOTSK522uWv5QCg1PC9HRlkFCqy2SRNnK6Fgb1bTvpTGIl6a5Z6M3szXQoM
f2bwwcKLVnfGpiZ2jGirN7sxPTCR2cMcJzdaOB9kCw7cFc+FNMXWtKadpE29TnPjOjLDPRnx1wMG
71USVm+KZJmtrQnupKu6shXxIQX/jFgi3Q/9SrflMYiHK9VXZ/7lTJyxbdMtcHvSRxH07gS0hLU3
Mw28T0yE99Be45cstXApYi1Bi/11NrpDnqqXLtQUwmo7BbwFO3jtA2S9g2OsoRtuaC2s+94+tHHz
cfIZyFqLr1Q73lVgDfeBkGDxRgrTtrU/pkN71EgeCkNFRGI5d3YWH5EL3FlVmK6nWV1cpRHDuNU+
qtrgGLYNpy1/T+jSh8zKr2Kze/IrNPEMvu77hMilprgkFYIRc/iATvGB46PPIEl9dsqlwdReUmXh
8C2HYzwJzPipOhSWPMvQuucmOdUDHtWk7W/om+6UTyTqMKiPpSU3lMTFTnUmqh99NkJxNmyTIGRt
HJ3JOZgtQcWtPJazPmhFn4UDLojkfV/Md73K8fCU8mLb7XlsuGWDkhSbrnhi0Pia6/TGke6xb533
zmlOSe0dhZ08qy59cIPuEQpisXK9aKfc5Oir4C1HOSlK3Pgz4/nIaq+mvjpVs8UTJjRBSvmZYJjX
sbAfwgJKP2PYlailuc48c+8QUM1U+MYt63PqB1//ezbhEOEy4/mzs8n1p+af9XB/KOgs1G2eWPSJ
HEsI+qVq+/uphLRNQjPwPAnEOdYSNf79VBJgikfOuOiDiJn8Vut9P5bgRnSpu3ybUE0KPv8vFXS0
UX89lqA/o6IDso32zuMT/3wsaWVXwnyw5hukENwtVg8AiPDfVeNOTyKT+ygJPjsaTW/UDG/mEL2m
HoBjc3Tw4kXFRubGUwjC1nSnizvD6XD7EpV0gZ03Tm+8tNhNUUCEXozsSwwWHgtzn4/hRdvuVV3W
e+ZqhyGzSD5HTxNQGxICjues9/SD59bDrrcxCXgV5U5Imrdy4ovv5bgTKSRWgXS3k0WPVZIuDl/1
aGJyXDdW8Ow39m1nFTdu2Keroa2AkbIkPufeBGmfqLnJDe9Atz/ETO9IIQ02k5uRmVHUIOF7513X
cYbNcGjIW+F1JlftMX5D5HNzbDL6QFSfuSMYi0l4Ae8Dp4lJ8ztuQDXH+dZq8M0P0LQ3pHGs08KF
I1K8kX2z6SfeeqO6/SDbFNiek+1ZeMadbya7GmdFW1W4Enq40qB1W6cQR2uqz7ZZpCdhuKeILOR1
0BI6GuX+lWamtg6198BYzNtNQduvjUrxKcLWuQmYCFV6AII6k2Dmdm5x5EQJDdbG4lwhDe+j1y4O
HjNgBcfUsA/OFL1T8ZMKxPwLr1656VwkPlZdASR2nEOdADsn9NR8ZN3vVsgRjmVVjRsnbuiqFofR
Cfw1c1aBrJ9xbJ120dHTDBhpzhGZjqEzrbphS2z9tJVM9VdunH9Gg1TRMOWcBRXaug8l/N7Zzbdo
gNhNTZFsjF6wFmuTHNVisspL7kXV0SPN4BAHMFe1EeTHJnA3o+8gwXEcm1QsP9v3tVvIQwsTNnrA
Fm+cSFH9Ehs18Yw0/E9zQyAyVdqxlfEjIgzMTb11cIymX5e9tyUv3N0qjDqBqupzFbQXhBhf65Fk
JmfWZ3NUH5uOrYVZ//NgkR6f2qHNEKL5qHDWEDE7X6EGINbddNZtkN3hCVeQFYmN1O6lwtoyRcZz
rwWkCT0fMguGuBc7N3hB90Mgdm6akdTl5DX22W6f+dYVXtN6BeT4FUv5DXFtT+GIaah0o2NsSXev
pr5cZ0KmNBgJFEiT6lNo5pckNtZjESfb2ZC3XWUd0nR0tjJtSBvEEGWNY7elINlgH5tWbWCJT6p1
t8Q7vyiHNCndBxd7lGotiCy883LnlRp50cl/8efuPLkNBF7nHJPRvupqOsJ1bV0gNe8LFAjbxvfO
jEnZ50HkGlZyT0oHuYPp9Gr5j7mxdabg3KTpLlRZh6gA40vVGI+p8gWp3MVdAG16bdXtS2P095k3
ROvKmG8Tyoa1Z3PK0FCqUxItDe8wd0j4e1rpa7PtwnWL47hIwgsuJHbM/CaFQkTz+9haujsrf4z3
eTm/hp7qd33Zrj1SO13qicLACA1Z+GrQ8zFs0jeS2mkPCLEJULCvmjR76Av3LSRVcgP1IVlVkiGS
QTC7KCMeXOjaKzvpt4TRAO8K52JESMD2e/3fXfbbLrtwyf51B+A+Ve9tl355/2PvdPnB7w2AJQ3b
5kyE2dRh/slO9n2nxd2PbnnJk/rWGVj4M993Wuc3tL8+/VR2QEBYP1v4oc4EQcD+TdQCc9a/0joN
l430F4WmB0EAUbyHr4Nx7s8bbWJVylWDbV3aWsrGvzJAQBB0HDpmh5MzdLL8JhwsO98kXsTpNNXD
vBPTRJggMVAuK7pZ3Aw1YcfU+cbRRVVzGcg/3Wirq87MCMqHya70DXEzzdXSTPmMTEmfrFLnD47Q
7RkFKhqpfqQetlBi1U4Q7UTWuvTdZF+/JqbJSMdQIaMEqjUnBA1lCQqWoqJjiWn8q2Gn873Veemw
DpOqXlUT3k08xHjFPQk8JbNW9OrKNcOv/LYsh+jRysLkHqtfkTyYGRJvoIO+kDOkqYRRYAtUwR43
AjerxQsOgGeY+DAHbZH06QCWPSJ0dde2ImCCVLcWo0bsZea15zXZtnTRiT0Z2QxsR6rc99cjch0S
JFrkZitXTfI1H+iCOIpO7WyRa+VDCWkbFDJ9Q6jXAjIwVRu6Z9X8P/bObLltJN26r/K/QHZgHm4J
zhRFarKGG4Rky5gT8/j0Z0HV5bJUajvqv66bE3Gi2oZJgInM/e29NowD/w13kM3kA9LPWHxF2QFE
GCOp65tRreMdXRK80vPJuKbht6PMYOYq5AAW6GkK94Xl69PRjMtmB3Icatg0A8Sgo0iO6CEPJg46
ArhSbP5dEf7Yd/P7+d8rwjGXzWv1Ov59QcDU8GNBQBHE9sWvm72twi8Ya/+fKwJZdqzwuo1OZv13
YvLnioAiiPA3b4vf64Fk3Am4oyAiMFom7Xj/ZDkAe/VhPYCrPXvKcXvpBnv8j+6JrEiNfASTd5np
BP8KxTeWMOgfbYfGZru91xrrLpmu/LmmtlRXWulctU1wh96S4E+yda8AylTK8WhdxIH4qvfJHaQh
Hep8FW/wzr1YDe7tsceulcVbJZA9HT/52lQrn/LUGBOmoj6xYSxe1IYYss5OdhXTnbWewnjbR5W1
pZJ0D84uWsR6eJ+ZzKlH93ESDeMZp/L6qHwe4+TKDfVntJGHoaMumAzlsenwJI84/ZZFGR9awu4L
jpzd/ag4TxEZ+YMsaITAvI3WUcR3SZs+0VQ0IQ2Bm2R2sLacaTuV2lNXZ5euBEVt2TcIlwlzl5L0
LC6I/q4No0cnEtteye/rSgR7W4NxVxteJrtLNQaeCZh3GKNLnOUIMPCpcHN+y4vmhJWqZF7dX7pR
j8wYaTsjX/OzZZab4xG5CcpjZSPjJI/IfeWCf+IGI4S1aGgpS42UmhETdT+JNefON9AtzLredhYr
K3rbJvbFBYjmfps3duf5Ubvqc5AjNQUZSj7RchwK+CDptszTb5UI+2Wj1ShjlbKprAlcYtee2V5v
lVgh8Y7leBNK/bWJImOfSq6X0j1rBrD47OpFmcZoyd71gvoqHJ3x82D5zKhbDgZNRNeFe5kVxtKK
GZDkY3zRByGWb3tJOSx1GMZgLVMFOwCoF5LuoM88NuvqIk0IvmOco1MhYk8Z2ZgoxghfdJNNZ7ex
n81CUJIaNeu2RoOctWIN0bCf1WMbGdlCTh5nXdmAtCJnpTnkzgmkZxMJupy1aIaVzkUp1F3q5McC
ubpDtg6Rr4tZx1ZnRXuate18VrnHWe9OEL7Z4uZLjCr3dEyTyp3V8QiZnBZHnVPhsM1mBZ14JyLl
iK8uyXe6RsdJjM7B/cDfWZwM9NUEHQTUl4JvO+Mg5sATQyuJ0Uxobjw0aCj5LKZMqCp+3VzQNLPT
ZrklRXehkuYlroOdGwYbzu5URaPQ9Cg1RSvuIpQbReb7FiUnt6xdogQngcIjUXqspORLnfoLAw0I
LtWxnUWhIhmuoPFsBp/2cBqlJepR4eaQEYy1iapUBuEe7AyjTFwtBbpTj/5EDiJdg2dZ+kHz0M8S
VW1MazIpp2IWr2g12leoWWZUHJDqtnQVtHxCBK8Y5ctAAQsK+yRRxOpZGnMC7abO6/sAzQyHybFF
QwuD8VpS6Ib4HN4nKXGWProHhLExg5wy98hBMZUbaxbmIrshM4xUh1ZxZaDdoXVcZbOYB7vTC1H3
Old5UGa5D5dxunRRAKlEJKdLRfA0i4Nyyh4wpm/ttvMK1ENtmITXoicSG3+a0Bd70XO67tcpuqOs
4CHMOmQdsDtCmZxq/yF60yrtN91SmyXM9E3NdGZhc5wlTjGLnVDEDi7qpwG9YpjlUIEuSgrmZKCT
+rNgGufBsZ8lVHzkL90sqooqpanK3ZS5e1nNsqtDRVs2C7ERiixaxsWAQqujxcJVvpnmWwiZ9aVA
y83rYKWj7aqBuB/QenVVvVRgDbCByFcVarA2y8LRLBAT1qH9h3tRqeZaziJy6WRPBary6GYN/M5q
m6A3JxI/Z40CbVuUm6NIA9IAwySuiC6onmbcQrhfke5+Ic1+M82StpzFbQWVu8jkUcyyt8+xzEAH
VwtrY6OLG7NAHjeWscJerW2TweC3HLwms5xuz8L6iMKOAxhtWKX3ihr6jT3L8DwUhafN0rwVKNsa
rb5Gsy/R7kc0fB8tn7MaIXbUfdroNnzm22BM75syhHBsnJO5TJGxgBZbTF2zgZx9DqUtuI3mCQIW
sq1gpNBMzq5ixDClKlqyy1ejnsQ8gwgZRrBPvCFCRkOUKmkcqvDrdGp/VejWsX4bZjDDYbDRzjMO
823c4TP40CRgkWyehYQlVL5yog/d6fh1TpTa22SgKz7SOBZ46seNHUiXJjjTwVLTSU7QUbnQYMQu
MM4MC6xFLx291YYl4zVvGJMOQZ2uPKoUsd9SKzTnfUREiTcIjLxzu32cDmxTxfhdViAD+RUvklFC
/IuxFFnR4KxMjGEd0JelMlpwHUP8PTRb2WJBT3tGgVVw0atNcZKl2jzEqs353JwqsW6d3ryqeznt
U2dCR+hTw4EhncGqKno6aPBJX/R6tQcEeNacZG0M8crWpi9Z6V8H1FS2JZEZW4cmmzoULanlg89U
zrODflWpdC0CGaEU3meW3jQvHd5HNXEeGeYdu37kJUODJl1XFOkigdS3haKMS8cOn1lZvyh6tfX7
8KSYw6sf6weqYQkkhVgJIpyetdAfisk82FF29KNU9yzCWHGarIm17LuWV3Q1ts7SqnyUQZPep/y6
qWcSYzbtisC6MIdoq1YThqlil7k9JXJKQvA0CfAG6ldun9008MngVIxLZKpbmfbSQ7U7KFG/UxRx
dA3VYyuECFLuiH1uRBLuArs8BEVzbxk6FdsqARfetLqzTpziqx9jV0mCq8Fnp4D2sZr8cMWR1cMU
+ZqFlLyjZKE4MldpD62bfrV0BUCRK3e5El1XGqQgDT+oEY8LPbO24aDc1Ak8nYYucI9J42JkdjdV
/drvGHX6iCatC80rVrdZqz10juGlMXleUxD3skEH+jyPkUxLVvfkISX5AOmDOQtjSzcBo9gG6U4U
8RdcERvdmc4KuTQgM+rt2KtrPS7uc5WKUz3TZltJ9M2v8s4bSHmsmhATralc+oH+NChoYVFcULpm
b2I32iFzuusg8A9dMr0Wo3nZFHARWN8JX2k8LEHem9Rk2Tg4x0Jd+aPlnHI130ujXeWpYy3DRrlK
DXGRNsPkiUBf17WosISG6qKqlWwbjtaj2ccjTlRQFEk6gAtwWuB1+f1gTleFsB4hMfnrIsI4yWma
QWW7Tuou9dAWBxyZ6tadl56SoFeXg9YMqjT2zCI5FmQskkBMJ8plD4UalOQw6Hcqq+x7p1IhVY6l
XBr8f2MyLtWuvAmigWjklO16W4Pc0rQXUzW/tU3jYVD5ocUKJJVqgHRcjgbx3egyQUum8ZNBTTjV
F4WP+ScadCqbUiKilX/l1umjgvi2nX/uFnhZBtW8zSlO1R+dsLmRhXGl9kN04eooj2qxCwrlVgvY
0eSmMssBm0DJlwrwmzIAPWob1SIws++twyDY0AFA6c4tzJR91MSHpKMgKO3xqGjNA96Va3cosRkU
9mWsBpeZHa9T2xgPcoi/lKn7aAz6tcM6fDD1WK7awKKdrTEep8zdwccTXqxEciMxdB5Eqa5zZoVL
UsXdNk5TbVG/0aOCN5IU8W+NY0QFyGrl/IGbSnRLrLQ/MFQ/nfgYpY1BLn8DybAoKacMQ+UsZX3E
PmiRogyaJqNTXBRULhzraUBNufn1RVCGflJt3tgSXIQBDtFlnfT0B9Um8YdKF3Ud0aa6E/KoYNea
66L7219fZg6Z/yUO/fcy9lxypDApgpDAf//JHOKjvXAKUNi4a9/7/E7ovwsI//3vh4+hKhqmPb6u
j99V7Y5WjhE+PcmeB23r+Ey1fpy+P7kXn/z74WZqfEN8USblJO///YEt/Uk3y+zkcO4wz6b7m9KQ
9xn2v38/H8wzhpWoIcRdxqXZRuD0VtcVzeh0eb6m8fLXH+WTSxH5JiMAxwIR0f1wK/DqKxMQteRE
JWALiEdZ0A0aGB6vYdrlfn2t956gt4/17rbMmuFPtx10MNFcK01Phe65NTs6j5/WzJrp1r++0Gcf
6uf7/+FDSTt289b540IUGENWHMI175H5VVz85ll7L3T+8aFcFc/U3EWgax9Lw3RTajkvXnmqyVCm
z92wMv2vv/44nz1uP13i4+M24WTPA1ORJ+k8x/6jIf4/Hmdy9AZpf5L/5pt289N9AV9sNobQ5Clm
BdRtZk//vKIIro+Gzxf1h2zPPBb++c5LIdnfW2p+muzn3r5sJbpj85u167ObzkNsA61FFldnV/DP
13DDrJAE5bNTxcZv9BzqRsyrjlLWYjnpv3mSP7kWOjkyKiQXW0V/en+tEKOR7pJ9OYXzmXoV5V44
ruwS2XajXb/d/H/d4zN65Mei+zf+DpLnJ+jO+c/8mH/Y/+H3ZkPe0Yw3vfMvuRNbuYWFUTFMFS/4
7GX8MQCBsj+Dj1mHGNHq1ID85YCEiYzMCe7Fwk3JH/tH5SDMPHkG/nrJzfBO02Ewo4LRsGzMmB+e
kXqCsdearXWJTsOhCxs8gd7cCUuDtFLQgYCY/Bb5RUAkTpdO49v5cVQyxsYghuEAN6aSHp02UjgZ
a0B4IXaBuGWr4YvWgO2OtKeRGcZXCBm+b+IWjkWbCZ52JTBEtkhAEhe72qjw1rmdaQ1XFI5oJMtF
Hqxts0J7GOQ9rkJ66A1920ibpE/dNcwXlG5RRRWplkDUa79VbmPJIEda6SpH5CL5eS3HqMKpyCk6
94sDtekHWfoXbOi+0HU3l07DjCyKbNMWuzQLMBUEGBoBWkawh+BCpgPb5sgheNX6bGG7YbrPbPes
MhRZzFYe0dZ0Ew/zMkEOftlnzp50+zcNwscywqbUDKZO53V6yCLOS1k+nutcjuveYidowRX2CJo0
nB2mYZk0tPwoo5xWI2506JvaSjHbcRm3asn2vfsmjOGQQsf0WsgXXuar3wZ4514LXzhWSjJTJQZL
NSX6o0FArqovrUmVQFz2F2D5WmyrHeIMlcnQTNel3dLqlBCAAY6w8Cu/2BkhQfLByC9jLb/GOk5K
pjhEKCLhwOCbvC+JLmLQbfpiAB5YVFQfN7qy6NJkmYb4zLoi2Bs+nNLCsYBjspRpzQC2Oc2TtQN2
ei30hrT4pK6TtIovlHHawBy9b6WMPRjw0UYfeQXibzsPdkXw1aXCuGw4dYLfLJXqPshHnkRK9hi+
3TTBsLKGtFvEg0omK74OZHcRmfqSrHu7sLAArHzIDIvCEP62SvzQUwb3rNAsDHFRf81Ttd6qRV57
pswvTVU2mxAiqdSTO3zHX7KYFbIoT0TbC7D3eNON1EVqSuN1nGZfehtnCtb8VtEfFdT7pR0z7e/T
myExwcvO4DYfITMk4O6NtOrxoGvhoSgqwBDuRDah7++lDS4n1pr7we+/qEZ9a9QYSclCbGihOcW1
6YnYWRhm8zLYUApr2QPPsBNkqYTxloP+qjftDeffBElW5SA3BtAHjWBbNuV1a02PMEqeSpOj8IAj
ElRhVK5oWlE9Q2nvugghW00MunWsEBhmvmcY+4wFAsdFUNKimqs3rmmhYBq3Ra1shJ6fe87oiyHS
b+Z98tIJlQwWqrgMQuOIHi08PYnWQ5TeR4bNoUQdn7NgGiCBBNu2q6isCx1qeEQiOd4SWGsa+RjD
zub7IbOXDpNzcGEdUaqgcJ6aqovIAtLNIW/taymHFrpLFhY+5rQeT/iOX6sUkTWvysvCtu/y0g/3
VaanK0sdXpPIvWZigg9EhwyopgOe32n83ncZ/uQulYi0muER53GofmtUZp9U3vsp2UsfazRWLHuR
qAKlu8ARXMLPAhIUbpNgeLbCho4ta3YDWe6xNcujKozXBJjPMh/wzmBy4IGCdDMJ5XvV48LIo+04
5Y+AIEiDhuXO1mmsxgsMDLHs1s4guqXWWtfGoBm7gGAJbcgsJaoWHyHD7scp3CD7HYBkXYF6PWRp
vAub8sYPy+/NwMZU9lgNc/8E7vi2cOgbgXxULqAoWgeXdZG1MeeXm+orO2/7TZzk9zJHjLV7pslp
7S9Mv69WsAMaL+r6L27dtIsBFWthoLB5MkoeB73Rz3ofbjUFKzdJDaxNQCXWyRjea/1rP0N/AKfQ
lzoah9DKHoeRb1R125sUEu3K73KwCAwF9Fp8Ib70GlIHAn3MVhYcS3ZKnX8F7vQ0Vcr3TuVhKKR1
W6Dz4UwFHmmmTc0SIUnjZva5i4Hh6L66mLlgizTtYLck13zUZd+GJ3ow0OeN0vGCTmiLKbUvbOaZ
AKmUXZuT3WypUd4ZvXmjFf5DaLtwB9LoNetrLPhGj5m9n+S2Tro74J0TshckHhBjHZ6qf3dJb4Nh
BZvk/94lbdJX+UnEbv5Df26TGP06JrUMmEHwY77hBn9MhbX/cGbB6UGMzmSDwubqz6mw+x/i9vgu
URwIkrzNkv90ZLpUPczeTv7PrEVY/6zqwXp/uGGbxJadvTR/pwN+ff7r3m3bIW/Y2tA67knLqpEM
pzoVm0rPA3mlCxlq1I9Ddnhyda26ollHWnuoxdKb8DhasXtRSReTYpa8JGW+H0vgRBol5qPB2rIo
dGRoD11zJwe9XLWde4X7+/vMhvDsynnGf4KJXfOCGnSwWW4g824cqV8OhdiKKH0xq0Gn0j6/COL+
KmHAtrCaahkwK2a7x9QSvq5e9V7kUrfOjo1Rm3upTcoyYk9F5t9kdqWM21HlDCKF+gLqF62uM3cV
+OPCsIm39F8LORwdF9zJijiw9ehW8bLxqY4ozPy1YuFOcHsvYpfoczIzwSch1gPmUU/rVF5JOdpk
2nl9o8RMsES1KjJb7jiq8mklScQ6Z19Vd0eYe1DE4ppUdmJUKy3SAb1o+NmhDVSJHnhqFcAF7tVn
J6kOCb/XZWnYbPDy9jGDUt3G8Q0emBPkEyTUzDfXWc1mSCpy10c2ib+o5qcuMnOp9AYvkMzJN6Tp
9GXLNsjDi3tRxONVZpInC0jvhVr8bcwIlisONlgoXl8cAtMLPRifpUZRT6Wq3xsNG2PX7vpmvIix
jy58l0lNB8pp6/Ztf5FXsBdHQxBfsRrS2OlrJmT/wP08NObTlAE3iep5+nxOy3ivWP5NX8eNx/Qk
rpeq6pbhBSfedlqxHhPbh4mSh7y8m8Qtqeo17V1aO+y+zC7Ege9UdPUEpXukei/c20mOS4GR/47v
pVBWBjrnhiOhe8POr6UWZFThAZc5bUIds81NUZlGukxb3HgqKeiUeVOlXdhp2t47OZY8MSXKw7/L
4dtyOFe9/u/l8Jh/y79+YpLhD/25HL4ljlm6MJybCowz/tOP5VD9D2uRpnM2JHzLovdjOSRx7NLq
4KItYGj7OTb3lkXGzQJJz1UgP2LQ+yd9D7NG8e7MaBgzfxGxh4we2ecPi2GZl9CrQsCgJe1amDXf
cr2mfVIJjOIECN5Cv8kfCeC2IJe5rN+iwSO8qmpNs4Da3PTWHB/unXpLSFb3n6lOiJVV38tUHPjQ
tb9Xw3hUVwGLSXA2EolpdFEaIZQKLOsDk4XJnGCwpaCx5piqtFkgutFiO8P02nVwz46tTZkseLZw
a/ctIKQU9hL7VsimTPIr9vQyq+XCKvu0OgVG2hKg08feXmFjzknWMhxRpqYVr2ZEcuTfR/+PR5+H
5ReP/qvk2Y8+FU34g38+/uQzsDZjNUT/wCE6i2Q/Hn+8oZpGsoD3FAieObH5392AoQDSIX3hMneY
fxdz/8qfuwH0lFkAJ5hByvOfPPsUjrx7+B1TUUz0HGQZh54w21X5af4s4NlpEzjk1sVJFaQZm0j1
FGN6ZapKVZ9JFVCrKxi64nU1BhSZsuhW126ViSvN7oTOXDeXNo2ELu0arjry7qnV6t7HWz1+BRTc
LKwQjjv+HWOD/4nWMc2ZIOBhp64N19iwR5m7mnoHimgEb64Q7rpStQfGPcrXoEwzr9SGYp2HdsrO
GK8ZRHZsUjn/W90ujUWbaNVTUcQqWg2MmynszH0v7X0cV8ypSdmzj2F61IpNq7Uv2aBxxAdTu0hd
SaZdo7FAjEdmRO4io9ozdI3u0pE0LmQVxRAsPfqGdkCaEyXTuAqaCUpSwLnETVb4WiiX9iumtHq/
RByoz5BKdQyrTfoIy2a8UVWOj3W0oNbxMsJps+SNfBVj+1nomormRBjEIZvVRwVOmR5HGiY2eJkN
9ECzX9nOgEOBHOteUjy7MPVo2HEiU1a1WQLiRzQhgjkoOd8ZDiNuiyDlBcrADNxF3OS612DoKo3a
XCRdPlxNTmxvJIb/q6FTTnkRhls3wUbgC/QysEZTtAaZLvG+6zKlQ4vShW3l89acNFu6TJwNZ1k7
NpPUOCRey1ix8G/M+RXcvb2NebDlDqBgt8nqPNr7lnCOkdGzQWlcn0QFf1geVfD9V2obPgJgxc4g
reegysxFX1MtA3D2MYF6uPKb4rvisoFpRHCRztIDbMhTqiSz2pt9DyeTTpCgOdG5ATYGeJRnVE7i
uRLBR3TWrupKe4+zXvU6hrysudymLNsYdN9s3Mrx1MFs0SLGXnMXUVv0/AMarcW2UXW9Zhw73Gd7
vI+emoMnOJtmncyMg5Eg4AL5y9PAT5KOZhxdlS7lODxo9Ab21roqzfJgGXm+FHm+yaseDqMztRs9
TJ/Szl42yqB64G7qfT+QPaZ6jBSG4TuXCWNjkbnfNFGzuc6u8ra982mFrAtbaxeaKC5HEY07zSJC
EOTTVpiA7rPGTG+V2Ifr6Lw2FIBEqU1RkX0xhjQQ2pCOy2GkNHMC9umcnFFemFn2NHXiYKrRRRY6
AXAD0z9Kp6iXwOlgS4bBDeDFYFeG6a6KabMvuUkOGOGiZxMuYttfaInzHLQ9v0ArOg0dbO1ButSG
NF1Gnqf0VCvdwaNaORWNrvCM+pysTo49zubMSmYLwt26AJOodHW+DjQF12JPiDUmRWEc3H7w8J+8
abAkQ4b0Djv6STPaO/zYvP8SN7dOPmCTve9M34tSvTandmfj4NBBouIK1anqpQlFAHHuuufQ0jdW
1a3AQwGBNZ1znchrJ9e+uYhJiyzF8+iO14bApUh/2nGkj0gkhldwj+FH45pS6XvMOq+b8MdxevkK
meEWmjv5tSTeVW14xtF4yhxaSbGlQcbb2hnmTrp7vNRUrjI5XI7l6GnTuJM+/gLkqHASm6lNthis
PNijW9wBawFrj5Uo+mo5LSnVYivYyyahvYKdhYtOcVZSyTdqg0EArfmsNSl4oWA7IFtlubgAXgSo
J3ousbWPyYDEk33XDGyTyHPo957fwLdKX3O/vR4aAL2OsqU9iEm/fDBLe1lPmHkNrtFUVBxpJ8tw
burGWhtETM1gQMtxZ7aRtnRTXKk5ubqMfmMKpnkCfQEVQ1lTj/F9LKNLVrg1R0EP9N/ScgaX8qJw
p6uATabqQVGb/WQ6N7jqH5wQThYOqzajJLl4LRUFnBruFFunh9Yq1rU/LpPAWIXK6AV6eAW99ph3
+rXmZ99VnMFaRX8ThGGcQFvhdlunFmslhA2JexiM6V3Fv9SmFnVhYaHxBXEipV3zU7ysXWet6vVe
97HwDeUqwB4JZ61eIrnJBZ29X/s2f+CvMtYDJuexpquTXxIttpAoR9k/17L2pCMOaZPvJmEjU+Iv
7Bh8haQsFpTclIQWRtR1y95oTXeftfKpKZHhAX1hBQd1Yvhe3lRbSSBOGTLqfkx3o8bdQ18p93kV
X+dC3fjGsI78lu+OaYNstnZj8nTaG7woVzJPD8VEnk0gSkX21hn8E5mAnTRwNPkq6VxQpLKN1nA6
z4Wv7PiBLYreQXEjnagOjwWy/Fgprcde/Q77yFVd1SdZm9eck5SFo9Y3rWkuuwKprZogQJvpRWpS
jQgOC99XcKzmhWrKH8akOWiVuSmAa7ZND9WdKsB+3vSQ/S7k3ZyBULX8IDQjPAlf8V9A96Q3NSiT
GS69x4cAmwGqXoMdS8TfkL7u4iazdxrOYrzHzSNTpoWG/RzX5CqJ1G9WJhayKR+SKtwpmnpivcXn
VSUbldAVyFx+l6mdeJOiPoZmXaxdPbnNqgbvzJBsEl09x4kTw/PFxpH3+hrJdOuDCe41gSETgnpH
ShxLGqfyUZsFACQQeR4CC7/1sB8YgxSiWAk80A3zjIL3H7+AGoJ1Z6/aNqDUSEhPsENIGojNKS+J
wZXbTjjfug42W4QS3NnriG42mZNgzep4ADs0rYdMHsYmOFSNeZubnLgruoclm/uG8CbubbGXmsGz
TqadIqxKzXepaI6T6B/rqvjaOtUqiImk+elA4SNWgkzh9ffTlvYT38WHWfvbDhGaCBhI3aY8w/zg
u2j6qqJJTYoT7qkoRqJPrgUlSL++yAeXwn8vYs0jfSwRuvbBPADWWrGYL4vT4LxU/aZvH4f8e6DT
Y/a78r3PNrw6rXZ/Xmn+l/w0d899EhGTz5U05zI0xkVhQxuZdrn1JW6fotzyfv3BPv32+DXNmTFV
dT5+MM3BE+GneXDuxFPTHsrgq0y//voSn30idstslrnM3IDw/hNhPB0UdyzCc2d4cb9px3GVEqnI
gk000VLU/BEQhIT6eT/iJ5+IQT+HFp1HYq6zeH+5Tlq1NipNdI5kgCeTU+bcFPibz/ReoHw7lry7
yPzff7pLtS8aoARcBKPXoqkuSHktf/2t/e5jzP/9pyuAgwQyKblCVRytnuB3fuvb0W8uggT8k7Tw
94/x4dYUyZgUXVZH50Gg/pmeG51RyFjgHk2SDPVJa+vfXPGzj4Xng9G3aTHW0j+IGUnkZJGM1ehs
l1e0S4HA3tn/sDpq/rEi1lCzw8weN4bz4avzTV1YTlfFZ4iWq8wCzZ57fXr36/vz2VdHdsrlUng9
aIN5f3/yPrRt0sQx9+dREkHhpBjPhkb/Jm4PBiSt3r/69RXnZ+ovHeiPm/XzFT/cLBAn4D/UMT4r
g0D0vIeb8JvFQH1/d2Y6nqnac9GzixLA7/XD4lPnDKbDQc3O8UW1a3a8PI+5Z67Mq/Da9OQqWjue
WP/6U72/5N8/1YdLhp2SDaSq43Nn1RyTo4VGg4aWb399lc+/O4OvhDenaZkf7pY1qZbdZEp89kuX
YpKD4zS/+e7mb//j3TFwSqEFIgvCk3j/PBS1FqljDYDJ5ug7Ohq7zafICGizjH/zWT77xn6+0ocF
jhMxOrdtxWeVIZ9zZfo35fSb5e3zSzB3me2e2Eo/PGqRmuC3noLkLOXJRPwbYLcyPP3NS/WznxAP
24+rfLj12H6pcKQK9RwlX1MxF1mv5uQP/omkOYtkk5q/uUd/+1gQG+GfYf/kVYS37cNWQXOxWWR2
np6bblNWT721Kqfrf/igfbgEWtrPy7bsAr7QsEzPzDiZfgTLMTZ/87X97Vl+uwS+QqiWKs1SHz5F
PAzUm3LSOtfpVzHtSCf95gJ/e5S5AE5Wk98Jwhvup/efgaXT7lWCSWf2eVlrejTW4oFfSPf17bv6
18U2e4v/tyq7Sv/fMq+ev31iZZv/4J+qLEOJWfVXGME6vCfn0qgfqqz6H2p20F7ZiKo4dblBf81o
ZyD6jxHte1UWlA+jBOjnRH4NCAD/ZCqBkPvzgjdb2fh7eP8pvABBsKsfnpIy8AdTqF19os3gS08S
ft3p5VIQREZyqKszLUjBVmZW/mAaUEVor+TUYAsyd9k0kH7p5H4KCOdR+lZ5RH/vGTHayyp2Rq9g
nYUWzuErm/tKzNmD1RhtDjbF7SDD1P1FHE839LxYDBiccG8V9p1by10QhnJtTRXjNDPf8/IJtpVu
7xBv7/3e4jQcFzeAKjANicjdqgq7XaO7HXTlILL2MkegYbeI70GpYpLrJia5oierQYYLGObkQZKB
tZY++o22bywIpGHf3ijEoNZBSUcP0pOysAbzxaoSsW2ageTiYI5rNx9erdx6pdwvXtZ06izrEl73
oD9gE5Z7cot0HdvOM41RV2Heg0WMi6+uzE4JWTNH72xOWnjXvwzxGED8UzcJ1OaNWVjPDILXQZ5e
ZWStOK1nrxZduQMRIDVPi40hwm+8ja57Kwm2isvZO+tMjqv9BLQ9EsDJxXBCPaCjONC+RL5zpPQV
/5WmgtBRHfAGBWJaLFmJu35HneoTLSmcWHW8InTKnqbJ6A+OMjKpjXvnPNR9cFGQa4Fe6xic6ENR
fJ9mFCkJbkDYcUut0MCw2JjZIFnEmbiMcBcX5YiMkmh3asSxoKD7aKvNHclBoj9OCkoKNBG3vW2t
NLjEy1TsJyWr6LwQyZaJ+KoHfabmkFd16cQL0II1Y/HoS9SbBVgVxFRdNPFSDxBDCqug7jhHqMeH
dQ7QJxcWxBmYULf0Y8VMw6tvbTtsKZPYG63kKx6zpR8P91QLf7P17MIXHDCJiLG7q4Cc2KJ9hqs+
Uu2qP5K3eyLmC4w9sDeja1AFTYxcU4Kb0s7r5QDLQmikc8uZfiOTJTxzQIrJheXb9KqB6qXP7Sab
5HdlzvV1Lc4+yxwx6iRU/3Qi/qpa4sHUzPUYDtdp2FyMnbg1RfjUpOlrWCXAyKFYl0N1Cbr8bpDx
Yewz7pavfQky4m1h5d/S53VoYr6hQguMtV7YvZcQV+AM/+jb/R3+V4K+AYGhQSCc0t/0whzkuq/i
y6CoYFq5wcKxuxnMd42DEFKSH11VtIDTN+lBXt4HmBVbqz8UwkRRab44IIkCaV528NLDaNrq+EcL
heAWjPwHhG5nQ3AfV2rkUmfgOAwzS9EuaCQaFj6dVDP+86Gqs73udsdE13YgFr+0MqQqnZy/V+r9
jjn63DSXE1EQ6XUd6S+FnrlbG9/jYrIchK5YX6WkWVHu83pFN1m2piVkOxkEv2K4ADQHFd5Qq2tH
o7x8XnFZpSAVJkZ3zgFyLDSY/+sWRTBQIGOouD8VvgLWpCt9tI5x6341LZp1C9u60yzjqJP79vR2
VBcdZ95lPi9xVTgtof/caK4kdYR3TCsAjdW4U1zVTLdZR8FBiiEswA9Pem+4b6fgRlWMFzvDQxdo
zvH/2DuP5caxNAu/yrwAKuDNcgiAnpREeW0QylQK3uPCPf18UE5WmnJR++pF90x3qCiR4L2/Oec7
aR8FmzBE6ZG02UWxCBarQ6bXk2p9UjH9+UqRsTYwK3/SiH7KY6YynKTrNBbvTTfTlNSEGMSNclfE
PWguxYo/V5F0Ngmv8cuWMyKOH4eov2qwjKFIe4fTie+4AM8aVbK7eJcU5r9B/Oxgh8I7GkpWCC0T
TnFn9qVPmXcw7ObOmYJo1eRIion9eynn2PErvdcgGs1PQU+mmdW3n8xOqt1ZNPSa2TkKFVKVg5ex
Fe+KEKyfimafzarPkBUDa2fciHQ+CYdcL1Nu4BSAGLaxxckSO7RGFKDaB1j6ZNrcaaO8jQN5T3zU
Q9KzzktB5PDbzE9OOp7aenrIDTyyQ3LN88CbMIr7PCVjyoD33oUxOiG5wFWG3Bh24W2hTWfFbPfy
mBx0ebwv2MgEunFthq1XOXqBd5xvtR4BFMjMEUck6fSOSaEcJx27blntVpyxHgu0bVEX2ybpZryb
LceOiYnO1FiGKYG+MpUg20Bz2c0z+jkpJTIqMUGfxYiV2NapO3QuMQPuBN2pVhV+KiPYHXp2iuEY
rzGyJl+rv/+qsiV99q+rsmPZ/s//FuGX7Ev7R7HI8qO/12WAlJCEAFJDFfLVLPCtLlPs32icmaVR
4y8Vm/q9LtNZsXN2QE9BaSXTJH7flqu/EUaDtwC5HTwW3An/pi77tSqjGmT8YaGcRalqE03zc+2e
2FZrD4WTnIl+mA0Yv9FGrx9/eGP+ZOL6VXLyvdnFO8eraNw1GhxGBm0Gb8+PXU6NX5m4eSM5d2US
Z2ikZexUDto0AMpq6ica0+qSPLKjFRIwI7gI3WzGNJupyUWuopss5mQ2ovg4yLLwZMh+HP8iW4Gg
kF05jHaDmu9EH4ErdbaVUI7yPNy0BI3Xc0n+iXYVN+FeTgCd5f2SryLXztpaZOIBOnySrZw3ZSQY
j1BA/scuZYWViffYGBvE3SZKugZJFt9mfn7EEAEmQQnM/UCM6iYYRpahUovq0MEwzK0NmJ+cOFIX
Vf2BpDGLTDlDeyG/s13BQNU2sZxGph+JusIJMcHnKEtl8iY7RecXOlWQwDMtWG71mn02p3YaN5aA
BziadhStOq3S7IdZrYGR1CrphtJsGhulHMa5pgymA6xdYeTdFMCbNKQru1alE//8Co0P55uE1bqU
io1doi+HEddgL1czr7HseKtleroXY23a17xeq70YU2i1B3CKfUlSgXYpUeaM15FCa1eHk4OM2bT2
fSjCZ2hg+iP4V277bJpv9a4Q+s4uKUfBwxgA+2xCD0xXHlqHgCDif8xCZ/sg5AVAO7IvE0iv6zCc
dr1q9GdHCMvveM+JeZnb1zYKD+MEAGMa0QY4dbyTVJDamFxhC1BpXuZe7BMZC5VTKs4lpA5fdQnR
QfbkAImsctkdUx1nu+JZdfwIoqA/8tH1nlnHgC5wwHgtJd1qzMZ4b1KA+laHAaLrMsUtnEA/t1Gv
9mRsths8yNtBL4g4GdX2JkSpgeQiP2ErP/VNW6xJLrvRS2NnRwKLi5lty5jKLdTkaxDAt51i9fdh
P9rvJVvSNkk9cxjN9zIWnpG3XhrUyp0siTWib0q/MiWtCDm33WKkYMfbmtVb23ZQ34E8JdNDDQm8
0fq9M+ZrDpCVpc8bfZRPk91jZei2TO0wYEdoTftPmFVOdS6ts0EB8Q8pQEyf0S2ygP9McKziDWYG
KJpIRC81+mfDjD9lM5QLMmzbfUdMK2mT81HN1Z0WqicTeDlJNM8VHx8BoplX2BZycpMVuL0V8vw8
Bq0f5nQGtVxDSWJhrRARuEOWm3ikUXqEZF3zN14Mrm9vjOfQi5ugdfVejk8RvlU3CtSbLiva01B3
h1AdeZgXM0A9wlgJiB+w8+ng8CWSgZKrTuONtn20K+2oj+WjNHduali3Qg1viro6gjAjYtY5Ql24
iZx4n6mVr4IuI5BiXKlTqiABYVwuCFV2w0Y+p1L6wp7/BcXbHkz1ARf+HpvPzTwoHgGCXpllJ0NP
3DqrpwNIFuIuELjZ0fS5Tq2tWEKjGsxL0cgVPw97u2RjXs9Fse/s8i2fAgu7RcHWMqRSM0Yt3dRO
tQmwjF/mSar/YViqfLBofzl5lyhpWlcbYhb/+fPJG00K/YaZxeeyJvWqzxwshv2UenneZ8cuR+xj
9QE9YZQTTDF/Uaq6vanrVL6zZ5vsr3G8iMUQNAZe6ljA7btNHZnvwF2QjVTNsq6jmDIn6FHzsvkP
YrcM8OQObKhXet2DkLO7bV+WnxprFm6ctA+qFdV+r3TUsKhgVlnhDrXbjjulSi2olAUbZAyQVNOZ
Wm7a3HqDxnMrrGRP7OlhbrM94oCjVZVHu1WdTTcQR9pO8VYd2Ue09ABmABArghOL2xVJgNxe9Eko
bhWZeznCW9BpoXwMOvQQSTPeQ7TWgbwjLlQneD+woN3ahGI3xumpr+ZzBMYuHYyNwSLXizOiiwo6
JxaVCxiFpGESm4ywOhJWSCZ7QaIo2KFM5AwnVRqiCr9CObXrMmmu0iS7oAHFqFb0mWcWEpa5CmBm
01xDAum9fHbYUjfJPYBsAFNjDJEUEQwYEsAwFRDbeU0G7FtayxulQuajK89JDqtDowVw9O3AOaS1
aFsd6yjX9CGhI70FijnTu9UrU6BdSrNcgXGxnGXdMbbMJ1XO1gBI+pUtpc9Tripu0k6pr0fhFfh3
Bc8zTY9eJfaW5FTxALl9OMRx3ZwywkJ2f18k/Dyl/CgRTHZ+zA8XDzQy2Z8f1AQhO54OMs/JyPO0
ZN+gFvr7V/hlfKwvmluIBDZrJHpL+1dpIEHnBcbNMDxnJgIg8yoW8TauLs2AFqXJ3NgkSjjx//41
8Sfze3//AvKH/PKqy9/9w15OVGlX6ZoknbAP3hqEFgLMKW65FZ9CndqDLU3idrbxCAyR/C0ANz0J
1XwrMD7JKp7gopmfSsk6xp0uu8R+EngwKJ/sCDAZ+4l74OiDF6bTwcr0Z1xSIylgmil4morSF7NV
+HYlwW6setu1imnaidHSPpVF0q114nQgIMWfM55Vn3ToyOMEnrwOp79LatGt0JekAim9F2Gv7vJQ
u46m7g3P0JZL6a5tmrW5BI6qRrLV5EjyE5kKBWxMsZlmIbt1buqAMRdaZjxe1KjwijhmHKeF4JWd
6cBD/163CMswe+4aXdpOg343zsmjLqd7owNb1yyq+jjQMjfpYqTAwtilc3JQB/JNp0D1tAzdhRak
nLLyY4+qjV4qP9nRuCmawe+DmSdY9tMuJJma+KIyQdZZQZn0miw4VYshybC2SomP0g7H28hMKOBg
6ooO5rSmdbI7Wx0otkWMIcpXc+HcyflNXWEIQSu9apU9KhZ2awY8rgK4SaUo98UUbcdgHL2+EecK
ZoKXVNg1gJwhOsFTylStNvRNWOlHC8zXPzxu//SM01H8+LThzbIAk/O0JcfiOjxLa1j9D8Nm3hHs
cITQFbmfVdA/e+VUvAyHv39xcrH+7FGHsq7gal+0FT+/uFKBYEoxPJwqz1gVR9Wt1uyCQP8/WmvZ
l++vJPf42Pvgi/tX/i07T0d5tY/XwVlDfvIPv83Pjc3X752GFhn1hbkgZH/ZekzyANFJSaJzJF9j
4lnF8mPTb//+L/75zPrja/yyvJmbXEhRlEVcrl/CZutM/7DB/dO/gZ2xBShEg6byy6eZjyZuRfLL
z6V0XTNgawxqzq8n1H/t+3K+/3X7fvjS/InnbfmZH/t2xVyAFr+b/L/17UBSobaQUEBpZSIb+aFv
h3i6rApxtXHFmHwJvvftOjBU2KUyBpCvdOR/07cvr/HDvcI6xTER4Ts46Ni3KnTwP3/ZLKUKob3P
3dlqLSbYTD6pi5dmDiG5syH54rUNwmFdV0bkK9Oc6NI+b20xOZ4Vq8kzeW0iuIqCUtQ7JBwcacAj
B9lnEius60pvmuG6GKpzK/p69iWWhht622LxXynPUuQMNyRnI5SRAxUXiDOUAcGaZRZ7qj5H646d
S+jVNNDk1xDnzUxV6chWfybCOWHNMTKwG2dPE2Ybt2u1GGNln+cgZG7DeUqlTUwUmOp3ZdhsHMo1
MGUFiah9Z3pNOSSgx6baH2piZ/vUVPxhrJckdbN5mPtI4DkH3TP7GvFRrFNVhyzLTGhmfaqsJe6O
1lNqd3I1mycxEWEKg640b2NzESQz2wU7hp2QEitKu9tUy9gcmHqVXY0QFtRNbfH/T2FbPs2DjvCg
YqqaoPmPSmtXZ4om//ftVD6MKDrP819/O8kv617/x23E/MfZ2vKT376j+FJZKyoGLHJMpj87UdTf
2DMiSqHpWb6JP3xHLXKgTU7vb1Ys7rFvThQTn6tsMAhjVAL76d/N1tiA//ol/TClGqYJTAY9269J
IQ6tiBmyp7jiCS9Bk8MpbNRM9bKxeIyBefvqQjNs1QaVdWphTzC6XW0o732Jhb/kG7GHFEcgYJRi
6ZTFNkQ9avB+eFpTgkksBElXQBUTK/k0BPgLwbCBMizIy8kWBqPFZJ7cj8m5jur83lhojfWwDJIB
OEJtuw/DjiozfgQ2eJejs7qylhSsclTYyizJWGj8431OWFagE9KRYviwcdQz5FK/EFPGoEKVhrui
drbEoR+SapzW8ligKh0vtTIQb4BYK5Pqc08KRKjXG0NuCUY2xmNuNbdRy7KymcpTa+ADCzttkwL0
IkC2/TzFrJXKMOx9i4RZV4tZZcT1re5M62jUQSLCcaP6jHd9Zr0oSmS5wzic+4VQZ8+LeJ3KToyw
8cpY8cZURF7WpJ5jzJcgRMHNFpq3RsT9IYtBNORGeCa+YO/YZLmCZ/PnTnpLkgw/RV1bjEjizTAP
MemEmFmlPtVXcLWISJkxGWT2tRYWGSFpbDssBmNdp12SyrqU7RtSyXf8mb7AV8c/CixwpLSvEclk
bosyD7JwhxpYU1faYvjRTLLash4gbabTw07t1i6dS0DbdRNk0bYek9GXa6UCpcpykF2/uoHQfqfP
QJPT3vFsybgHXeTs6z7ZgkeJvSmOr2wMRi75HWsGsAdSKa+HoPS6TN5Qpa/Lkc2yYsSPjt7qm2JU
0d3SYLA7qNdzbKHSnp7UMl/rRf+iDxPUSK2/9C3rImUevvDKoz9q2ZfeqpWrosQEUivTdTIy3gvS
6OQIKTj2WvMJejZ9PTaoXRwW5ksk5ZZfWwxK/AlhsC/PKHiMgOy8vjoDCMCgEZbtzdiWKgvTiWgX
3iAQ/ljB3uzKHii5NbCF1rqpxm2nBazdGWJoQfPs6BB29amA4VvxEiROVLgTmgHwgzB4i+0w2Eh5
NN9rVamwtZ4GGnDr1q7NQ6dMX7KoTj0lNS64dMKDOfc+M8KzCnFacUD8pSaCZQSCb8lcObuutN5G
i1EUqEggZLAIiCRrb7oaGEfQnIIUQwOr9GrP0NTNieYgCEb38bssEck2KX/jxE/gOVkVQzitEyV4
z6rgOsMV6el5J19xkRHcIXQVgH92qNVC9kWSVdu+Uj1UFB7gkf2QqK0XB+pzUiFux1vZHSNdkk/a
0BhfZDlI70pZr7ZZb08ScvIIm9rHofxf7bh08X99O51emxj+zOsf76bl577dTehxNBBRS04GNaS5
4BR+qB81XMM2WyEEgBa3xjc5jvUbtklFsaA+oUhedju/X03Wb3DvEaKxP6EoVZFF/ws5DprTP1xN
aKwd0jt0jR2UqvxSPyaNlKrWrEZXuTzrwSlScbyPihzZO4NMpfC6lAZjP4vafDEjfaC5kYinxMeE
VB/fU/vgRHp56zixMeOWEEO51gqre2w1oQTCFZkFUwVLoB5LD6Oqsb4IefQzVU3hIJvXts3ilEWu
6M27MJteh3B+ZdWug/+8mK1N6iDUcTXL4yt1shgfp6Y/9gEkgGZPAQlGucXsx2C7dVmyv6Z1w1hh
QEfJ0LelLQcIMDG+ZL1qr7MC+rC0cKkM4ez0EP11PwTbKgft0huXHBq0l2pMGYPxDGQHlGyvvNZF
fVtp6ktkJ1yzmBPXkJDYt6vzvLFjJ3fZiXBK68YlMa1jb7dPap6CSi+yY96UBxFBq0FIYXt6a3HU
NGGzyocKqM2cXvq6uq/1uTppDV//uQBa0NhERjU5OgvIB6ALMtBAncZiZCzC7MjZ6s9W9UQJS7qm
IleekJsvc9tMXMlj5tut2GZtssFmuFVSOKMWsNJJclxd5+axVXUtyi5Elcd7QM08gGGxjW1c8H/p
/Ygrxikfiih9A6Z0Y+uRZ1fZZyWN7swSZHLXJfoxIDYJS+ZNXC1wDMPims5hc4XCPIbsPN0y0y+R
ad5Bg8XUZ1hvZlkcZlZG1WQzspdtdgQFiIeqLxMu9vFQ4Mvt5KFf6WWxyWKJSfySOtApBAjWxUNi
tkxI6TnWyhj7ZsVy3TAHVxoCyP+yvdZrqz8LOyy5IFpcuY2+68iWf2C1M5LqLm5m0lcwmUbnAoMa
EGloM8kk7psp+RQQh7k1o0asDFhbIDweKSyfrCB01UZ5hTPGuHX5NeT+Ik32ug7mqyyN/TZW105w
zcNanvVeHDMnvYabT7SbA5sqhZzVjOhUwKV39BbTAZUD5ZiRHEu1JBAJ330k2Y8S4LRVZ1BNKMkY
uFITr2Hgno0qv9Ic8mYc87pvbXRvfcMA19LXkla/wKfwIkO9z7uM+NSSC7I3r6YliqEwBdmKjO/7
uvTw79xhi/1kSuOpMcUXDGZ3bWftKJKPSZ8qOzmyTLfLHDhIJZ8DYctvmYJlV51DC/NtJiDUmlf8
8Shahuipboxkpcj5lRoo14ys1rWTfpKkwKUwkSHApZjmtPy6E6V9LLToYOVd8RiZjCmyCcYtKP/s
IGWico0lMCFAYuhaef5KdHXqd1N2o8Ciz6Rycklwx0zICNux52NWdCehUA4L/Xkw89dOU7Da8aID
nCXg2Vng7CIyKVqKGF3Tt1oFATsOMpBPpr4qdCDgEyArXU2XCTmQaCPaOyAHDrHSFDftmAbtfuyV
ZTlT9Ktc1WbPcWq2ZYn9KHJKubDMUecgNGvXKJnTDQlILR40y0SZLTbVqKvX46Tvmcso54gvl8vn
blwVULZJ0KEHNztrfJzrIrxAIMkOiQ5/rONt8IdMyrYKJGqYdghyMBQGeNR6s4u2naQRdM6ENMNc
JytrKQn+35D031W9iCb++qreFdOfyGaXn/n9mjaQZ6Cb/ZMxD/KMJfxKRYCBVYwQmx/vad2EhAQw
ERqpA3Po+z3NBIh289sFjlr939zTyDp+uacpHOCC8Duo/Baaof2yF8FvDXu7t7pznppss5cRy1jm
uj3fTGo/99UqdqJgNlna9HJEmdqnAy1ix1SG3gKbJxVxrFFB2nE9XSG7hH1K5MmwYAyV0awF/U8W
aRsipfKMq0rP4vYmkgLSLzwpcMriZeYw0a8tIZym8Cy5wts8GgZeeFeR6qR9ZcHawKHs0CW2bNq/
grmUPmo2SVs5p6iW4cSPjUnrOej3dYk1yUY7VYP+4iuaJrmn1EN/wKUwYWOMi7OVpeKimOnwSS4M
o0LdGoWfer0ZIczJ+UKfK32CgIJzInEqoXSMtqCr8hT+gDbdKAQ17FpRDqe0sAaCbfrOA6H4XgIz
Ybyvqs2rHUP1yTpdFWyaDVSCRtLdsVTIcVwXxmd7zpxNH2XDMYQyGSBK22SSrl3sWQbdroU014Iw
T4Dj7NSMrpOQusrTuUEEvE4F54ZeKVUFBhP164rC7BMfU7etAxnplVI5CgdOpL5oc0U83wxUbpWq
Qv2UAjcgW4C0lAn1xZNmtHiZVVW9Lion9GY7F1dCpJ95S4sdHFDlVsGFyWJElu2TPsQO7uUyOk85
Vk0UEPHZiNt24zjExySzY5/nOja2ec2yyZkI8YvgJH3WoTQeUcO1DyInN7SlzUFnHask7yrZDOui
TdeTw52roAq5UVIiymOwhddazDKlE3J5wLmFIblN98FEZshkS1yYxjS+D3qUbe0qD/djGZMkbiSW
dIop6vZ53GYlO9Eso7SgfqgnSsEqFMqGYMd5NRpsVqA0OME+ayTzAR3fIzJr9ahKTFH49QNs7bl+
ojtcEoQb+QoQ34ihd0h2YVygTWQje9LbarpEDeE4fTvAxYzF6ANLDdbtx1zyvybo64iOo+avT9Zb
2Lr5n7RACwz329kKKAasEeI39i9Lq/NjC6T9ZnB02qaKJO5r8uC3HshmBkcgIQ5QBQgzg7PvZ6tN
8qCmLmK6Zdon/7uzVV8sET/M0Jn0QaezHBRpkGc0Ns9Lj/TDbpaImAwySwKWQSOham3YM9Mmtqef
G9STvY4OTF6iKqWA0MpEcR6CDsdesARaGob1qcuzW2uJumRL4EFzYZdPCqaQ5F1LKma6xGM2S1Bm
XPdogUjPxLb9Mix5mq2KyTuv613dh642x1cahwiRGKcWhZnSYIAWSzpnD59yhT5vWxDcOQ+SZxHk
2Q0m3x9pvk6XjM8sHi6q1j07S/qnkRY3TM8V8JjSnbQkhAZLVmhNaGgYmIcsecpIEx1CmSBvI7m0
DVg4wozJ4zQOGK2ZI86sbpdQUrnSF/21vpLJK53JLe0LcbDb4K1yUACo5os6EXCqL1GnYRGchiX8
lGHgM4MHv2Vt8cpgD1IkSam0KQ+w7N5C0AOrodJqF3b7PSq6NwGQnM6BZXJqn6YldJXiiICs9BTP
1Wu7xLL2AZX3sES1RiqhrQVtSDBGyJfs/H4i17UVw0u+BL2mJL6Odr3pPiJg83xh4qLQRqtfB8ZV
qsK7WWRoYiBAdpodGgxnzR14GiCzyUvUbEvmbLGEz/ak0Nqk0Q4tsbT0G09xBEKjXyJrqX8f6iXE
Nk27J4NU28EkPLFbcm7JuwWYFB7B9J5pjCOvIAdkaAWYXFJy24CiuCU3VyU/FznjEv/UOfvBpCpk
q/BWhNZtGEwbVHCjn5fARUtVgVQkfSGY8jCbWFSS7pH/bluUDE313rb9UsV3GyUdntUkO6IBuzOP
pUJN7pAKYzLu9iItiDxLtO+5Um8TqyGBqo7cTjQhcRQpFoLar0qRr+S079HHt7cwBjdETj7rk7Ih
+ilcVbZxaFn3u11Z6nRwOfDnaFrXXAt6N2fuHBBpH9GfM2Kw3XRuTpUDrSLJg85XJ22jhuUh5YrO
HKRmqdPc6OmwTyLUzlHDfenw3uvBoWPovZI+EEsiLJvHqOhgg34gmGgjrYsKNQQyk71QmuTKqS/t
B7qJzpCka3md4nWh7w/eocB+CQw8rlFJuMnCDbCK8aE1m09dKupVVZY3VkhsTZTeKAymbZpFVzMd
rxotJhhWj7pHBn9mdGcFKSR/XMWYksGdNiZk0xEDzHwCwX9mMfDo29xFFuB15bjWzOl1NFWvHscX
OyBhyZnu+aDRhCXSboqlY1FHmyiVdvTZKExJe04I9gJ9jHoHdR+m8xEjw6TPe63qHpW6odljcaXm
47pHYrTS4uRoxXXqdinqx9HaDMRT51XOB/LQLcGFo1iTaeT2ZJbFUgDnCn3ihJ4wip2nPMGA0jbR
sV8KD4oAB0SDKWA1g0Cs5bPWOZ/bQedLQHDnaFXYGBxPq6aTLpLd0Cx7eVVuUFwMfLYYcySxFW3z
mTyyKya9Xpvod3IcYriZGviJNEm6Ufh6iq5LxpJTj4qzVlL51hDBl5qmHoZ4vuuc0HZbq99ifBld
qTa2On0k5VF/iBA7JTFLC+JA3UgXp8EqDiNBQas8zVw9tJ8J7qHURGe4QB8neeNY4jo2+0dZrXYL
agS4juUjteL8GwsJ3Xx50QS46nhuSHNDQxom24wDsIr7c2DOd3VZrmq1uwlUsYf7uzJrAwyQM3nz
rK7ZCfqapOzKEn0WcPCZU1hbO0Z3kIt5DXeyp5pitFvJn7IAMCbkpRctZvA0IIWm8Q6vlYJ2Lwxv
lNk+Qr3r3ZlcLBxnAzTJ1LVwhbtpFRLNir8McaUhNk40XmuZBIh7uobD8K6p87rI0e+and82NiVY
XCOZk0BGddV1Z9n3YywiNzcM4Y65AdwqUbOnFCqMF1b9e9KKQzTKD5kodoC0jpFDFJpo4osAg6PG
zbsRTr4QSnVGsbiuk/k+VUCBGX36wAnst4Vx00gB/i7ZeZbM5nGsx8OQR5S3IreYn9sMbaKDioUs
Go0rgCMHnYrYDfRph3Wa4lYJSPuBDdSmD30mDYzYpYIOd4ayYpPqk8nxTjWWvPMhn+lsojfsH8Kb
+nL0WgYyzjxfKfCjfcoFKlt8fmNDHR1o9bvV9YCyuvTUxQzZxDQWHhufxzJRr8tcvQAlHIg00lnO
tp8NW2WB5uxpv69ac9zNKudXYxEaXBjF/ThJD9VY3mWxyoiz0Lwqi9kXTMMV++XZ1Wf7doaZBn6T
dUzTIR412PZs9SUjzgz6fITtTjrRPyhYPlga36Vj7CEtdAJgYIkhwLULAeHn8qStERpMjuZcKbf5
6slY99fYYFa567zeXdoTsUV+6Xbb+GhswE5tET3ujXCbnKLNfwXuR4Er/+2U/3/JYiu+/HHGv/zU
twKXGT+GBgRGfDpQXmQKyB9m/Ez/Df4F+ANmMrXv9wKXubumycb31fS3/bP922L6sCysus6iMPlX
JFBShH4qcHmCGEDh69BIkOD3RJb18xMUYsxOEs3OriSlfg7jbljNIvukTMYuUyiSEh7uthG+ZVAG
wPOZKWGcqT4PNj6IYMjrXR7XHwkOfFcIJUBRu5ZJKRiWuAIbcLnbh2i4usAzpZJJhNI9xDZM34yk
g2iJPOilZpul7WtujiEmMv0toGxxKylnem+Mh5HkhHSJUFjMDx7jD9+ceuYSS9CCLCSMCctAV7Wp
o1gYCkYZMhPMJaShIK1BnWA7AUo8CEh2HOzdk7ZEO7TAjUrZ3IMqgMg/QjYKe4IgkC+ujIg9WUFG
xOwoj8gDMXss8RFRJA1EuNLsJ0u4xLzETORL4IQVcCZ362kJoqhr4Icq2RRzFJ46rqWKzArUJktW
bMx4X1XxxKXY9sLcT0m6CBT1Lpiybt0jB16ZjtZTKhKMUaUSxjuyMnJtit3Arh5tgxgNJgiUXKCC
6zi8BY9Wvcj18DAtjtkO62y1eGiZ1kJoAkQwhv0OY8EmrwZuXGGwZ0EGTcWI5h6G8CnCnqvVrcYW
f7iS4J74aSpmTzVmEvMWXy94VWkjleKiYfk1MtzBw2ICFil6d/O1G18rdu06huF20sqNIGw3EyR0
NhzS5YOjRMUt0epV+iUO57dhjC6zJnes1Cv0+ACtbPsVsPI54PneyVhhtmOnlldqEzhkUTF/Zabg
6g7ZiYNlbjuG8is5kmPue2c6a8nMbjwu8wGcg/U4FAjU4zw6aWP5pZ57kNll6NAB4IaZ/9tmftXa
GEwn/7qRf/hSUPT/SSe//NjvB539m7nkUsGQYDv5QRD4dtAtZ6AF75VNomPTy/9w0OlsMxUOIJ1V
49Kw039/O+g0YsZ1IFwWO1Ll43/6F9vMP8hsHE5aZC82qlMqfJ1f4cc+fpSlsG+aQpwRj7k1q50Q
UCjkoK8PyF+SopQFr/DDwGAR3VmGyrSXFHKkpbL+y42M6bavzUSvzrIwnPs0qiUTaCeep63NCITh
wYfzqW2D+TahJlrB7dIf8diFz1WZ2PtmsU0pVg4m4KuXihWZ9uGvMj+8Vv2H76r/8GANQd33CAPo
vHq9j+kcpOxqSLKWNN2qKlW/HDIygG0pDBgxtEHxFKeT4y8zDJjtxWcj04eztSjXdCFXmYu9IpvW
ZQBXMsOxKmUt8dJWPJTaldwrRnrss+Sq6VKiJODJu5FzzTL6i9FWb0UdroMWy3tfbwsSuw3JLDeq
zF+BNJq6LFg7uW+M+S4g4cLT0pyQbXiN2VS/E7NymSvCHtXqXWj9baZwOg56kzzDP289J0zFSbKq
5ly3hrnPYocuI0eBM6vsXCRJe9eh0G71IJLPwPIqP+8DQjwzyfDVwT7RvJyBGA7erOJ5CuNZ3RBA
dD8p0lNGEDl674h2uetC1eJsxJ3HyiX3mQbFPhlg/CM6gnqRDd43OttWMI9FdGmRoPjCUhrfGeXx
iXH4xLuolqi9U9F4utSQ+oOSqDY7ex9JivIPNLIljOrXRwyUigx2A/QMs65lZvXDTIrgdYxwo92c
W59lGfj82/kWz9CqptQrtrAmcHT5+cbyG79AyI0r31e3gftPALtfSocPbTOyY/ijxjImI93v598D
6eYgQuSR50AN91glRzcNgT9Wg66ubCt1/LoPtHWjmjhhSDI7hVYDFJzPiOzu3J2s6ewE8sT6eX4h
V9ZZt+wj111XrcGdvlgG+bckvzNNm8fHOqvwcTXgRa020bxx4BoDL55zX4/4050NdBk3CUil1+0A
jZyznTU2e6q6IQtCWdUdjrbYYXaTF9uEwXypIRArZVZuACZUxEi0xCjBFidNnkPu50t8HkZH29Th
0h1r4X0IH1jR8pMY2VczaUZNyoNmObVO/EJy+8Pxev21gP8xhPPnQ+RDd0hOl2VyXiIeRgjy8zvr
zOrgVHnQnGVibzYcBBl/PHEM+Mh8g3E5vqmQ4/r3E/1PXvJjkvm9lfjja/7yaUpjbzV9GrbnOtSe
DfAoI7MWhnPWVs9hdrGcWIUmS2qrrl0jazuW48WEfVAwxpD+j73zaI7c6KLsX5mYPRTwZltAWbKK
RW82CDabDe8TSAC/fg4otT52y4VitlKENqJIlAEyX75377nWJRzOJzXpmhXyr29hZm7qpjkim71W
w/nNipqXQiZNgGqi/vUM9N/YcsHf/P4N/jG47vXr+59tyctv/b4lewtqfUkp1NmW7CWf7vuWjD7d
IhfV5NTIpr1IhX4/ezi/gGb1SEmh9w4j5vOWbP/i2AaydX7B4MCJ5fxfbMmmvSxU/7vllrMHunm2
S9Ywldip5UV8XsgUFbyZLrQIyHGB2ZooM9FZJeKAlq5T/kgdvKpH4QVzMh0c5kfbsogwlvU7KpB3
UxkIVvNgSRmy8ysnv2AN4dn30mPJoJMmgnK9uImApxPe7Rb5A7wa8j0Sz1ubSf2m9TWKWbc/CYrq
QRue7RzcLjFFFoAP8DXxi+3lgYK19QGjmbor8RZGhQx9J7TIfRJatel7fBeAPEHb6M8ImsqgSUxs
u6QfBJKiejOK8Nsgu3cjt2xGVqq9dqu09os2ua2y+HqMytdZlQ/Kkijj2QgxAaLO60yxDpatWEFv
owWpIeyuOqf64lrpW+y0JMGq9qqVvMW+7bJ1V2tnJUe9Aqy2queLtEqGbdpabPGJfrZS4H6lgbw0
yQU5dGL0c7xvW9usael28i3sUiadWp+sstjNNzOdxSBX0zs4y+ekn+MVdXvDWyKSSRbebVeEGEO1
647wKtLUzCJQvPkizr1DLEYC+mKVfKq4W5li2EdavQC86f7aixCn6i1S5JKOmDCgK/ddVtFgrCxy
CIWT+lEtjANOhnQDWeOrMkzTIRpi2PylGgVdkbpbQ7rKuo6MS7vR9qzz9Wbqw/B6UspqFTfC24As
V+m+FpCYlcT2S7Au15WtgCbnJJM4WCyblwlV/7aLDIBCdbykVwPArGtzQ1YKLodwmHZ2GW5EhKPB
cUoySqPiTZD56WuLlJMhb7HOS6xbYxG+ED22tyNgmklWTwF/dOIgmmzSpBzJnRjWSaiJ9QIPPeh6
c4MtmWa7PoxBOlrckL1jndSOU16rk/MX9TMtU9VY1V2PeVQhyz7NymXKUzkwaHVS6Cb36BT0Xt3R
fm/RSa1bTzuVksGTIbiVcRyPQTQk+aaOoCZoin1bxsbL4GRQWnD4rjrXyXeiGyFWR/JWmcJuH+JJ
BoJbrmQRkpcRlW6g9gO3sefQbUVx1pi5uSNw59lL9S94cbcOxN+1PnZHhQhIPmeUSKYsySFovgAo
WsLJHCjbZeex8E+zMA8aGzH9Um7eZD22E7Fz8j2f4seR9v0GvHqFjqdXV5MzbiaDuDJHFs+yhNFO
pIK2CpdQM+bFD3CJBb5dAs/GRGGMTwRaVdGRpo9Mug3xaJKcNAAGJcM3ztoaeOULmrXNqlmC1Sar
vJtJWmvt+rJfotf6qvyWiOZWN+J9qbsXg6tez2S1zWS26di6YyU+qkuYWzWlhBQgNdoXrXlDqsgQ
aEv4G33rC3eJg8OqvK8+AuIyXrgX7eiVX6gkyKHy2TCsW5Ymc12FxXSolOlVXyyIjSYsOt/0WpJp
sA/JLAiTi0ZUkakjxCMZhEO1GePaJL1Raatbg/CTB4zWEt+8XmdQa7qh3dFGtl6irLIOoqvz6Axl
KXL3olHMlzCy9fCYQlfeFsjNgt4LHzV889TgOrdGiCEg5H7ZmVU2QLui0Sm579ZWjSWdu/C5N/vd
nBEkAcRiF9szfY6FoSWRZ6+8Krx2abmOJT2XuZiXzPninNsRJlCNFa6oE5anjISDPkq/0V+6bm21
2qEV3Uy4iHb5RJ/eQQAPgQC3+/DQWED7eYq3bog9x6OeaNT57JnJRZ9Nll/X6iuTHOKeSok6pbjR
pJb7QoTdriFPk3stvJoyVfcnQXCBEoGZLiOpZfuywsbcGeWrUw3x2tBhRTt2cplk6RfdlawGI+GM
+qZsYDDNrgWG3OQ5zAf49kp2p46XJVSLItu5FtrEeYsXeKsM7lWEHn4zTOk324gPcyGwe6PQd/Jk
rWEnXGkuEoN8aIwVg1/gW5wa4pDVr6VdREJl7WLuhfOV6gnmJQxOE9nbxqBqfiE5bel2c5Oklocd
wbkM6+ZcdbQ9kMXAQnGVuybWT2ZMeqQVKRurbTufFIqHzK5oZzcnxQ5Ln74Wx8nhLQVOtyVT4ELS
tl7hGIZSPj9ajbsSdXI1WVXh68I+1CF0pT6tN4m3sNPdF9VwyfKkheLTsKNnXmhI9xLDhxsGPAgo
t+XcIgMlFlU33+3BazdyZrE1XHGRMqIgViQjP3QaN63dHkxB7EKfwM5OWmfvkV8LDkvDisawT0lu
CRl4bXoQ6A3/jQCuoVIeMoOvWiVZrEWSynIzbAotek89b2eBsasUfhrW7jcxpF/rTrso9P962f/3
Nz/V39aTt+K1RFjz2nd/7Gebn2pKCkckGQ7C5Q9f4w+CDYKt+BHCDNrW2iJr+72mXFQZFHoePAJq
x48ffW/zIFpHAQJ/wPCQ2C2V6L+oKY0P4OqPNSUYC14C7n2TXpPKS/+hpnQVI2vHvLrq0R/Mx1Sv
YQppprqYBZFjnJmTDgJevYWktjn3sftmRrFct3pxN2hQEwutuGz09hkV7yHvypuEXoUAtbIy0vDo
WtaRxynz0Y1tI2OIAiowQM3yEZHW+0c8XTXoHQg8u7q2onnDkpCSgpGTPxxnGB/7lZGjPiKTagWt
B++7MZTaFx1p50ihmW8kwmtkuI7RJgc9s0W0JcwUV4k6wAGj7WKkNhNWlaGrPdR7J3EK/Ibewc7d
2bwzQkFjNCxk2iMgI9r1sk2T7jmVYRn0g1Hom4E0XjTUPaGkUIsgKHlWJ9ecL5XA69wWW1DpDPPa
8jT4b2XIaNnB+PWcy/FLbxPfJfPy0akZI4pYbl0e/i2L/WsdVmHgyGa8Tt1cboy+QsilNr7eCUD+
cQISl8Nj7Blsg8O9roYPSjvvAXfeDE7hl4AgseQEgyIuR2ldeYNNT6C2/TbXb8iXfa2VCl4GY/ZK
9MfeYdLrkBpCTgssTE+7GXplb2s6L7c5uVH9TQdkVyhypyUC/USxi8LmMvLKU6GPp75qv6hTd+Oh
PdNT+z7zBkbp5CJwBrHjASFMXt/mNVS1Eh1xrW6l1d20gsCVUe5T2yQ92l4BAn713O4AobL33cLQ
16n3rYTvZ+b2ia16LSt3a9YzxMzuGCbdmR34ue1mlBZuUCvaunTi01wVhNRMKyxnJ1KKdt2oP86y
Og7EnphFeeL79OtUbrw4PqVhdeoM74LQ1U0vxAFlzhZswAtUhY2biCOd/y9RRdbD8vVHjndnthol
n7Z17fESnKpY9Z566vU4mJr01Nr6dYOxSczKvRUb+zwFOJITgwzOZt9py2CdZKuwecfzhdYlf0SW
c4/A7kbEyiasrUvgshu9L05qOuRwXbRLaY5fBl6E75UYJUrtMhzmA/5JvwUpGTmMchMmwmO8rzps
h+7UvreOfgO676adIKWE0WBdExS+TWwZn+zQPE6WXly1nEL2zPSbGPpWZQBO5UywssbmityES6lx
S/Weuc/pN/gNOPug7ryvUzSe1LEIzMJAERFdjw2G4BFROAmNTmA0zQusSm4/w6bqD7eokyYE9CEK
1vwovTHeIKK8y2TITN9gUGEK+I6oO7GXUAsaBdlLStyOfj0oJeBH7UjNcGNScPocDKDFjHzjQ+qd
01rZdpyNgJBXO2zCiq90OC4oGo8CiXiGlcBC6gHtql9zd/Bt6bD9vL47k4U8+aXZXSA7R4M5dReL
xcUMs0ujUbaaIaHPE5usQ12RTfFWmwVfxqwEuqTJmYaksiTCvrZyd1+BqcQLjTulzNCK00UThFL3
FAi4+HQErcgo6ssiyeHlMo4v9OpJcBagaUYGkFLMp14zjmOWfLUNlE2KSwuxLi243dTTZTrc2KX+
IMgmUpgou0qfb/KprLGKyiPLx7QaTFYAqNK179VlH+hNSFgp7pBN2k+XFeZPAp6TK3A194Pd234c
j3eRbXG/awl9XYBMbnYV5nw0+FKzlQH0BmFISZxA7KEgUeQlWej5RWyhkfhoo/zXT1r8W3/dT9r1
xZcq/yr+uPsvv/e9o6Qbv0B5VulJsmPD6mOL/72jZP5iamz7hqUaMEQ+5/pRF9gffKnfA/y+D3k+
Iv+oFJ3lr9IP+ncdpZ+HPCZARPrRC1zBwxu31Caf937RTxIwriXPvXqIUj+dMNn+qnT4ywEPYPcf
mlYoQnHO4vymWKUCYmjOQP/zRXA1GyimuvpsSC9V6XR8BKbFhl4Cv1E5GwZNZY/Z9VwlNnkrcew8
kXqrY5xSrcmPySbQD7pdw7OqSB4bL3GmrHkU1nPCU4Nl2J+m/ByyI+cV4rDO2ylNdStUInSmmNyW
xrkZk24XTkzdYwRgZSI0zv7NQakZ5LrZF85Xr0qIE66u9ymCTkDJmj8n8VXEYubq+d6J6dJqY/ut
7Z0tMhYJJ9B0tklj9jz3GqprS+6aATcySK17h3hQo/N5e0+Rre5VYEQo1usDY/N3ojtpz49s8lPx
HtYq+X5FTWSgOrqrpms3dd6D0XJk4JYtZFWJdKZ21C9jVx4MU0HVb5YUXdEh1PX7diR7T0/EY4bJ
jYVPvnW2eZjMtkRyVNPSG2XgNQ654klo+WHV3rYJpnHHrMQa9OCxiGB+i864zjmEk9vcPympsZkR
09LQc8jU08W31EFw4LKb0MSuzmVlXjiyNdc1OYKrPGvIJ1MRIdCIivwx7QmnqHWU7axEEK7mR62o
9gZfJ40s5caSCoozPb+jKVZzNsuelaY1mf7Xe08T6SkXkqVLyQ6o5Ws0sg2ecDfCLvBmpNXGY8VL
Cqn76GM5w1FVhTNRNmHjQo+LtEPrMkgSg7OdHeutTqAIy6m96B3zzV3s126afHMLB2UtJo+A1tcd
sPBvZiJ9tUneEeBLX+vSXazD9tNG1684oFOWftHSFOikKVAsZuU+TzI2SkTHibuQxo108M1OyDX+
YM+3yv6Msv4eeGPnKznBHUbcklkY30ajYG7mRL1fhnCQTQhvJBSs5yVx2HNTWiqL3TxeJHLDY6bO
ZK9N9rc09V4s/AGrWOrGxsBktVIoiY9YSlrkjknts67cR1NzW5pWfYgz4yrKHSiKFdBNDd3kkJLS
WMumX7tY+VeOMz9ndniHmI+4ZopvUyOScGjV+yzK77uEtMsRxShiC3EsHOWbUNxnxZ2A42ax7xha
1wRjCLUZfoDNpFQYU7avYUbmy+yxwfzJp+GhAWnurEjOK7Kyucu9PLvPVMPbWzMpLbYh75pGJ1e5
fieGdk8XENxoVX/VRNMIBqcRnU36gZkUF8jpgFaZIsjtkP6b/bBETG6neEovi0UWoyg3bZ96S3p2
3iRBiEU0GKR7oThjFbReXfldTjjhzP0bGfV2rAwcDFbhO0tr00Evw7O5MmJgLJXzFLvWO7lbDbQA
bHUmxsOCbXiI4Wm55usC+IRUdyis/jnqOZ6w5ty0pbZOa+2m0oy9BDQ4TQ6CneiBM8hz51o411Xi
ConxddzzhNZi7sQG36QfetPXflDyVeykQdaJbE1Knp81NES6loLItTDhDyfHoVvZID024MTHiSVX
lTcSUugqnGYUZIrtQ5GQMRrq3Xsn4o3ejI9K92713ImD7WwMM+WkEJYyR0caSoLZqSIUZa0Ok/Pg
wMvcNk2r+2k06r7l1qI+ZYbxVFSmcgv1FJxhGal+ni5FZFaZ9YSjaTa2gtQT380pml2jeMiabtMK
+SRl/tA1yjNEeOOaIf58ZsNrNm3evDa6to9b4+sYulfNzPgyx3dTFowXwGVoASdLwmzSnDC6uaAK
L9zpGBXxbRJFX1IdBY/M+vyinSeC8QrghmFJ4B+6+OdS51uU8V2SVGngGcqhH7qnXqvmW06zxSZU
OvDqvL7VkLD3+F7GGoD2iYxRwpmvFEFnyE7pPk+TJ9dRW1klT3n3SCQgqADhFDueZjdochGY9jDs
ICvKbai3RJ8W1bSVJXmEQ17TNhdZwsOODUjmnrbrsuFsZeKmM2MqbG2bojJYVUr4llTYtWdbuwOW
/9Rq421ktfbeM/unCszPyozm8B9m3j8NRJdNF7cHpg+IRrjhF6f8503Xxh0JUrjpz5Ur17Z2lbp3
Nq/aWnwK5uOnuudPJqE/VhHLBo94BZSWtvQlOOku4/dP4/WuqxAjUU6f3XAdoucHKaI8/P9d4qf5
rsybPJd9Ls+4S4hIdVYx/Iz6H4bIf/o+PDBTDrUVPrCfLtLFWTampZRno0XDfDkqJ2XY//37+OPX
wkf16RI/DfAWY2+kmaM8m+5tARKkEGuqkNJ5Tad/uNLStvlfW+e3L+XTlZZX8ulLyePBwsbBm2mI
t9VKDgz6oS9wZ6yHgi7sb0Kvvyzzlhf+8+UIdoJ8oGLeBA/04+UEXeS5FZo8582Tht3MAUIQX0zF
08fn999ZQ+UD/euzRvCe/59T1Yr3Px42ll/8dNiwOEiAhuYmYyjJg/jpsKFT4vOEfhfBfm81mjoh
4sCMyaxxyHslRvx3RZmp0bqkD+nRZDQWt9m/8t3++HhZKl4xiwhznGmqB27j45zw6Y4UIT7OfC5x
X1bjTs0SwOSZbwzT+tMn8yerEcvYH+9FrMcqQeUofnG2/ST3USI1s9w4k0Qz29leRKprrq25xydZ
JKtKjxh6SEcJNFFdeVN/2WT1vaO3vV93DHtlkYp11mrZxdAyVjAw5vvGROKoYnGiYJ72JLuaibQb
Y7A36tCPu/y25oK+XufnSoWpie+XHbLRGwhCixmNIeSqmN2LBlE7J6DWLzWaWyBVdwZl5QYf20Y3
LYZOlE9Bh0OudsxHxXWObBAemenGU2xi8BxG69bQjRulGE+KYp1EApFWXZKXbdfbt95wkmGBjsnT
7uHh5Cs1Ghi7x5CU+0FcW8q8kWb/6Lntux45L1ExAR2hvZTRIURYlpyJ07iwnYJAAweagxe2245I
E99o23uIW7tkCRLJ4/gCU/eXUsYZVhq4GfaA5DavxjpQkL+sMBGXG03MLxo0ZH820yvTxQE05RbK
NiNo7OwFJdh92zF7H4t+BUf9xmn6reXpu8iOIDkMXcELNWjMCbBOsW4xeUVrVwgIVI734olirTIj
6htMa11vYlFmck96k8P3l24zp//m0gRd0fM6KgN0U7UsmM8S2qmhn9LpQIIJMleStskm0/Jzk8fp
xjDgeWKBjSK8PkIzt97AZxtLZE6KjXihbryXcrCgUWY3WFamwJi7h8Qmjijq8KGhvbjtZL9H8jfQ
oVbf1JyhZSSnhzxJrO1ozFf6SE5SF6cDobntVy3Xv+oy1/1s1Hb49fYOkhQ/k3JbZNZ1gcdvdCr7
0jFAJ9t5+Tan9VPsdFhS7OrORtIYgOvIdrI3tg75MTrIJpwzHsTZYsSQDbRpDXy/eS2Jxm03s6sw
+LVs0PuaSoMKVrHeRt3OlE0ZqI7caKTMr3BJYfrNLeCzEyqCUIMfa3yVqrdPLHKl5goW2pTVw0NG
0nzGu9NUPC0JevF+1JIgSyGZ1+ZOG7KTUCOMy81raCc3Wqa8U6lADPG664q78W7Sh7sx6oQ/ejKo
JBQN5uUFyuXh0m1zwtEp3hjEEmEMenqf95F8tlOnW49RfYwSNfQ7KFUuWrLY7C5riO+D6HZSiqc5
5Kg9evDQUpVQ0IpQeR5Zo8zAXlsXuaLs5zw2VzEJVet5nIpNOtCsk4zYU0nXb+y1m1jYnBXEezZH
Ej0XecJ2TfTyurhz9rHZXtD420228zqm6stsoYxFqNrBF3vJzVt0K7up7w91tegeiKLkfK3Dgg5i
zxTMNIy1BK4xcJprtbgiLaUetoYDNFjVmMNGg/mycGsQ9skgVFo8ibLe9lp5NVXggSpMp8lkPmCJ
dY+1kprNXcWJK3LNNtyB9eIc9g/LKE2rn3Z0touFscTwCe3kz72hrkOVE072dJaIFFbmNjyMt9UR
w9NKeS0fcbXtKchX4UXN0SJIt8Y/1C9/LCi4PBos40PtZFvLy/u0W5BUAAbY7ufz4DAv2Xsq7d7x
Ran+SYD8Z9fRVWo+DTWRqX7Ikz9dhyx64u7HYT4Teh+PEHTzdy/aox/4B6Hzj7vfUo/xDxM2On4q
JbLzU4HUNCZjIA1wrm1dtDbmA072/1SI/zTL++0in97MTxfpY1XtdGwJ52HTPWCDWw879asLfWhV
HWkKR6ubds2wZ6Pv7k9ukK9OwzHZPHTrcH2dHuRqB0rxUgT8j0G14d/1wz/cU38sf3Xd1IHvAt3Q
POvnVMO8n2fce6p2tlbRKbwGYHzUHqODDofIx6C2Ojxr29E/NRu5syy/uEBMdY1dciNXv1Gd/ysk
l/LtrwtJIKD/ZwWm97X9mpR/QnFZfvt7NamZDJq5Y7Eg0KNmPP2/alJzfmFmDIRN5U7muERL97sR
y+InWBo8y+HZ/RHWaxCmiBaS8sFeBtj8wX8xuNb0H/vK1KugXw2LrjJiTcrWn+tJjywWDLgAqZQM
J6I1cJZyAWTtqUial6E1WNcFOmbIZhwYHT/KZixZoWy69H5Ks3TtzfTCTiWZMgEi24ggDOQWw/Uo
3Wp6xYSkLUEfYHB7OmP5wFyc1D3XpfSAes/ukzlaM+9V1WMr3QqSz+JbV6BQai2Be6BUOGSSnzen
dwUMynuTE5IOkFSdbmON/OWVnqbxpiavZq5EzsYR0/XMrd55KLWB/LUpFcNDXXjuuDKseqbtUc6o
eJQOo2qGKOZsZEP9bBRN+kxhit2XJireiCEPr7CbRC7xf2lC16lxyZoPZ8xhbmKHvlfpe1o7hV8Y
aX9UFac4OXY53BR45hGQZLrpwwUedoAmLYhzjfuil8U4Ywn1qnk1tD0pWwTbWNi7tdy5UUgonP1Z
FMkO/c38VujK4jM3p670J7WxWjhpnpXWIXb2Pqv27mCILa2PSQGyOCrDsyAOTQOwg+vdTLUe2A4p
3gt6Z/4VxDNJGmDeDncz/9tUt9HWUcV83bVD+mJ4ZXftgWpGVmlr3iqn7XIHEu7kGV0tge3xaZ5L
bCzqOupU5DvRB5k51hdKM03t9DnLO/0OYic1xsomoAefqprkO/UjKwjJOrlBjdam46FwElO+29KN
3jlyONt+gWTmSVwtInlMEJ2CXLBQWieAw9M9xfTN2qtGgRdnz+LXjeS/lcugR/X3K9fxVbz/2aLF
L35ftMCjqIyzbHtJYP3VOfX7EVj/xdI1FguH4ycTqU+LFgpuFaOTy5r021Dt+7zNQG3zURtgxvIg
Sf07ejGr6aeaCv026nAdNTgDFNytlB0/FjVdL3sSHPBAq9W5jcz1lDrBpw/lT06/vPVPV6ACYNTI
0kr6uuUQiL4IkT6XTbZ0MqN3+v6qM9ND4jwo6pVnXaOX0MKzHE44nf7+eh/tgb+94vKKPhVQOr6a
hKWpv0pr6mX3gy47fZBmqwU6K9vKPQwC3om9IGk7G/AGpPEmHENrLQrhrNMFYQspV98jEFwyoWoz
0DpYzIYbX1pV/lC6IC7rVv06KNk3b1SellzkiiHpyqlox6dRiwJgOWHiR3LXbY6+HORgBLPW3nYT
3WXIMsYmqpNqG+Jo95ORM7PT9gz6ZyLj8c/eKhKQZJ/cuMNwwRiXeVcyXCpNyLeUIiPCUgpqi27w
xLjfltdhmEsa8caOnLHzEBsr9sp9qS6a8DS6qLwP0sh9q2hLMs3LMBvn0Yl3gzN3MNu7Lbkj6F3w
OhGHtiJWVm6Uuu22KBmOVe/gTcJWvyQTsIzeVmQD7eyGKlsrmx0Rt4q4nhnAEa9UtGN1lUfmpaDi
PJXFzDbQCWIuPT38Mol+F+fkNEhxKaJoP2by2HrhSVGz0zTbj1oO8mJZohAYciLRkzfTUr8CD7TW
0jKPY20yZTSCIasvRSjXfT/tJyM5q2SiIRxi9Z4u5TRe9i6DFzGTBxZZ8qIb1Mem19emyRmoKOd7
K2c+iJQ3OyV9eS4zsQWrccrm7KBWRBONqHIQU0AZbUbSILshU1cmoWMQUu4bMXGGUtRooxd1v+97
KbY5847rhbp2idrM2oDFQe3x1VPklRm7N10P+FuLcw5bcbvR6uIQ5sm5L5VbOZT0pPlaqoXtCdgL
sOJXJwahotnptR7JtdfTjIhHQGK6HZjpdE2rlnW9HnwblIdshw1clQBKBno3FSV1Bb3APBch3h45
gn8QeTbcjFN8Yy8HZ9lTc7tP4BL8EaHOXa0qhp9ChiixLBehhzS/JJ0zzFcmfByS3t9VKA9lbweN
qaU+K9iedCBEooy5bYzUCJDPcTIcTWJhGqvYjqq1xj0BkTu8oP2+axGMd7MIrE45eZ4X6FLZs1Bc
T24kMHAwdOcsB2zSeDCRwOo8IX6zoBxKK592mbTyfZuXmzqJkNtNyiHr5ju20JiDrTgl6KlTvBNp
OnBbhykSe1d/9fr0FfgpNqecM3cqM1927YT8XBa+FQ7u7mOZ+W/TW3ahv970/Nf8dcC11P1J35df
/H3TU39RASJ4JIobMD8hHPyv76v+4nHQ+m3z+kliylgIgakNSWFRqNJG/Z/EFPICLVQADLaH1vNf
Veq4oH7YlNiMXMNT8eeRpG4iaf25IVtGLKsQs6srVc2jXQ0zPMYIsWqJvuqdYfJlr3eXEPArdNSM
Gb2xP5cpWn6jLL60GEUD6itk8LG19gzW+kjaBlOsmFjGGKlnqkg9iJnpIVKw50CRY3FuIu8xthCE
cQ4w/FGdL9zQuGwtc0HAW4GlxFtU7I8INit/btzj3E5i7SDu3/W5OERFSn1vwmp2E7xKpnO0dfM+
smo4OYl77bHJBmWbXAu1fWUkUvquFT0MhVUj2IojvxxRGiDZPtql8ziGGTQwhqteXj3aI9tLhgDQ
AaZjFUfhkkLWyvi+bFHnKVqBaUpeOLN5Axt5o0XKs56MfoRZWABfgitRX9ZO9cRuczJiuMCxNW5p
CxPjZJuvIndx+I4kcCqOWCc2ViRtzHNyDUZ7NYGMWYOIhsE2DDynKXpBOeoo/9nElkiyUfYnubiY
o1lqW6aYmxRp/ZgNLEcZXlFFn89GaL/por7L+mkjXQ1rSlSeR9MmDrvYJzqCPniVZ7t37uMmjJCJ
TE92Qi92yQEPHM0EQVuS2WCQDx6UurMFcnndjqWzYdE+jBoR2ktD2hX6vR23qCFzPfTtyrtKB0c/
5aGzI7PxtkHQv7d7AAeM++2J8S7u403iAH5GlrJOxIyu0xDDtu3dJwjKQDIaxA05mQPwOSBDFtUb
VKUqSAWUBJT0m9wF7rS0LMW0w1+SrnC0fmlb4x1B07usCLCPGvNEd3o/Dg2qIjymayLozQfDytRA
nVyG90tIX9mgEbD3uaUdrT7etG6UbbQ8adfTyJhdj+xp637wHEqrF2s5LPBn+dWbM9kymE1SX22b
7dyY3coRzcFUGh13br3zbHaiinzFFaGQ4K9NouOUqMSlNb5mnnmXqEgfOrrihGtBykB6qHmPlUGg
ddyI4ZYdpVknXjSu6Y1P3AhkO2hzr61FjtvMsPIbD1k29hcKrgRzj2cjR+006FBtGuQR0xDHyRGR
oHbYGE2lw92w1Q0Guhzt4txfTHp5jev4zYikeS3C4sZtTYI/baPFHsF7iRlC+srcrzuzAgWszlcE
xSNlKLDOIMA4h451GRe0SWs1RW2S8gFSDwqhHbrqOjFNRMutewYtFu5HuzqNS+k1CHnw9Oqr2eUU
ZlP6WphFvXayLguUUcmCeub+kBaqCrOxoiCela1BQvz8okfG16G9TNM9Vv11UuGPbkJug6EIX6d5
Jml8ao7hnGmr0kAKQT+7JJmCmjR+UKLsPet5ZPSSxJC6pvzwgLkoBWomxjKLYPauKcNv3lCBAx+5
77AAbhmHRGsTTQXjD46CBGqUl4o+WketLO6UBBPKOIC7cnH0rR1vDoNxHuiFheFHcuai/hmIQc1c
DI00t3MvuY1b7mbLjCgz8jRem+RZrMYQ61E2zddVWNtESWAZ6Yph9utJuTGANwQqV6IFjdlcGaB+
l1kWboZJpEHVCHMX830NZnzIJv5WbzTXhWlc5FV3q4bqXWglFdTU4RCiNlhzHB+TVVcRqnhVj1r7
lH0o4u0PdXyHTr7/VTH/oZ5PFiF9s0jqyQhEXf9fTfDBUNL/9iB8zl/f3ts/FgTLb30uCPB0EJLD
UZC991PrjngfWnrAcNgSwBAsfejvrTvCFTQ6c8yAOTh+BPX8XhBAbYYFYi5NbM128J38m9YdpMKf
CwJ6gJrGiZuoLTZI46dz8DDJwRSmI6/ECG/MFAQ2D8wBqwEnmBddQVdM33Dllow8jDtMjox0DCW8
dR35TYnVDYYZczUbpKZE+J6AolOVO1j0iLz90kbgAMfcIZKgL29ML4+2Kg68rRxwoxQExMa186U3
klt7mB/jQtiUw1gm9dr0IaUV5LzUQAM7jpAOum16TJs512+5ViAFaDNK+zjQ+4mIW7dPfVpVR5F5
91i5iYrPoq9pBzq4pbVtjlf/j70zW47bSLPwq8wLoCOxA5eDQu3FfRN1gyApCmti359+vpTbsttt
T4TvHb5xhF2kVFXI/JdzvpOwY6tcJFTcuHcGs/kd7vKRymW8nQ0EXtRgTuAaiPNkgTIsNmgJmo3Z
gAmkjkKvXusHPQHx4Pdg4/K097bDUptbM4/2Tl7AYzClj8jcemx9jhZiyAZwT0PdiQDQfIpgcjmu
emZt+jKBTyTWZ9v/RsgAeUnzVdfJkzv2XwgXTjFOgF1m5wrGbqEpcUY8hfa8fI6iOo66u3NNJDe+
SJ5jHYoVxrpN4RUo5Vqqo3Q9ZIZ7M6UuUA8YVFX7zOjtnYbxTEFFrtgaquVs0+lH0mbvgFiW5Bk4
9x7vUEQiUqBVWOKK4rq1/HsnFe/5vHIesd4PWEutwDenJ2lYr5nnXxs1205SmIAlDHqnyI1nIPOP
XEbsSVfxnCJ6ZIiHLdWMnuq5vWYkcY5bPBMdex1LS77Oo/ZYm8NlTuZ7xPg74WhfBi37KPzMDmw8
e5u2Bt2/FhVBUh1AvGV5EAM2vcbyr/iYLhMjm4abMbK+67WNAE+ZgYd1R13W4VfCp54gi808zAox
ctQMNHhbVl/N0mFa26lBxfxmDRPfL71pmFOUObdZheuk+IYL5MVvTTSmVMJ64ZwGZzlUTs/cgzGH
kZiPNvTVOMXPywD6VhdTj88Cf7QL/TpotSULtWTAL2kyrhCQVbOeN2kttQzqB/QeC4Jf79RbSBmH
BbWev+36sj4RaRdfG0P1PHevhPFSnZmvEsEDQerikMR5GmBLfuKqTO6WqfWPEZm3QeV2894aIxbt
w2RthkbPtsuQgAjS6u92NvU+jpOmpzRIomxh0JM369MIiiMPbNK6O7RzMC8eUMQim9Zi8zm1MgxB
+vDAQhL5KMLTGWFr6E9jyCg7C93S3y/11JHU43lhP7XFKa0tV+FrdDRU5ms12hB9Vx63IuErjc/b
oaFvN2yoTTggMow9f37waorhKklu5mT9ZiBUSpvYC+E/7gRN+5ATgr6SRL8tgWExzI13aGqvZ8sK
MIFuVuG9pDajBI9JVu8lO6fvjynhTC2otWKubot02GF1weardeeq7sD5jP3JSkoCcvP5KbcIxVtM
nXxqEtCz9nZuhic/9w+tSRMRR9M7Eu7nqkKJKUguM6JmkxU475tmXXdEdzwDb4GNtspkQ6wNco/R
J+vIxD2XFBcxkaNi6gYxyxlFUW+/1ppTU+Bq29bMvy9r81Rn7nPdpFdFa73jryKnTLo3DthcZ6gY
vDQMssxmAgPTx5pSALyLObv3jPLCh9cEfrZOQZ+7T3IkUGUt8C/Zk5dsG1JaCdW0ULT4dGM5Yuee
h2nh0aOTIendOEIAGoM06e9J/T4Ohn5iYHWOhv6S26iZsUb0ZNw6SONHWARmKrH/uR4iB6mvKAr7
T41Qxl3lN9muH/w0wOF8XUa+Rvb2sByMkjiLOHrTFgkseH3SFuzFhEF9wLvIHhYs2rRY04FiFAH6
gg/ejZsPynokPa2oN5UsnxB0w0mtP1LCaTcxHKbHuWwPWmkgDBrQ0dZ8GoVLLtZAwQ+QlmNjOsKc
ioBQD0ifuR3q/sM3Jou6q+C71slhsoNCxKTrtFA7EOoUMRRXx+92XdR3/ldDEiRy9U9F9KMisihg
/npK8lAVb3+2zFSv+lkR6f+ycUpTvEAZsxnl/25EYiiLDuQWyzH/jW/5tSLyAKr7utou/juu4rcR
CQZdk0BDAuAtA6gUaRV/Z5n5Qx/5m36SEYkLGYrVKHAZhjTsBv9zim55MmutwVgAs5JJ6PXgpkMi
gIzTMuXkiOuwEbx+FFdkxkUB4Qf4FOxxfXb9qX9IRFXsOfnSs0Ols3W1Ho5V2iRbDxpxUcBAH009
utg2uGhwjrweeoOF3IyCQlSIaTTPP80GjzhScmJbajP/wI9a7hHDRvS3PPZt3c1fZZLEJ+bRpNCT
CBCSn6YYGR6C3HZ59o1mkxTm2xJJl4tL93Y9cVfnMq/8bVtN8wYuTURhJm5YUMBVTHNAsw7xVwzB
DyT14YLxzb4NRLb20LCy7LNedNVRljLk+Iu/EwX4msxxtAWRvcE6cMqq1cd2UuZHY/UpCwj4uo31
+IvIl1M6mC2wxfLOrhqxTUWv7XsnXjknBvOUJPCM6V/PhG10R4bxfkjKtrXPi9LajoYRHRw8LEFq
x/mpgQdJXsV4t7aAd+sC3vKgcUFptr3NgHEERuxfZwwCqL94d7RBS+7TCaWbTHX9puvIq1pcPC5N
0p0GI/va1O5MudeXamWQbfUY6wbslB6sPB+YNultWGi52FXNdCAPCK1zi7fGHveyxwFCBnj9NlZx
djX31qeWVyJsBKo7CDdeOJXFhvXDA9XWHeWwGeTzvDfG4tn4cR1bPnc6SZk3Y6PfVob3LOLO3RRm
eqw1sZ8NCBtuQ0FT83sch7TuYrRiykS7JuRcnjtT/7RtFWnhTA8j4ZlBZ1C75wJotJTiBg74oZTV
fjTtSzYDnZvEPtHZBaxFrAMicW6XKNutcXoj17Qn0oey1qKYREV1ZS+YUXPtCYBSEa6zdXYiNrLr
EH2VRvtuUkiEPr5zNHH7yl6egMYjcqPuBcpPod6XxiKvm5wQR5RwJA3g8WkZuan4gaiaLz50FJ4K
meYX3VEkw2EpqlPtRyYzqXa+gP5Ij/8cxL+0pgyJ//ogvvpsPz6//Ulryqt+HsTMqsl4puhCJP7L
1Pnnglb/FxwCMoBgb6kuE/XQrwexCyoT6qWSzjv/Jv/+OqsGsWUJBCemSeuKXO1vHcSwFf7YmnpI
UwzgfKo3pUX+g+7M1IwJO1Ke3+jC6tsTD00tNukoLQ1sTu4qOzGpchS8WXOH6T8cDHkktPwwH48i
yvalYitNRpD13nOyzFAp0/GRO6Q9CxgLyZdI4Vacnqp/gS68kT9YLOg57Uz2h9qwi00KsaXKl5tZ
K0aaH+MtAtS5sdv8XEN5KR0Eni7cFwjue9wkK5x6+Lli+uZAiEFVxg8gBucQz7CtB69iI+jfoT0h
/rY1tjKTDvpWoDP11OfIhOUtKTwADsTSKy3qjQerBgU0A2VV/McKZDO33mF0avC9+XSIHOPVUtCb
qVoYJSsQTlU145aBQnaoTTiTfut6hKFFcG2a5MuQN31Y2nW+j5Wneq1J4jJVJtfwI55rUkldyY/Q
rqZWAV6GyvKaVaoXh7Qi55P01anML6HSv9yeHDBHJYJVKhusm0kJA45sbGKd5LCFCLFGZYklZVVB
ucHK5TRuv8dJ1u2SHxFkGKIpq4kli1Q+WamSypakZees0sv6H0Fmmco0ozQ1z17dsl2Q/kLTRf5h
k54sV3P0o593Wr4zJnXku7n+rjcmlym7b7fJIIUzQh8iitc+x29a6tAJwFoIW95Zmd8iKl0q5p5t
/gmW7YXYh0sl4HVJ8BgFOJ4NQeesabWrThE0ElAadl3cz0l5qkFsGFp+yaZU0fXlo6koHL3CcYDl
QNHNAngGMJT0bn5rZ0vKrI4ZcAb9LMnWK4qckliKaZvXaq9I53bMl+Q4SMbK+PpKBraGt5Vr/LHO
iIEjAcOfI1LuKpWzZ/slMbCt/cGYug2YE+UbLowuNIFJDnofupLgYwWKXvrSDtORpcHCpCKIIuu6
dyYZYuWFaBSjexJeDJGK/zPj5ya6v3WXGqWiUBg72883cBxGfH7pGIpZXLs2+ek5wwxC3PLuJER/
dlBrbnobXFJadBppMsZXZ9bx6y/VA+bVlNyEidTdsnPJh4UCBPSJ0QWBSZ3rfsoo/kZrX2x4ujaQ
DXDcadntYLMLXeBv62JwN0O3yG2F7ofw9cnfeXz1hW7hWxNtH4eR3cd0DsTOAqPKmHCcyq6vHv+5
P37cH0pF/P/cH4TAlv99fagX/bw+/t/4I1WoM/zjljB0ZXn79fpQCHhUiVhQmB5QY1P9/3p9oGTE
/c7QEymhZSFL/Tt1PIvTP14fiIhYxFoMX/lT8AP/s45nQcNQVmPJYcrkuTFBCBbLUgZl3TShvsqd
1zh7HS6TvWgYOvxn/IQxIxRMq9J3HjPPujKr/kjECCxYL+pC15U4X9Nkqp8KdCVk1Ii7WCvbYw9b
zA/LItPejYJshqD8EZfg/ohOsH+kKKg8hU4lK0iVsSBU2kI1OA+Tyl/wxgVhEOl0s4pmSMjsbghr
WAhtwAz5ZEIZDITKcxAtyD4CHpLUO3FAc1x2H+0K9l3JB+JM3NdEQzAQfDbGjtlqz+YhIj5irHGO
DFH5fVHJEkjudpFF1oShUidsY77piaFAOTAj21TJFERUNCqrohcR7m4iLGJBlgVwRH3Hqs4lLk0j
/GKaK22TIJTQB/fGBK6Onvq88sQKlVc+qgQN9hTndqxfEhWtYbn46wvzDizytrcxrKakobXEcSA4
4XIkn0NH2SLr6rshQNm26b0/1EAeTXmpY3nU5fKcE/WhVeN3gRgnFNriUmGSlrJyxAWalvfsePJD
02m4sRNnoxEyFEaGGDZ2nXg3xlIvm3UhZoZ9FY5f9kK9z+iwypg9SLFoWy/PV9bFNQWycD+SJT6V
pr7sEZAKbjd9g/IJCJh5GIYWtkcLuFCkC/F/bVPjTHAGuecgVCO1Qh5pnjZU61dcYyxmK27FpBx3
lojec8yneTFrgTXAUiznt9ip8oCfqaKi8M8rt3xCQmliam8CwdOmHXtwZbmJKd7/XFSWlMcbu/VE
NwCySZxLMZlMPUqVOM8Jb/SyOutGPEI/8rNwbVEejYhGO6ewILu5oQcAc19qac+qtXGuh9SDU2Yd
6b6eKRQPYjCepxFySZx0Iuw7Q782ayO71CVO79h39G1ic90TvIUfY2aeDQsh2i+6Lq7r2TTu4BOA
fMxHckXrwzLFJ5l31C2N8Ya8wQaws6Q3YKGnDVXKbvHkbuhhv+hLWjDAKt8Rq+2MMf1S4T5KyT7Z
xgmfZ0bi6o1lYcaf5f53h9qfaPT+ywoAZYsQNvTLWO6Ab/yh169Nlh4FaqSbQjIS/IaDZpK/NCB/
acf8k1+BzoJlDosCHS8wBfjvRXkLcuYuSx3rJu/eh/x2qR9L/5/12y/YN0VA++s7atd+dn82bFKv
+vWSIuQUmD39Ddwxl1uHRuZnj4Meh97C+A3f8vOScv8FzsVl3vTDaskU+7dLygb6jxDHRdOJ2VoZ
O//GsMlVyp7fSTYZNiFis6GQg5SyEQcp4e3vvx05qaQ+cyD3Opq7U9w3Y3nVT8TPbTI51jW1Mxzb
vTd13aaN6xrGZBHlelj5ZZ2c+yx5nc3uQSbNEiZdifCrH/bNFId4pnCRidIAflAwZPezdxAVKQYs
O92i+G6AQtrXuq+4pIX2WtHnlDJ/mQai0+56t04e8jw9+BM4SheyZ6F17KxS7TqPSg+B4AjhUGrx
61L3yS0QxtS5TYrFvbVLQkg31hRxKzmod6rQjqQoHx1XM3dR61Mlc5RGPXrsLkmfB0t2bBnz6SU3
/MTEb1kdIDRlzJFFezVl1mka7HsbDXsYgYoUa/E4WCmJ5Un9AayW2JFkeJc9GwZCi1hYmO9JmXGt
aNa1MxgofObngZHWxpy0izZqoSYZO8dKBWPVtR56C/P1roRwChrkBdGFh6cvR5dgP+QeuM6stsNF
S78ZvvsoB+tTWNzfneRNsb3+zjWZy8SoUA5M/TVmT3X+dVHpqfmUHgRTsLBRtkhZeI9NoRu7qsyp
PUz4JXNmHBIcAuU4tiFkccAs3Aq2TNygRLkfdCIH0JURWIhFgQWoodK75GY1EyoLyzjQkeoIbeC3
+stsHGmYMHQO4puo4OsORLdhGIhQmHR76pW3OKmYRboMjXwWMJ4GP2X1H9yogBGSdLs50r6xK9gV
Yj4S+XIdtywqxqgN63Z1DrIk+bAjXpYBIuaNlEZr0OTHlPhzOC7lF77SfWD4o3tw2Bzv+HrdIXHp
WchU173NHWGt0W3hY3mNK1ykiX4f1RqaisJNAjG39iazCbnn+wbJrvoyAJogP70/9XyCPRec3STp
frZp/RzRVFtknkdJsTQ39ove9dcMBB4J/co3qCqfZZzcE00IEVkMez12NJh3XJ1j0t4vbvQoJiC5
DdSPSU/rkHEmu9M0XQDiRrdDtB6WIiLodtY+2kZLQmHRJi82QrBV9wHMDpKdld3tMdUgiLaW9VTV
7k2mMn0rD2JNPZTmRo7IXRtruiDS+lYUKZNPkuHbLr1ysroNUuGel4okWOGTDrvEzUbnAQgRmb6x
+5iIou1v/Nb6MrJW30i+WUG2SFgBg/ldLiphsK5INashILqHlXcGjMzM+LfE9dHn45MxreVBs/h2
RjFz0q5IQRUb635w3S/2ZD9wN83HsQKSUbTG0aNFCLHQXJJRQ0ZkYegV0rJ2U5PdpLETOlp+L4vx
msZWoyJxdeAu+TaVPu1t2eycAun0xKqP/eu8BE3pPDIZHClRxffIsACxFh/cu8dmMgU4cuaZkWZ8
Wp32/CNwUUr5LImn2Br+8ABSVgefJ1+rxTrbJKYr4jK1rXVyrdm5MzOvdsO0AzeyJA0TSKokwyYi
h2CNYLCbKwLh++0K3pkh/HtrGq+N55sHXxGga1DQq2JCezTnodU6Dn9VlsRQyT8ixZAWLiP7sges
VIuCRSypnoNiTkvg07VjPSCK9zZT4iEeG6IpxJWThVldl5syFdcjArItDtzPcWXfX9rOVZbBuh4V
9TpX/Gt2xWCFhsanwpzMYLIm9mA8yboiZ4tosq9TRdMeu2bGng7i0DSa+0kxtxcP2aAOhjtXPG6o
tlC9YaSkDBPo1pMaLNB0XMB4S8XzlorszWaEqEWTb2vdZh+O4n9jmoGHCRI8tkzFBocSXoELz9EY
honrFDvPWyXhKum6L8GLtwBvSpg88RTtK8UfTxSJnD2xHyzdBP22l8QrKmK5Yy/RHQy9eucqnDlY
8wxi0K5XpPOO0Ndwcj3BGB0OejIM3/JGZDtS7c2TAQSUghwFWg4//pCU6NLXSfLZTAtQYEVa10o+
1xjJdWCDYTcJkgiQr6ybwh7PMaj2CGS7lq7MMTD27KIc2SJY9zhx4c24zgWbFeoqxX4fxuW2HpLH
0sAkDuIGtjhk0mCASr3JzP7DaSQCcNAN+1mR5Rc97jfEecyBXiS3fQobIVpFmCsifQ2a3uyjSwSq
nv3r7ajY9WbWiNCIJspSwPZYqz68Ur4XXQSG2gXmT+9ps0CwT5XpLdtIEfJjGEiBAJqvD/lblWu3
BTD9PNbY/uKI3WatDn3aqj+L1f0eS0EEtAmNv1Vc/iE1ynAqxGutmP0j8P7IH9Bv6mIMp6aNNhWI
/9KTgoiQLH5ukiJE8vXKMge5Ao+uS0BAK/tX29RQIPTX9Q/nei8/SAj3t7pKFyCa5hkoCmoDlTxg
EEGwilqEMHWukFdEQVXl56KlErG4U22VYKATZYCA4OAO0cVTGQe0RKciKv2wyTVCeMsXSRzCXBpq
iElCQkvDwAd6QoBypk/6pgFDnmYsdg5teNloB4D+n4Aadp3iJ3fkdXY1/3UCrUyM8WWNz5KY3Rbq
ct3lSvf+nsCrZcsvggxG85AyQbMVtplY1NPaTSgGcj4ehXbO6u48K9hzCjxohzX2E040Q06I0GkW
8z9zgI/wotNWxcQrhDRC7XRP5faVCuyYztWuUbhpE+70qgDUAyRqByJ15E8vuskPV6jqKcrOuYJX
m7KHzeu/xC5Y6xppoXDJAKWIYTJAW13GezsBhb145jUUgKdWQbIRC0EwYoJYp/5lMSKIF8h+Bw1L
hpvZcPCgbQ8Kuw1ndevo6FYqheTuFJw7VZjuUgG7zXZ5kArhbSiYd0LdSeOdbjUF+i6t9uhC/p4g
gCcKBR5P3s2iZ/uKXAG28Ya3b6HZ6mQEQxFPCnDimgVYHGTJHs8BMa4wxytzfTdhkDtT/O7BJLcU
nFyLRMKH1bwRrww9zZgym4t4bM88Po+xGr4jmXrWCcJBOBp4Xbv1DmYMyLYqjmOfA8w367vyxzhf
lLBUtynRN9pLMlaVYL5Zdu2JmfgkTQTMozfu8HFqy93Cp1MKO9VCK8LlEq/ulIaen5+qCWbETKRU
ILR2v/qYKVri3TUWl2GZa9MutarQkvkQRmP1JfLQNpQewP1xifVtYWRPZls+TATI7zrT+t5k7YuV
oh6SFF5aRO/M2uSYuNYbUVK3c0pybOKinUlSopypuzrI/lYT2BMuDeYQxGcmDMCZq+IM4Urj81Of
HbX54C801cmlacnZK/Bazb17PfbpjT+4FzKLkJR02ZtOXGvnWxd9XahuqvqduwX4bsGKsfTAxaXW
qR/EJ7vYEpGTQGCO58Mah1sk+AlF3rqfaSUC6pophLL+rZ0kW96EQG3BzqLpnIvVFPcGNP2yRy1v
y2o6cO6yrANpQfrAprS77jCMPNGZwS9kmbfJLZKQOx3ERgckb62B+hJJBSAl/5o36cZKbnJY/5lN
SvZsHu2WsD7fG6+1rmwYwPU30gaBvrTY23U8BwtRJLG4tknlK8rx2jJQwshAW5uwbbX4hPTtJZ/i
Y5+kr73bP9V+hR1pFVuv3c+O+wDBgkmxvF4a42uKUM/vNE5GGR+hla3HbCi+8gd8SlLNCV1qwW2C
gOjMqfDVktX4IleGJVWTneckx94A9XazyBU604Lm29G/1KOAMZHfTVP5ltcePgagxIhXXgu7uqRm
8iKnJA3+GTr/GDoLpiN/3dCjy+/bt//ZVF3/9t+zZ/XaX9t6pLO2SUdHi67rJrjU37X1aEgsSP5Q
h3CeKn3sz7bew0BqGkhqDWQdvwhuf5s9E/uH7IJuXM2CmHP/jbaemeQf23pWpjBc+ZlI8JlBq//+
OyemL93Vh1Iz3hRjaiTRpm0qcSpm3TqVa4VPInOIeM+QmbqzdvHYfpG6RjkyZU6YlFxnYDgBs/Tn
3JsfRuIclojtVZ1wIgyTtzL0XE9+2j9Pcrl2JQ8YsRUmOZdBo8I05/nk1INDXnJzTFc0+hKMyxTF
4Kpdf95jw/lu4kbDJtawiCJXj7BvSOBtrjWESZAJlmXexlIx0n6XvC4O115XWMvW7xcZirZ+tJxh
YIKpASxk9GvWK7HzCCAtsj82bRm9AOALe8NZNlQLME+ndxzd5KE1ZD/o7kdDsQgZMf3iNEA+UAnR
d3lscVNy4CrjixNb9FkgyCPCqBOvpWHt5MFwRjscKw/YOL3YYo00VOP8vlQRE4AZEy+nD06Z15Sg
pI208j0AuaOXxBCQ5gmWxqhx7cT1t1igZJz18ktdQZHG5GqGbBg/nchYr0k8eUupdM6DnbqbFpA3
gBqHq9PT743OJR6vihJEjBYY1W4mt23Kz7rdjEjq8TYFANpRxkGCWS03xQzgVmClTdiN9rxuPZao
nPUrchtus6tFeHOYyxEeU0U/GhXasun5NgdUlmhP0gqnikjRPoqOo0qJijwlLzKU0GhSkqNKFFGQ
d4W4WhxJtK2SJlXtaHBN+thAZ+bDhJ+gpvCUrqJRCotRaS0I6UB2wa2eXaIfYgwNWcbQIqwOcI5G
77OXauhXbK0hW0bcRX05bTVt1J8EO91xH7Hz+aplfvzd8nCiSDhnwdSzf849j2PTQLeE9xhVlJob
tOlZ74yrfiH5Wp+2DKYunP+vout8ctGH6zYpWWNH/bwD9kCJC+Br59r4jq25vrZ6o981mFkzt+23
je6fI2pohucpdYy5miH5HWT3WGoapgNLZe+JVGfAxrLFROyaZb3XUye/qkgLO+dDPD770vOOTgUz
PNFEtNe8krm41n6fjUg7SFKIZm9JT/8c5L8c5Jxof32Q/698+1a1f3KE86qfRzjqE4avBkFqhuHZ
avT+czKrk/2GBtD2yJzWDc7937aHrmA/KED3qFP694NZj8hV2FxgUH45+N2/c4Kzk/yvE5zzG+Ce
jhmOTaESMP7+BK9qe81pc7sbUZiPrK0ejM4+S6u7y2e8WpgmklMsgknq1iFbkHtL5eOJlKOnn4co
EE3dBO6CkLnC+CMsooZwOzBGsXrgY6uOYVFZonx+VulWybbA03X049bglC8eWuUwWsvKC/RqvtIa
6NSyzOoNjz44/tkmskK5lIrR0AK4r7QXWJjYztlXRGCUl0wR+SuHpzGOyDU2lPmpIynBU34oB+lg
sLblY1J6ZL4r05Rou2ODiyry+njb5TrXkiU/V5xWrSi0AGTXocKDpSkzVtR0V6uyZ612/M6gPAsa
e+Ckx8PFKjTTL7rydSVvrcmGLcaVHzEOGAG3QG/B6k+AEpvSmV5j7eptjV9sWlktzX37bcBJpvfM
rnzBX6hFFtHhNgMYQ99RbrX1MmBEmy3vq40xrVIONX+BN+djWmvj9jZVLjZr9AAsoZ4h91Q53Iat
7gk+EtPtAqz33dFVjjhyUu9xmlt3PmY5ugsS4bzhTHePYkdn0Wkob13njghkHPLDyQjpGVMrp0E+
6SjMvYuBPW8ZUiugGA4zr8Sd2WGDVF6+xpTuxuvIe3B8OW/ZJjbbWLn/4l6A6cIQSMOf0WTXe+Yi
py53Hy1/fdOVjxB3ftCTNZ2Nic+Yi+whZhZ0hizT6GiMjYMZESksTgLsib4ps00e6aW4ra2+fIDD
xi9uFW63ulmtFtQtbbUxaop8/OZXiFVaAA/wqfUvbTNetYk/hJpnZUwKzE9Mp58jFosd5EWahc6L
Du5sv0seUTp/g5Kf03SXTsODbcTdWXriNGbZa72S7dFA37OrZF8xaG9QmzDCxgfax5EeVHmEZLXr
rvts5fEZH5M4em8SyOyl6c9IPuQD2wI0hMbw0pjuEZESkQx2dUoXLIoVl9vOg0/txPZTm4gEfAXw
vjxbH/iZ06WhxIJdV1XbnnxPpnLEXYxtybjOVx/ejNNQoHcM9ch66aqM2n2lcum6sjx1xoAQFhpR
kCxpE6AmxSowd9WXWETxoQRbcJuxuQkmE9p2ueg7b5DPzIdIBQTyPAOmR3XJULs263IbFRmmyjRP
edp7NPapsolmThK2xnAUqyeORLkdXT0q9g5/lqBxzCXgWOyBzne3XdavdCAkAffNIaNLQU6LGibr
s01daDpPmkX8hTCA/lmJG/oxGa+WTpQM/6JZ9m1GZVd145M+Z2e7HRg4gXe22ofRRQC1dnKfaAi+
SthD+KL063EenlKkBWRVJrfSGu7yeHr2cnxIcv3CEpnsEGwwgayyZ4eCwprFYem6x94DENEMpQgQ
JNHOFfMl7+BTi7bayQW/s9HOV1HLjh8AyHae9K1r1CdjGErGh8N3y46+prF+Y1UZLN/6liqwQfrQ
vUcR5I0hX78UCV0ik2hvW2byayddAyERtWdv1I9VYp1njXnrWPCt6UF358/mkNmH1HJKcw82y9gm
1XzylUPynyv8lyucXeRfX+EBaTyff3KD86KfNzjXtOs4vgf8y0C++fsbHPaPujh9/jEdGrSfVzip
GVzeNEUKQ/Dv/uzXJsz/F70ZDimDRaiLauhv7VZ/GAn+c7fK7Y2sFb8AxQT6gD9c4WM9k8gaJ+ZN
N1uCh3s8TouF9iczsQk5DZMsg7lQv7y4BvVkF1sfrelder5boS3Q22VzZGGMZ9GKRSUoRXmlgYwN
vLUeQkAj13PrdCGozwrh5UCEZPmawM1fZHGPWHJfLv3JMI37puaOz5qFbqo2uqDVjQu7Vqh7mkuO
qE+GpI/edJ2iJzrDF5tJNuftOm+cWd7YsXlDNsDWb6qTiyEsB/1+XFnPbeCDeWDxZ8ScK5nf9Xer
Tu6HKbZPJUwHRivvXsqQqFuxkskqyA1kSaYB3NIhoSlUsFwxV4NavT1P+vA1x3S8SfLkgPkMbT3N
TsAOhHRxzttNWpvXuWxORU7EztS23xvCTYkoqDgxC+8mRZa4meLmhmVefZpRx++YxMZU5Ehb8gTR
vC/i6LpzkMhz5TAvaqz1u4dk/Xq03I815c2tI5ncGdFC1FbXfiZAd64yRoO2z3YqMupln5Sdd9Mh
AMECP/GpgZsI2riPN7lEM8O1lpCkoDt7mkIAYi2AWGt24zsRY/Fi+kNuZZwWFFEmXvBpAvkpzXgr
liID/AuIRktTY58lBaCL1QpMZwZMwTF3kFGkMw9dxL6wuhQJTx3trMks2H/3xLHj+tyWZnZBknpe
++yGAKljv8RrmErve7RmTpBBHN5qXYpca1gwGUTusqcbKbYiwwgKEGDZum3j7/uM5iab22HvGzBs
JNGsOMX19L5kl7IfapsUSF1kByGIRwHhYQadaWp3qAfQ/K/8TZuZ7VbqCGfnxbjesmXCfVjF9VaT
gx7k7PNPjPFIfjMSsK/dLcGl5TYhVoJospp0HUYEaeLgFcMQhyKfo5jRHFrPVb1FLB++Tp2dPZVJ
yr2X+CV41TIKjJmxMwN//QbKcxwkNSLllPcdVa2GdWZyUxTYFkWwO6TfckmHLzIGcGMstYPos91g
E+bJvoA6mrWz9AlFgZpN4ImV0aRmkxe2tSw2zpg5d6tORts83KNhJTjYyHQ2mUZxTRJvf7Dz5ntf
ru+9Pia7vsYcXPhFe5Xqs7kxmbgWbeMcgX1FF0dzR8I6S+ve0Ibn1K96LRQ98J59Ysy6HqRD/QGE
h2gNDR1rgoe185KGCN7lUccSspuZCGzE6J9KOH3bacJ97I8DaFyoc7VLld8X8TYtS+2kWeKQmubT
yPVOai08vCY7uVl5O5F5oWnuVWd/RU9+Hshl/UJZ/IkC+zJbLOjLVs9CbxqmywBq4OD77HDSlg1N
nIuLwW9LEH+MI4NpaIsAJIorttt6MPru8wp7GC3s/7F3Hk1tbPnffyu3Zt9U51D1zFT9FRAZY5zw
pktg0TnnfvXP50hgE2Q8d8RCi6vZjC9w1Do64Re+YcQps0p+VFYlJJ+S4wwVJUCSZxQ2kmkmih44
P2SLKFAok7c+FRHK1JM2IBoq+fW0UmGaVFi24aUh5IiTy0byruPe/S5nzQ1cT05BOW9nVlSeBp2y
7CPTJHHAe6atMo9mqULyrQH61TFYCSvyiRGJkrhqzyu7+9rAlJ+BOvsAadieZImVHlOa4zdrGc2D
CGRCXmenTSgfxXaL9jB6SaGcFZcgwoYJtkDIs/TOrO6BB+FtAokV0xFfNW8it0mMeZb256la32W6
dZw2xjeMOo1jHOVoEY23vULhiCbKER86PvTBB04gNuJsYl34IaeMkwHlABoeOdSL2kzBwMgEx1bM
8DxFzSPortImOYvVikg+iG9r2zmyUu0C7tBC0gtapz5QFXifscK/jaVvB8G0Cpr7KrCQ4++wVM6G
4zrR/XljISGpR1cupiPcBYBstOHUr+OrxEEPHW3mOPLmvpnSXIMp3yTBpziop41qlpPUBVCdDOMR
jYszkHOAAftJ5ahTstyV26TDhHtMGhZoclU2eRGetZ6ZfgQvXs7/iY3WsZFGOeD3sdGHuEmWW4Sg
xF/9DI4obzgwYfQ1f8YUlYon5Q2d8jDuAKrNVyIg0A/1DYIjnR8pEF9EeXvNu/kVHMHFUUHUrFFn
mmX8rfqG9aq+AQePmE1wa+hxg058Xt/QKY2mmjtwcsfwT45A0ZKi20V0HmLyo4/Vle2PX13Am2pR
x4uOXqYU+BVRgTsxMm/huMi9BBCpyzrnasrKK7PNQH3Kpw0GgWbSU9StZmNzBAroJvPwyfIo5nqX
CrXD8yyo7CkgAgfWFw33CB4bDeLxR6w7+F03MPh0176xdNzFbE2quXHrG0wnj7Bf8maa0X4Iulqb
F8BY+bl8OrZgUAADn+uybdJ8R6ZQahABLeVVkFf33aj+sCV8FLMG/yQEF64Tu2eL9/oNqIOv5Qiy
FFUY0niTkGp0LlJzGE7Zmx9NwRbuUfODlwHtHTg5/6e6N9xG5xdBX7cEByqdPE4HiBqurs4Sv6SI
nml3cvTNGD74lSkAXRSNuxIpAkccD3U5AzI26BTPsXucYHSu1bNcG7pj2mS1s1QCvNznQQ+TCdgw
Hbw+jY7orBcUieiG11RH57JLVxjB256bEOd7irNogKttCXo5KCHReF19RdORKG2My6sWzxtiCBqc
sKeZKlg+VGcphPgFkVGSRjCKCvNbNlJ+6hqYKXqpczBnoBxqISRAhp3MXcc1FqbVDVesTX0Scj7P
wq6d+pmZnTgxSBJUBIJz15DDWec0FWRKTMD60hvoO3M/zgqKJhPJ19yFEjX3qoPTKAi5Bvk7Em7F
lG5bUkza1k4xXwc4SkERLKCXdwSCc8WBbCAf1VFmylmqpbDPlPH3oowff7A1L5orCN9MImkI5o6S
ouoYE+FFbWUsuMBXSa84C2NAkasoJZx0xwytazuGJE8ZfGlnANLUIZCPXFlnbmRaMCkB6kRT6qic
KZYVsZyk9DYfUpqFFTXoyqhITW2pPO2srDv1uqZcYHhKQUC2tUVem/GcL09Hhs+4D3RLn+iDf48f
rrYAyiQBfxsTbRE6OXgG29ZvZTiREwRG8KkVYZKXlITJud7OkYRQ6Ly6KWWBtIlv2XPeSRmq8lE3
Rmk990ObTmiv2f2h0xpleB/DYzhCo1e9ypC1oKdvVac1UJbyVEM3oZT7T9QUvFkso9JJDSail158
GSSM5+TRFdTfLptXfj8FmXcjecXXGJeFiUv7Ye4nY49lDXSkULYSannhFyXNPoRFFXwfnNFCF8Pz
z4bGtgFY1hNgPldBWtsTw4yFJJdVHOMdtwJW8L2R3cPOs31qN9J9F9YVnm3BjSaFJ7Eef+uRTl1o
lWRO46QUh4hzzlQcN5Fzn7FPpYZ1USf2J2AJHwrFP8npBhI0ZReg8+5U0/naxlIPsq//UI+lfWyX
5VE2VtfV6HxGwdNFnQvVhqIRoQkRbuAGw0KjsDMFj69TkElPOxrKpe1/9OQSJq7nAjSLteLUkEc6
wWGBrIl6RInnJLJQL9a6c6mnSDSgvcNOgZQF+wvhhiBOQec5wS3lwfS7GdXhEa7LAaVV1E57EWWT
WqMEYmbChzG5dSqDM0vGug/T0g+U0q5NEa+HInL3UmL4XkTzkYjrLRHhD1JtHiKhgaly1nlXicgE
KrbLVSOyg1HkCaV401rkDqEbOAu5yoOPscgsCAxaAnWyjUrkHZJBNysXucgospJwnZ+ITKUXOYsr
shfcmnVkuslozNK4r0SOE+njMbpVlzLJDxrWZ0ZDdqZ1srrQRIakiVwpElmTjykWeqFkUgBrMlp5
ZFeAa8k3yLdckXmpIgezKXgd+SIvU0WGFotczfQFVlLkb3LhKth98UkNkd3BakBNTmR8Ugi1DAkz
cMkiH8SUD+kykSP+E+oQ6uA2SoP896HO/8XLZPVj+bIQtPmzn7EOQlYmt+PG6UiEJr9iHUhiFtZ8
sraOdJ72ciyQ9Dr69NRmhK6l+NFjrGMd6EhRyTAsTQXTib+p6KA89zoQig7UlCBNKpapC/IZAdfT
Xg50LIzFAYtfZoEVndixo5+XaX9qp3ExNZryi0lLuQiJgtLMiseVn1UF24gK/lAALreRbrxy/DxF
cWWAwKuf4AUNHCwGSA4mp53APJUWARx9jj3/0MNA8rgrhAJgTqm36sj9pk5bpIeJhano9eDlNwBQ
QTrSr5lYNRoxUwpD+knbS+OJAaQIvMAgWpFNHM3AgUlHNV1KbMDHaSAal4OS0cJUIoesk7ZmLhqc
qmh12pum53W+7oLaoiGai9ZoW0rkW6JdCnaLlo9ooXJMetSinNNo3V5FF8AQDVeDzqstWrCtaMa2
MdGZJBq0lWjVll11oYjmbU0Xt6SbC4x67qO3o9Ll5d487UTbtxYN4ACPV2S5AM822ESnok3suRL6
hWXt3btdZn4fxrBFB1cAmRtZggXnVyB3yuYj9pnXdiinzXEOSKm+CiiuHBmILKdCfrlYKzGbFIjw
fGpcq51oFlU6TekQizRc454ksDumedAsGqT1ZmOSfhjC6sLU85M09i8KWT21a+kwq7oTKTFn2egd
rmEQeMsbQf6Do/1ja/e3/xwe6zxJYdP+/vA4W0arlycHQmH8zc+TQ3BIZQWAjL3WgWdn/sySNBIo
KFNwYrQHJd3HLrADPQePGEslS4KN8/TksA8oKgPtoW1ragQAfwvHs0Uu10KHnizOxsmFcPqlVYyj
QTuF725cRm3sncKaLtzrvo9YkWArokWnUxEdhNZaYRszKozxsV7CBzAQJjmKXEx3EyzJz7sOCTAq
FzTFxI06IfsDewLa1DYIZTrUqCcRjTkJ4bNzSxhaoM1yaCYeRWKKqc5or4ywxUETQt2MLGNMaOKi
Ud13p2EaH0p2K2zmw+Zj3Vb0+3rze9w7SHiHvjPvQHfGcnY04rzaqd7HQsHQXCbZmlFCa7kty6N6
VC4c2IUwfa4Czb5EhPeYqPEasshCyqpvkmfnp6mbnRY+3ma+HhwrTvct5q61Jf86UY3PXmBDpLdR
PtMxxLhWKu8GPPMx2mfzUHZvAKUvG4wYACaiehnVbbeA/sMz02rSYMZPyxJgqJU5p4VQnY9K9RRk
y0UBEBPkq3deJPqy9OvLekzvayYaJDpSwVkHUdzNTxIrsqZJRhHQsYVCDiBEFYW8EbHPCCSnlWvK
TLOGk9GVvtmlEE7TcYqrw+PGS2l0WtU4dwbadbYgDCguzKuOGKUrbqLBW0QZ4GxDK8dDbyBY8XL/
DjXPcjoQc85S+KGmFJzEnqMtaJRepDkZYFfH/oxSy5fc9fW5Vt4jHScfmZHpEMsjsoPg3gxU7r3U
VwAlHeeyiBtSxgBj2NYqPtmlDVvJiY8io7yKkS0EWwQips2mYZ1bU0Oo1PWyN3wf0vHE9vQfllFp
NIwRA8d09UYv8xMYU9/RWb4q8FYlJbzpckD0Ze3fE8NBWOkiZ44/20ViITgOjgnIuVLhHNWB5Xa4
lhTDA6vgHYZqc4ckQ4cwrXZotdHdgEsUsX8J7p77prptKXCc9YaBeXLS9N6ixnEpnnXGoC/4/LCH
BqVPJ4iWNnAhknKwyJcseEQJp8EMAAhs6sLljyMx42NKAhS4WB6ldXDoSCS8JJQSAV3u+0dDK1+O
bAZk1ENrEUl2d5Xr6Oj1nXqiaaE2BWyNYBp/Mwa5dBl6aO5YvZzNUR+m/2wUGq0IZZDnuhb0x4kl
oTBYZMGJbffjwmqNbg7ovcalHF6Q3LaHHch4W/YuITOgZawq5xrKxVBqnauhgjxdxeFFYeZYxyhf
O9sYrktFim5QmAB2XdDR1RTyD7fM5zbgJ3pNWgS+GAMCva6pJ6DGoFGopoRKppio1PusFAM3pWva
C0g4uKtlyOJLw3kE0zdy0JhtClAATUwDVg2q27KRFgq8MC7p8jg1SSd0wz6RkOw5UbzYnmU5zWng
3+V31cK7G1YepgFea070AG5W6ltwA+jZ4HQQQyurR/muUNRvYZK4hw712XlXdvYiHfGoi6LYWGQJ
3eCK1teijYoMXrf4fl0zmYy6e1o4/iLuugsU5ULgKc0JyhpXfsenliUD2WzYyIO2CBK3nmcOmOFw
LM9BddrTHsg0Z0bDNwS3HTz/IXTG4TBJkyvfCPRZGVrOFHLVqe0hQNTl8iIwohu5LReNVF2PEazv
OEb00u9Q2FKicxwHPEThyOygYyzcPD8ym+re01wfKf6smeUSwBMFG2f13O6TT0kVxmeO335ImdFJ
pgfOPMmMcuKhtWKE9dfBTLE+zKlm2as+UxVEq5OTOur6uaf0C+LM638ihHWEIOtvRQjQ2pvqVXZh
yOKvfsYIygEeVvKjupuQtP8ZI6gHYLNkXJVBaOlEkT8rqZpzQFbBj0BxGbDZxM39mF3YBw7iU6Ql
DoP+bayvxZu8bDPLhC9Ua3kEG8za8+yiB1kbSaYLwXvMLWRezSzRbnEiqd1LFX2XJKFtLKnYJIqK
f+NfD7qnTyIC0lmqNkB9sWac4KoczRun1mc4o8tHcgfRzO41+rxttlSGEYEFI1iORQXbS/PhBFUm
dhtwCAs3pADjfEHJH//iBDvN1q4oiw4j3SeH/nTUKO7EMSPAxVICIaSs45lv4uqeYpqtWMHXVjG5
9tOFSbFlmvWztB0XnBMoe8sJjiBhdoUB4xeKfMeVOHGDGP9OteZgdgqqw0E5Lp2Q6q/JxmnoiQEM
UT+och2fN/qYHdqRkcKSwksyQMJVc71lEyKNk0jWvB5WyN7DsTUo+ElUduMkPe9V/WueekCI0ONH
MSlNpqWGMn+Uo+qrZVgVjDZEVqXtT7UxCOdqOa4a2z1ssvaUsGShWCQrebaotGpeAoSlT4hETQw7
o2y1VU2TJIKeDMRsQs//LKWJMhqdNWk8rkgfxcmWRostOi5xnB8ltGD6LPwUc0TXCKjmpXzq06px
k8ADH5xctXyljejmyH1QposaQdRD28xPFOo5aeUDJ7PcM7qFZ2nL9a7TKTVPaAmUV0pPdeR7WMae
Oq+0zEuvpLEe8kWCJx+wtUj+Rn7EZYvB6B0airQduYcDLmQQ2Ye4DXnTTtzVAZc2PWRub3GPJ21/
VA/+hZ66Nvp1/XBYcOl3Ei2j0B5uEOz6VI/9ldIq3zXCBNgfN6j0YowlIgiLUCJQ+5NOxBaxT6AS
iHgDuiQoHSIQQwabREjiEppYIkZpCFYGEbWQ1AI09OxLKOxky/4I1gcnUr+mNSeinlrEPzDalDDT
54FSf2lFhJSIWCkmaIpE9GQQRpUuTBURV5UiwpIy/86DbDdFV3Q8tDvQjyEBmSpVNwHhQiYitVTE
bHBFKWsTxdUinlOwGe5FhAdwHJk76VtZy6DhiQFDgkHD9b05qYUFBBAAFgGjapdHsMQsoHXZSWpU
HUpP+PmIKNM3o/uKsDMn/GwrWscx4K9oCC+AxJ3mIlLFEOE07WIKnyKKDQlnSxHXhiLCLfoEYVoR
9aqEv2lk34zoTCcxLriEx5qIk0cJnVXJJ3YGYfnZIpjuwXPKBNeFiLJzwu2xL05xEM5PXQJxky41
ggbXkmke+wTqEjauPqXxXB8vEgJ5gtVmOorYPhdRfku439KUiQj/vSZYlCIfAB6OK7LIESqSBV9k
De46fyCRoIZ2atYU/f+52jbJ75tX22mQelt6hMqTm03hkrJQJ9IVxYR/Dd7p180mowCPsSL9QzLQ
p2UzE9F4XhbqRpikURz7dbEZ3IYAniySZsMyFW6qv0FisYT0xDMdVPJexgNvDXRKk3Whr/SEw6K4
Wo3JsGVc4NmglZ+RaOCARjQ7UWY+p6CFMmilBnT0Iw02hdkXC7mLr2TslUBwxwm81b4OprUlu1DS
bLMqjpOsROXNajU6OUYVavOqck+oFUN+zOJsjK4yRChyxCiQcP9OaF9PLU27IBQrZrpQrhiFpphX
+Le0a+gUCX0Lrn+8kWQJTVOgM2kYTRM1GmiwVZg7ut/ytVAGRhShMivWAhoRZgrTBE7ngm4JnHoc
KazenGYNemnnujTQ7kc1PNAD95Brq6NZgIO4m7b5rYpphQcSBaJG4k6VPD1E9a5DtBgjqFA6Qria
4L5Mb2WtJOeWYFzA2PwceNKdep6n+Inp0awnKpnSLENjPnY/KYV9lWQy+We7CMcrpTY/d2311USX
TYet7fyjSbyRidEo+P6+CiWMVk+yZdFsEzQTf/oz0BSCMOAOTUrFD833n4EmfDN2GwareErq3JS/
Ak0EZjgNVMRlFPlBzvgx0KSMjaTQZjA67X+zYy/227P9SBHKYSsabEUZT8UXHXtwjiDc9aG8HDAO
QVtdbRSKp2lqh3jw+OlloJvngW/5F6ZBAjSaxlUxRA7Gp/JHzdU/RmWzymRYCX3vH4eY66HqcNii
vx+hTyW140mcUpBKldmoijhIh1yVa2fYp8cTrUkuVN0+dD3rrPIpng7SlRn6n60h/Wr00ObdYmXT
MS4VzE6H9Dhq2FaSJNo3cNNsaAQDvjO6fAXM6aKBxUrl4KLH8oDAtD8z7XFh0LlGRe2zUSDoxyea
x2V3C8Pt3KVBWZfad8jCi7auT1LXhBXvnLZ6ceH6/oWT0fccdfSq8gtEfQkRi/OyV79y7B75CoUt
qviI816GSniRScq8bSCnV+PMl9sbJ6g++H5z7mGrDbVsAVBtrsXmRanSZ3Puq9IRMp3Y1CNicDI6
9tIlUkTJ6Stc6GOpcmatUX30vZEWFPyPHJWSvLweKlzI3T649AxkICzErULzswGDbRyqj4ld36Zq
fwH36MJ3i7PWTI4MkmaKI0dNgdmQlwtx5QtDQazXdY41T/9oiUQZ/MJRbWGZpMfdedRY0kQZitPC
jZZapn90cnRCKLlPYtTYGqk+Qz9hNnrtcYlpfWVJH0OnP1Zk94suxCEdbW6mwPgQV0HRnZan78rF
1EqK88COBa+76K/ioXFnWWAuaRuUi7zoF3ZuNHjp5F9VlZ41Kji3KF6IHkLpycW8GpwOffjKLsOj
EIXK43ptSwPthRM7XGO0weVT11FgaLd9dYzQh7zIiiaeSHb+MQKDeAL9u51WBSYHSqxo570xIqYB
O30S90E2gTOPoJs2hh9VRV1EKkZ6yD8ehalSiUsA0HgACwGxh3FK8GNB+Id3UdtyOG2sTj+CHG3M
KnO4DvShmNWOj06KBqFhbGp053O4ODR9P9tEi/PIBDwSxoiZ2Yghj+F9R9g4AYn6SVLduwzSjD3o
l6NqHOpldIFuaDeLwEEQ3a+CUT+njflV6vi787KpUWobdCAOOQRIzQQZmGRXapZ86ZoaLrdgEru0
wKajz90Q5vqt5yFHLZckAXlVNLNKdzD9g59s9SHeig0YPR0Bkbb1ixkA4JWXO9/TQf1MH23F89N8
yeQKvU8Nq7EcNUO6qfmMGjMRcoQ/RJsrR3lczlA2uGz95MROui96P9w3lkzdxj7RMz9A4aOZB57/
JRjVOZIQxcWAUfMh4jYgJBrJPM9i95qaHHR71FfnqgATNjoCRh2kyi4cmeUCZYdMuG4I5qUlOJgh
ZExXihehYGc6YwuaB75mDHETVZxberm3vQ4wrxTcztEyoafD9rT8+MgT/E+1UA/tnPJroakLF4po
LbiiHFM4mQDt85pq0kAnHTyNwSUdwXSYpiZQIqepb6WmpNQNF7V3UeiGnIpGUzsdHDg0ZN9TXRBY
BZNVr+FFjmX+ye+w/ZDhdM17wXztXfebJriwbu5arC/tEG0LmO5OxxYV3NksY1tSMat4PKR6oGks
WsG1bagmwQhB0E/QcIPR5NnakxyCbp9Q8Ec/HKyBdtz58oVft19SWT6pBbcXOToH6w7aBI0MxcKX
rzuIwEbqf1IGSwblbGJ4F6KRoyO/Y0IfRmYIj6whgiCjk58nyOXE606j70fpIU07+o9SRiuyFU1J
CW7RsU6JFRyGDqidIr8smphDSjkzFY3NvlFhJQ1XVBMoeYrmZ5C1wfSfpGCdFGiwDN6ORQ7LZXoX
VHfb7JP545/RiHogOta0ztexvFBe/RmNaMIJGeieKcwi1yzIx9YYTXX0yHSC9p9/9SsaoZOFFB5F
r3exT6ZvT2oi2mOyLr/gVhixLNuhW46XY/21sN0JDgaTJxPzYRPY/AVa9kMGCKj697/ECL/CHap6
jApNTLTsKdfJYACepR9j7pp5T+IOewOSo3yIuiagqx9te/T2+4hx3nofupNP0xyCgrwoAwMgJA6z
Sokh5I+330Aka2++g4AnPEmkPIBsquh/Xaq9xQH+2QLHBN/bkdD5aOfgJqZVe5M3R03woc7ciRKs
8KP3vA9qhuXCtdflk7o4NQ0qFy76dfpVE153iT/rneQPU6E8L2W+nnOKpk+fVAto9nelmAttjlM9
CLSvDVs/U/TLjvvDhUYWDPcWpAxCjwnqL5tT4bdamet+6ssvAzkn4f0NEZ8e7/MHoEmi1K1sDZd4
PwbKVHHK+CzSVfxthrXRsrMGBgAsOCnRDjCa7qOCWw2ALAR7WgEjoNXDPZU3cgv/UD7pnBpcXpx8
UxPtpHNlaA0queDnHu7kQoucEAEfm54IIr+lWR7n3PxqWxwq9TBra/Dg4yVCBfOEgm1WSNwy46Ls
nQ+J+gFyx6HbQJeDZVp9qjz7XKvjSRmh7gIVRYV4iezo1BpBL6E5ExmfiDEK3Leg3hbcCwjJNEpz
ZsnJnDLnUHyrwmQySEDmu/RUqfUr5MtD1E7bVM0+J0Y8yUFu0EH5VOvCE9mYhAL/ZASePqOpQzfN
Bp6VRfFNLcGjSMZy4hhIFkc4Ur+9mAWk+cliFlga++nG119sly5w4DP01XgpL7Qj93g8q79qC/u4
vKwmyll9VEyR9pk50+FQm56UJ4iWz/ob6ZggfiEvyE8Ow01S+/sl8+x5Xi/ZF1UKPSbmTcSSzaJj
+EYpKm3VpDgs5D8cR2Lpv1yZT4+jFwcecpNj7Pu8jwRx8lP/o/CmQTOlhmm6f9gEyvMp3nykp5vg
BVzJ4blKzQnUSx+n6g9RP4OpitB+V80p1nqXSLG9/Z1uOwERUYHFh6kDkIkXX2kCWhtfUU297EJc
a8dbGMNvv8G2A/DpG7yYOxSdrLT1VPWyamcC3d1J06qP/vAp/vQmL05Zp3fMEf9X9dJpYSSf1OYn
pCre/hzbrqSnn+PF8ThwV5dlYqiXEBjheIDANj864YVIJtZv9N4e2+fBXZlV2X39/8TIdxm0PiLz
+j/P/1lt/u2tstmyXj77B4pOQT1cNaty+LiqUGR9+6eMtNmXYqD1vf0pezXEf/VLbw/012r9XJ+G
fPXvfy1/JEFKd6gug7taJT5a/+z4x7//tSn+GHxLzwKu9YOtP9Ob48RLPnvzg3egV6igGAQrFRMp
8eJdQDV7Dz+WULCn+mOZNq5UT7/Ht2bh7Q/4ONlvzeabD/9qEjYP9mK8vzUJRI62SgsT/f31i1Pn
+SRQkbZVziV1byeBR95tJcC/sSjlGVA5wMXy4hB5PgnqARwWIT6yea+HHb1HK0F/Cef9n7aD4HOz
7DeTwDH3fBKUAzoSOCo4m623h5PA97bbStDsA12DpQ7GcLMdWPTPJwHogSJ8KlAAF++1h5Ow+8GI
pg7fM70mStzi9epMgOYvMA90iPZ1EggTdlsJOvATWnG2amqb7cAGe7kSTBxLRLNuXydh54NRsw4E
lZFUnxBRvLacCTQlQdyIhGAvt4MAB+22EsQkoP0vmA6/mQTom9SaAR9Tuthsl72cCtG+2nEqgGCr
3IPQKl7vBqrt+M8Ym/new3ORfGvHT68fwCOh9OY83JAvjwQa+0IWBYHKhzhiT/eEsbm7dgkbdaqU
4FRlbP/Wr5cHA1OhwriRzQcvj/1bD6+6x38/YiJ2JmbEaUpd73v5VbCAnaKjEjCBY9zng0EUWXfc
GhwMJoUEmt6/mQr5gB+yeUSdg9e+xtFCsmjHqdDArRI9CRvN7VvDOrANDRmkvZ2EV82M/2VrAEyg
WQE5cPN6fV+wa4ivhPUNE76H58POIaS2zhUs1IVfnY7WATwlWwGb/zg7+zkHux8MOj0rTO9t7SGX
eHlGKhZnJI0rgUPbzznYhPe7XJYmG56MSn38tl/GDRSadGH1oOxHPvW02GawQP+HE5Hd/qvOxjeM
kCqioL8pMYmwCdQiwnEPcdW+roTd8ymNaptsaHiTbV4vM2t2A8xoHMb2djs8lAF32A5k1hQb8UoQ
RtLi9SqXkA8IqgwdH7Y9XQkCFLtblEDJ0QBRqNna74rPUGRtjk4KEHs6Ceru1TaSBFO1SCM2QeG2
AFqAH1kKezsJmwfbYTtQcgS6oerUXTdnwssbUhWIEFF+FhSjvbwi1d0PRtGL4ShAunP7wahqBzC/
TTiCm1W3f/GiQPjvdiZoJibJwPjxLF6fi+LmfVZyFBclP2Ol7OskCJbejpNgsNpVk11P/iBeL69I
VYbrz39W1H2NGAV8ZcdJEBBynY4UnKKtk8BKwF7EsmlTbJbKnp4Myu7rweSTEjkzGdungvUg+DJA
9/d1Pei7l6CZBEvI5TyGTC8TSu4IVAXZMXt7UWq7T4JNyATsUFjIr18cgs+OR5FG4SOPuNB+1+GV
3a9LKgtUFRBL+k3MoBjU4wywDdYm09i84x5emjuHT0I7UzF023k4KV/HkNwX/Finbr+nh6QA2+14
X3AdQGmHFviQQb/aGnCcmATD0fa2T7d7uc08wDVKNK1/17sHwEDr3tTMfQ2kH+K6XbIJ/UDG5wzp
tYcY8uVNgTO6qq/1aTeztLcnw+7rwQGlgC0Kym+byIFv/fl9AaoHUwIoenubXf4vtTfxMX8V3+wD
m9oq/YiH4tur7FK4OYh7RP2Zc3AW7eFNsXPJRTOEJiF5NETO3wXVKHpQdXqobOzhJOweRFGLhq9K
Lv3QnXqVY+KWSEkOVcdN6L6Hk7D7pqBxCxOUjOIB2/PykCScNuhZ0Onf10l4aKvvclOYAuBEkKj8
Hs2Ayg7/e1D727+VoG++nV0mwSI4hN1toHSwfr26IzgeZXFhCs7KXh6MIuDdMXoUWx4lCmpPv5kE
QmiSLkQn9vWifEAd7bISKL7B5SeL+H2XSkVTld2wmfD92w7GznkEyRQZo0kE+ZszQdSiwTfpppgo
XvsaPcqbXG+X9WAfIKgklFYe4qKXFyV1J7BPBFZr1tr+ToW6e11a4IEhgD3iH1/B4wXYi+oTPIrN
1bxvW0OEOjsfkqB2ZB0M0yMe+FWKzdagdm/tbXIpyLq7XRQCE43NMUJDD6ieV3MALJCciznYBKr7
thAoIe+eVtoHIksQKkmbk2FL8IhooW3A0N7XkGH3AiTyNyx1as6cLs+Tao5FLGbIuTf36L7eEA+4
s11uiHWTxgId/1BqebUbOBHg8lOR3tdJeKXS+feBfhz9IjJEsP83sSOdCQBgJl38Pd0NxnscCdQd
+Z7F6fJ8N3BiWnhBKXtLHBOsx91uBXiUAtsmCiu/ORDhUVJ0oWO7t/tg58gZFAetKeFb8ZtJIEay
eBFHbeKx/bsaBSF9t5UgeJQ2KEb9NT0EGKiJZj7x02aN/PdnwX8xUT+5x8hdxT/W1ORgVT3hN//x
Fx55u68HeEI8XmMhn/2moCpvxv5FXf7Pc+byupT65KePpdX1Oz38/cNHfP3mz97s8XM9/sejYFUu
yzt/WP9geHjQC4xb/v2vt/1b3qBZ/1wAb4+eB+nqKUx0w8mWWUG/PuprDvd/N3iy/JGVjwP9InyL
XHPnwd+yN951VqbLeNnylVSPz/nk2SkZ7Pzsb4pm7/zw+KWWy7+mWVUvH5/1yfNzr+38/LNV/NdF
Vm61lyY12Xn8efzXLCtZPI9jPXl+QrOdxz/EWDTdNjhh/s6DL+JVmj6O8+TByVt3HhsBbpx8f9SP
Q/0aXhz5Ow9/nOSrMljGj0M9Gf49tuxxOmyZdKFhtPOTn67KLXMuUMe7D/2GDPCue/UNf53dh66q
1bY5eY8NepZVf/1f6q3i1ZYjUrS+d5718+UPDuDHgZ4sxPfYoufLcpuUrICdvcODl0GebbNEEGDC
3YdfpT+yu2Db6SVi8ncYv7xb/Xgc6Ne8izLQ7oNnPPvjOE/Gfo9tep5tnRNC9Hd47LRelavhcagn
T/4et+nFMt+y0EXgvfOTX6za5WvvPwNrnncY/BIZRG9L7Cg4cjs/+Yd4ebfaEjsKqPA7DP6G/fOu
B+/HgNCxCn5smRnhW7jzw18v70oyg7TecpcKaOY7vEH612SVBlvf4D22qtDznnBhL8sfWw8yoYj/
Lp9iFqy8bbP0HrtWfIg/CYHuupT+LHz+Hu9w1gTVX5e3Aa4qj/P+64QTNIB3+S7Ol/Vq2/jvsZ+Z
p3r512RZ3i63xQxCaP09PgPvMY23v8P7bGzxKaZlMz4+7q+vQQDPd/8I/nJrTig4cLsPTg1j6+S/
y2YOqkhYfj4+55OJeZe9nGHgsmVxCpDE7hNDYJJsueD197iDr+tlGlS4L1aPT/pkat5l6zY1sc+W
wd9j335a+cttUyPgDzvP+ydifLQRH0f6NS/Ge2zWTw0nwZYrXsBXdn/0Ble1ZFtdTiBWdh7+CyM0
2/aqUJPZefQbnF4eh3ky6e+xT2+a2y0bSehH/uGpt5Vlf0JjXxdrH9Udt/3Z81q0+I27eLUs//P/
AQAA//8=</cx:binary>
              </cx:geoCache>
            </cx:geography>
          </cx:layoutPr>
        </cx:series>
      </cx:plotAreaRegion>
    </cx:plotArea>
    <cx:legend pos="l"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_xlchart.v5.24</cx:f>
        <cx:nf>_xlchart.v5.23</cx:nf>
      </cx:strDim>
      <cx:numDim type="colorVal">
        <cx:f>_xlchart.v5.26</cx:f>
        <cx:nf>_xlchart.v5.25</cx:nf>
      </cx:numDim>
    </cx:data>
  </cx:chartData>
  <cx:chart>
    <cx:title pos="t" align="ctr" overlay="0">
      <cx:tx>
        <cx:txData>
          <cx:v>Califonia county Vs  Amount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Califonia county Vs  Amount</a:t>
          </a:r>
        </a:p>
      </cx:txPr>
    </cx:title>
    <cx:plotArea>
      <cx:plotAreaRegion>
        <cx:plotSurface>
          <cx:spPr>
            <a:noFill/>
            <a:ln>
              <a:noFill/>
            </a:ln>
          </cx:spPr>
        </cx:plotSurface>
        <cx:series layoutId="regionMap" uniqueId="{00000000-5C54-3648-8AB6-806554911B1A}">
          <cx:tx>
            <cx:txData>
              <cx:f>_xlchart.v5.25</cx:f>
              <cx:v>Amount</cx:v>
            </cx:txData>
          </cx:tx>
          <cx:dataId val="0"/>
          <cx:layoutPr>
            <cx:geography cultureLanguage="en-US" cultureRegion="US" attribution="Powered by Bing">
              <cx:geoCache provider="{E9337A44-BEBE-4D9F-B70C-5C5E7DAFC167}">
                <cx:binary>7H1pc9u4svZfSeXzSw8AAiBw6sypGpBaLO9bnOQLS7YV7gT37dffVuJkRpQ8R64a1VtXdZWpmsRU
w00+RPfTjUbj38/dv57j1bL40CVxWv7rufv9o19V2b9++6189lfJsjxJgudCl/pbdfKsk9/0t2/B
8+q3l2LZBqn3G0GY/vbsL4tq1X38z79hNG+lz/Xzsgp0elOviv52VdZxVf7NtZ2XPixfkiB1grIq
gucK//7RXsbBN12kwfLj5jXy+8f7IkiDqv9g6zqt+o8fVmkF/7zvs9XvHzfGIR8//Db+dVuqfYhB
+6p+AWGKTiyTWMxiXH7/WB8/xDr1Xi8bmJATSRHDJsc/f+3lMgHJd6j0XaHly0uxKku4te//3x5g
4z7gcfzx3x/D8/pxrBHwAIzfPz7AM1q9fLirltWq/PghKPX351X0tl7f68Pd94fz2yaG//n36Afw
uEY/+QvM42f73y5tIvnfUF75y2R5EJCxxTliBP8AWW6DTEyKKccErT9jqPfW6w2kN+X3AXpT4shw
vtOpPgTOpjihpuTSItZ3GJG5jbOFGadU0M3JvL9GuxEeye+B8EjiyBD+Uj8dYB6b8gRTzBiWr/iC
td801viECYsLygH5Hz7ih7HeV5/d6G5I74HtxvePDNm7uqpWxT9vo9fYmoQQ/NNGi21sOWGYUsk3
sd1fo93ojuT3wHckcWwI63iZ6gMgLE7W+AnLMn9YZ/Cym7OXnCAqBUN0jPDeGr2B8Kb8PghvShwb
wkEZBb2u/3mMKQY6jZkg3HyTaXGTcYbGFvruHTq9gfJ4hH1wHsscGdKfwAnWxSFcMT0hAgkTmdYP
oMfmGssTIk2MOIIrf3XF71BpN87jAfaAeSxyZCjfBaviICDLE8aRKYigb/BpdAIXkeBgtNefUdy0
v167kR7J7wH0SOLYcF6m1fKDWhZPy4PATU8oATAt+UaYDHOaSwGBsvmaLNmc2XfvVe8N1HcOsw/4
OwWP7x34cF4H5Yerp6DMDkHTGFh2wrGk4sek36Jp6ARyKQhjAmmUv1p2wP+9qr35BuwcaL93YKfo
sb0F1TINynhZl/88hzOtE06RBSztlafviLIRItQ0rZFrh8TjO7R6A/vtMfaBfVvq2BCHybXQy7wO
0oNALiEFTgnY/++frcQZBjZHIPaWux39+5R7A/kdg+wD/Q6xI8MeVkaWzapYHmKyixMsOWRdrLdS
amDtBZKQHh8F5e9Sajfi20Psgfe20JGhvXaj02KZPgfls/7pYf+BpS6w6xa4dEsI8WZsDvMfondz
h2P/pdE+1mc33Bs39muYPSDfLXiEsDvByjsEpSMnsOxhMUm2onTrBHNTYGGyH+/Ez/ftR9p8/eD3
1ult0DeH2BPwTaEjBFutinRZvAQHybXSEwzZGcD1lcONHTq2wKFTJK0dU/19ir0N+45x9sR+h+SR
vQDXcQ2lF7+M4I8w6p8w8vJEmtxixHyN4bfqGRDUMwjJpMk25/r+Gu1GfCS/B9IjiSNDGGwnJGvs
oh4OgDI/kRbUKyD8mogZ23WoWkFEgLffWix7l1a7kd5xZ3ugvUPqfwHif6/ixm2vi1v++Dmndkzl
d1YmAV0jjHIOybjdeZh1Ng5DqQMsie/y3cCTf5VTvWleflR0bZUm/VV24x5/3OLfP5T/dWVHa5aj
VlA7dQjqxU8Eg2VP8pNgbZUe4ROKCOJQfPTz3fmTe+2v1ZszdXxnO+Dc+BEU2+14HkeH+HMBRXzp
QRAXJ8zi0oT06Y9pueWBAXG5/mP+WFUZL5os36PbW7hvjbEB8u7qwrvt33xkuE/iD44uli+HmOji
xCKSA/F6Da63JjpUmkoJ9Q+wpLb+jGB/l2q7Ud8eYg/Qt4WODPPbAFJnZfCyOgANM0+kQMw0fyD6
HdONihaIskxIrBE8DrPepdRutLeH2APtbaEjQ/uVZcaHWSAFOE1qSRO9ZtC2aDc+gewapoyOgqt3
qrUb8V2D7IH5LrEjQ/06Xj4fpChRnAhIkYDRfuXg4zQKwSfIolDmQl6t/iaH21+v3YiP5PcAeyRx
ZDjf+ctyHVQfYBcIs6BoWJhvrYKQE8iSIgEL45sI76/RboRH8nsgPJI4MoQvYGvAP48vbAwgjFlQ
p/Q6TcecfF2tBvkSqCsf5UP31Wc3uhvSe2C78f0jQ3YWr9JDLF1DjRqB/VlyPTM3yBfkwLAUGAoZ
oIDhr3Uqe2uyG9RN8T1Q3RQ4MlgvVsUz7Dn7x00ypL9MxCX/NWe3uBY6oQJ2gmBrZxi9v167UR7J
7wHzSOLIcD5N+0MYZkiPIQIT2ILSku+f0STG6/oEyTnQ6s1JvK8+u9HdkN4D243vHxmyF6v0RT8f
ZhlyvWELYLUsvDuHTcwTwJ6bpgSP/Fcb/S6ldmO8PcQeQG8LHRnaEA1+uID9wYeYzBZYZGpBfPxa
TDBmWeCRgWXBG0FHya93KbUb7e0h9kB7W+jI0L6vNSw0p4fIfVmQ+4ISAqgJfGNqIwiZCMaCjPZi
vken3VhvjbAH1FsyR4b0xRJaJByEhsFKM9QOode89hYNIycM6kxg08DIQe+t0G6MN8X3AHhT4MjQ
tWEalwdIfMCuW7Iu7uT4R10v2qr1hkICKCTicpzR3F+j3fiO5PcAeCRxZAh/0fEhXLI44RZwa+hg
MiLWkLmECxbG474m+yqyG9YN6T1A3fj+kUH6R5wFB3G9ACpwLJizr0HT2CZDNsuCD2S8Rm0u9tdo
N7oj+T3wHUkcGcLny+gQ1ErCPngTQy7yrQ040JMIM8yh1cVm1LSvPrvR3ZDeA9uN7x8Zsvc1LCEe
AlsOS4ho3WboDdq8zkTL9SIi26LN+2q0G93RHe2B70jiyBBW60YmByDMkI+Gai9wuG8YZ3C8DOr6
YPvkKAjeW6Hd+G6K7wHvpsCRobuOBjJ9EMr8PcsBLePE6145gHFj3QFmsOTUEtCE6mdKcyOz9Q7N
diO9dW97gL0lc2R4/5FAVdch2hKJE6j44FBMDVRqA2YC9VwWgR4Xr5Z8NJv3V2g3yCP5PSAeSRwZ
wOfLslwdIMEBDSChpRgUeLzO5u2ecbABEi5TSHGMyda+Gu1GeHRHeyA8kjgyhM+g3eghdsQA44Ld
rbB5+TUrPS7MBHvN4Rr44xHAeyu0G99N8T3g3RQ4MnQvV83y5UAZLE4s6ET0msHaVaIFzSyAjo2C
pf012o3vSH4PgEcSR4bwGexnPACfZlBC+51OvxbZ7qBbCAsJzQPH03dPfXaju3E3e2C78f0jQ/YK
dqN7h4iVTCiJh+JKwd+IlaB+WjAgWHxcLb+/RrvRHcnvge9I4sgQPk2yVREs4wPMX9h7DvvO2bpI
9vtnbJ8xgyZjDJq6Astef0Y8+j2a7cZ6a4Q90N6SOTK853XypOOX6p/He91QXcBuNrpdjwd70jmG
2nnyWoW5Saffo9JuoLdG2APoLZkjA/pymR2CdEE9LXTZpsCZv8/Z7aAJKj0gZkKQJNlEeV99diO8
Ib0HuhvfPzJkLzRUbR1g/q53JyLoD/Bza/lWWS06gUZRQKfxKEG9t0K7sd0U3wPcTYEjQ/ePGPan
HiReAkqFKNjgnx16dxVpwdS2+GjmvkOj3QCPB9gD4rHIkYFsazi9Y22eD7KpBTY9rAMjCX36fuSh
x8vE6wJ52KbMLDwq3XmvXrvx3jnKHqDvlDsy5GGjB3TRXx3gQBuTQ8UH1HyY6K0zMPAJhyMwuDme
4O/RaTfiWyPsgfaWzJEh7aziD5caTk86iKuGno2Q2lzP8vVny5RDk26oJABTPrLl71JqN9bbQ+wB
9rbQkaF9sXyBPo3/PNQwq6FLI+xkgkLM759xFgxWo6ClPpRf4/EGtr012o3z6I72AHkkcWQIn+vy
wx+QDYtXh1iroCdwSBUxxc+1irHLhu0w68a7ULf3w7qPkiXvVG434rsG2QP2XWJHhv0UDnA7yPZU
vj41A5Jg+O3G65Zg8AeP+grsr9FurEfye8A8kvj/gfDbp9P9OunPWVbLyfczAv9yQN3fX/3+gOBs
w5Ho666kHf28fvnU05ffP0IexGSIQbD86/jB9UAbe5rWx0L9zIZsyqxgW/vvH+GwQWgngCSFhrvr
HJq5btfZrn5dAsoGVfiWaULC3ILfngKt8H//CDXcEMtBjT40GoGvWGsPUOr6+yUBhYLQBhL2NRPI
s1NT/DrC8VrHvafTX8/k9d8f0jq51kFalTAwQh8/ZD++t9YX7g94pYXh/DTY5AP1pxhuN3te3q4X
buER/L+4KirU6Q5dVaH+7MqUzXhkGmfEqDMFW3GzG6ZbPa9TKi+7yC2nWgfYrkq6KDRLVZt2uQqo
ZOdFMdSKiqhRZctnTVvfxaLLLqKS2kGZMgXnRpY8DiYkaecmr11n4O2pdMU0sDLkZIE3q0s3Vqns
E9tq6UObFnMa+Ol97nm17WXZM2/Fma6zhwLTzKaJGSju5c9xLyNHlzRVedvOu6zrbG/QfnoDh2DM
cEjptWHyM5e3clK1yLWT1nAdAxe1Hcf5de9WS6v2nt1EtFPSp2ji9Vl+KlKZqFwbt1Us4mtZFVgl
3JcqNgum3N6yHDfg1PaMIVKp21/7HS0mhTRfyoDf+Cy/FFXgq8yPPgfEvK+0zBwjJKssYt3EHbyH
okknQV6e1tzwVTLguZvLF4SiVIW+P49kd5Oi8KLk5EuSemfhIO9xmFmKDZVWBUH3mRUSNQAIlZ9V
duy6qU0qtuzrsrNLq/ws2jpSZRZglTPutBRdi5hix3eDm0A2WBlJK9pF36PC7tPsGyqyBeLppRiC
s6bX3qkZlrc1l4XqGGrUUCSlbfFYhTw2lJXFjjVEncoNo84BMGIVSlZxGc2FLpJJkJbiSpKsn8Wp
IKrh4SlOc3nhlcWK5A1ScrC8G6OOkBoC9ixJE13mPfkWa9ZzVXCNHD8k8jL2C89O0yJSbsQ8p2JJ
NE3jNFt4kb7ykyKzUSyuWkNXNnTcQ8rr9bckoqYqsV7UBbnMdJbatTkUqgpooXCtU4WZMQu7htoN
rr/yzP8URVENDR+lnRM/dQbiw3Pz4OHGaaiVKIdPVtAr7OqnxHNnNcTeC5oaN1hk36jfT2q/m9V5
J+w04oWNqsI85XF+mvFk0VVsQj3zqsfRFTXrzpax5Arp8BG17gNLjHJeRVLbvmE9FJXHQG1y7mak
VIaoa5XnSahqhG6TvlqgNpjlUXgbBN6E1/GXFhVPTBbaxhEunb5sLkUR1U7B20JplF4wAQ+XUWPR
xCadceQm01r2kZN61jnK8bMgg+mUVf+YmaRWDc6mWTmYSldD7vRdcxq5A7KbFF22cfvkw7OecDNz
7ZQHudIk+2ym2YXU5YQLPQ19s1SCuM8VaqdWkSfKiNvc7iyt7Sisz7o+yu1expGd9uylatlFm5NO
JSI8z92C2EGWRHZEyCz0y68izM+SJH3A0fAJG+UN6BergTIlW3lRdGnsgMKONzStI3F0IfKuU/WA
bktpfu0rmV151I/toDO6hRH1xqlO2sJJm+C8ifI7WhsrP4tuBU+ZnSU0EYqabnnqWjDKUPhsnlh0
Urh57YSmEZ8mCbkJEUkVHJ/C7RyXgzK0FdmJhpe4F3FjE8+6CnUZg3o6dlw/jlTndTch1CUpl6Fn
MeDQ/usBrhsW/FlnfRF4/us5vL/++Z97ncB/3090/fOH62N8//zXbKXXLQfL8ZfWfvbXt/48FXbt
134dETvylj/OAn7Dlf7txff5WaBBf+NnYSvNDj+7pk5/+lmIo+Q6WoLYma5LrX/5WQKH4EBDCbSu
+rPgr3/6WXCmkPcWFlu7VKjvhXD7Tz9rwsoWF6aQUEkGnUbe42eJBBo/8rMCceD5sM3DIgLWTzf9
bFW0YRqTsLvKKtdQmagcyy3uK5L4dkj6yhlwqu+DBsdXpEqSu7J2i7mBcD2vBxfbuO6UJ7VbqZya
lyb0T5hUcdLZvRWuzIE3dgX9KM/8vHmSdZvd6x5mZ5TH3XURFGctKeVM1q6+T1gBXq5gdhfI84xq
7tDUTOyWCa3cIaEzH/WFKgc+T3vUzEthdJP1ZtRpFt2zITJtgnPDNmIhnI43KjHqayMPPCAK5gXr
rNbuaEgc3mTBVRx0iU25/Gog3s5lKz6lAwkectrqCx887bQaZG0bUdrZGB7MVYCFO+1QJee51uzK
awlXVSKTeZtZ0ok9U86zdKiU51mfdZm1imYh0IU6Oa/zfhZJ40sLXFxVuralZqHNfPBpNZ1Elocm
xGsWUWGcNVp8gmd8obWbKVTpSmleJyqN/K+socuOy04B3Xn08uixYGk8yXyvVa4X3FUUprkZG1yZ
KbZs7nnzaGjyucGTlen5sepSvuAFCVQ1pLWSLAynlcG8qe+2SKVs+ALwh7bk2Z023Esa90/gbeem
G2dwJ+aL25fXRpk255EQhSqqAU3yVlyagwQD6A6XTAPQVdY5ed9eR4n5RMzicWijZ8PNwOj7/iKK
uyveuj44aFwp7CHwJC05Xecf7LjuSqf15BUTorJJQue85Oe6S8REW6arGPa/ZN5wA1uDz8Lc8pXR
DYZq0kgqeG06m4s8Eldmj0LzCRgr60+tqowmlu+dGS4dErvAhefErCiVb7GVUUbToBZUYaOf8sHN
lStDdoGaeNGEQaEsloaKJPjctFio4qYJlYuw73hMBLOeRRORY6FKYyC3BWON3YgitakXPecko6r3
g34SJH090aGcAmsKFY8GeMhB6Z4afZnbHouw3cK0txGO56aX3cZp2jlNQE87IUuVRQm6T323VC6l
c6zTThUsbJUleeIQt7UHilJl9u6q78k8MAQ7jRi7Lyr3K0nTyrZgJgCdvqQli09byrhK2hopK+an
hijolVX1WnWiqOwMB3zaFfSuicAfuhU7R0Gb2TLtpY0MtijiOljgXp/lNManuQ4ApUrasfm5xO6V
0XrTdrC6KQUCUOVFENkyKWZlH2VAd3xH5PGTH7Op0BkYAJgmWWZ18GCTr5lfLmA+ZqeRYQknDjC+
8tvMdNza8G/DIPcWKXB1VQv3sskNrULJJ6SXA/CeBt7zJkmVm3U3PS5b1edZtMj7QaiaEHeO8opO
RKnprPdc6SADeGyWp2eej6xJ79XmouTesMhDbMyoztFE59kNN2QxHaJ+YSDvc2Yk5jUJg84Gmxid
GhA/2H6ULQyztb3Ocyc8zL7kVuh9K9PEkT5M4xsrDFdDOFQECKdZFer/vOqP6BXc4Nte9ecG+h2e
db0Q/OpZoZgWzpOBnjxwpsx6h8RfPSsUUsNWcVibIJTD3jYIbn9GsOtzuyGshX1RXMJXCLjqn54V
DqOCH1iQ4V4vSMPhwO/xrJBS2fCs62MKoVsQRMlweBmFcPi75/1LBIsbViSGTpKrgfkLE3wAbTRT
XQR0Hkj8tIGVExW68QXN4mjKTDpHNZ4FWXXl18YpGGVHtuQmxQbECnjRltkyqukXt4ztKK0uugGf
e5LOB58XKjJ0b/uW96Xs45vGdaMJT5KlRJzbEA2AlYvrzB5wG58lfQwxROQDNU6q9FGb/llda3EO
3vZa+BEwRg0hy2AZdiGjJ26wqeliCCP1VQaWSGUy/Nzihiud8ivBgJGSOrJUhNvgqub6hWsdKtb5
lT34FreDJsKnrBfnVWWdmm5yb/bdqqfDRUnlU+yW923faCeMvRm4uzPO1ly/4VdMW4u4isF9++zB
NAxn0NXX1ufTsikaVWAjV60U11QWZ3Gir8I2ugzbcJoZ2LVr1gZ2aEE8iAvjEaxSpvSQOYiF534x
AJ/O+jNTRtVpyuJcJdGApz6XydQI5dfOSq5ZU5/TWujLLL9B2pwmUTDpLXwFJ55Ma7O77XGjujAM
lFngpYl9O4iNzw11H+GcsymvIUKSTcvmZpw8BX39kBnIdJIBol7chZd9A48uj+ob1LmdU0Y8+ZTT
U96XolKV8LQyc6u59JCYui0QgYTx1u7r5s7vwwn8PZgGvIydKk8/1aCGmw+DHQVGp4C7zFgAEXEh
sK1Rf5Y3gEMYGpYKkYgd3QuIDHrzNhD6rG3dF5pnoQo4vweqdWsQy7SNip/LRLuqZpZv+1keq6Dw
bw3mnrKwoudMV77q8vBeuOmzQIGTuslN4kcvYVp88iSqFZyoDWYSbmqeubi1peEKBT7as2Fny9Sk
VacCy7VjHUTTLKidASgUULcZos08ImY8Seuun5CyXgnGMofyvLGRlX3WOplInMXnPpABO4/LwPb0
0Kq0w6Uyy6KDuNTCaujAtcFJg9nF0BcP+RDdulktbIpCYCGBgVXQATlMauBAcaHPkO7icwyRey3K
zwG3zqHN6m3a6MC2ApnYBh6GWZKGNWRRinYq+xTeTJN8zdL8TjQAPGs9p2fDJardF7cxsGM27FZm
4rZu3XlrphDWu+6pFRlCMXjpFbQem3aDiIGQpFQRLwJn3xatCvOisY2hX3rmUNqsNDw7hieqKqNY
VI3hoIhPcG9lCsdJcAXFq7NgIMmkj26NUGHfparxhiXElMuq4fde19xHMXbqTlxD6BrZrTdQuyVm
qMzA+NQLI1VVbE38oZr6fcMXQZC3CmgZA9gbT6VGvwRc+wUQiInOgNNE0HLFIQZdka68iJFxAUwY
UkSiTyeoH5YaqGKfVczWPOkBriBTfWtZqi90rUje3iVWq+28rPDMJZ60oTsE6NPEqdPW8AbCz7+R
uOtVz2JXRTSwlIiN27xGqzKBV4LyJFhoy3rIivyyjP1GQepxlWXoyjLaaRl2XBkkppO0tciU43Dq
o6E4dzGadUAjnASe+Fmewk1HKbxNdZV+oUmspxrYveMFQtpNU1AFycu5S3k317hf5jzQMwmmkUbB
NDdrw/Z9ejFU/lUZm4liFhJOH5h3bZi0yqP6Oi/RLCzofTaArdT4Dns5sfUAZBlpa+l52SLj/oLA
zTltgLhiqH4w+IBtF+jOJA6BYxYMXuqodL80fPhSVPmtX1Jv7sXGPAtxPUnAwCla1XeZwIlTRICv
aWhHmEVrt5abKi8pnsIiBlOR2dqXV2DoZl7uJ4rQ8r53208RqR6LXJhOHNWPVA5ojkmLHTh50T8b
yrBxAuEzu/fjRGkv71WMzdOiDO9Sbs6GrNaOG+EvbdRBjiwOpyyWoS1kRJSZcSUL8qnhN225GNzP
bXBGffMmDXMFvck/hUbyEJgJQJNWM57qSwL7KO0sxuUchXyFwdBPcCevm4DD1KaGOzdYHyuLD8Ek
toIaMrjU0bI9L7P4tpFkbnUxmF+g2UOP71IGkaXuBxV49SNQ21ABBVzk1WXDe1WxOlCe5V3T3gyc
WMtgRvICwq8ieMT9MIvjIjxPDTD/g1FcyN4ypk1fR1Oz6kI1YBPSdZkAtNxk0mbegklh2CUX/qCw
9mSu+tokc9rplQgS/6JNK4iWPLDY1mMIyZ1ZUQUWhFz50F9iHwW2XwLOVg8BrCeqSRC4tgb7tXAh
2LzCZqGv0GAMc7es6Glj+Zdx4QuxrGnfz4auI2CPRT4B5xFOZe5NE4YvSMZOwRotuAuvjqAEQjNj
cIyCmp8gcQ0Wosk9RUtj7uf0ktLSm6c+WkGktHJ77wlcTgjxSjfvkeEkwnJIhODWQcfSxNqJuvi5
CyDryzx/RhCkHSvXBPPg8c9+lzSzHlfhpM39CSSftCJkmPLGCGzoIXDmwcPOniq0wNS9jVxrbkCw
dxkU1pWZda4d1Am2oxg9wOMHL47jVdaFiwYSVtMs726Kks9CUZYOM610mnYosvsCZU4A7S8UztvP
adUVdhffMdo7PGYPiYRceR5Wig8RRDx8WgTxdQPzRJW6m+Iqu7c0fQbjel3JNrUhdxvaAc9vsVFM
wcDhWUsLcNm4vEx9iJEtSHmnHMi8DJMrSxa9ily/ngQy6idFV8H70Hqx4/PBh4RwOUm6GLLpnJYq
0GQ5lJCTi9t2ZgUhGGfBLyFF8bkosvPOii1bJ8YEQ2zBWgHZ83DatBBF5s0ZzNy5RTiCdQL/IRvK
zA6D+KLF4GojfB641Zkb60eW4c+tG4GPSK3HknQXurMauw2koUIDw5II8z4lPUptDBnCIVgUtLjo
PG+atSRy6kBA9j8DH23whzprLobOVygNnmLKFnmEY4C9P286Uc/7oq8maccvEixSmydgCA1/hljA
nZzReaTJeYuGs7owTQhnh8LmA38M2yS5Nl00OF4lDAjvC+I0Ph1UU8sMAl5iKpakvZ2VkMgUQzEv
KdFOgcInqwUOI7r62spKcyaLRs88WZbnSV70dm62Z3FoCTBK7iyKXWMmkzYEzulWMLlYLAZ6zytj
wQMrmXFfn0pgW5mKMzPkamgkD/4vHHtdTISs39+FY+t2EDuCMZD6FYyte7RhBKEVnECzDqz+THNC
nMagRmx9EBgQlI1gDBaj1wt8CHKgUCgKlaJ/BmMMavuh8wgsTq6bnnOK3xOMwUHxG8EYQ/CLYfvP
92JjCnnYdY+ivy4nem6O8jTR9eUADBRcSP216FtfRVFlKcj/OH0RPzIMxrTX7kVQiNZhuC3tIm2u
k1KfWhKSoyUjEJM0uVMawZlfhxe9BURUk+AOkj0vDWoi29ANcG6jTWy3JRd6gGUHF3HPTsrsCszZ
Yzvwr6Skn8GM90r4kk7dGLizNIZpTA0Dcmu+r0gBq1meUaggCz8xkX7Nev3Q+AGBlRAwDy7nn4oc
Ipgufayk8eim/ZnPwcCawUUT+eeVDr6WWiQqkNZ1YbLnWHpiksCNqT4O+IwQWIfC+guYi35CQ3OA
YfsIqHU7F7J96ElWTLyqnVI6VA4JIfkBaZ4YgkzxkvsNc0TMz8sqvm/TIbKFxyYsErc6kC95Ka8D
BnSO5L2nkBdWE7dtL0XWfIYlxGe30l/cnFyVOn2mkIG166jwJjWQt3kJkZeXyXkAgSkNva8xqZpJ
FovMaTkEpW2mn1ssLyIDEtJJD7w5I+bg9DSR0yBvClti6xwSf4ucuucpWOghyIppr9spKtqFJ+Xc
I+y2H5pvAQ1XVlLcm7Cu65rD58QbEgdZoCSAJBGsoratBTwVgXciXc5veFNe+LL7FocSaJCBZhq5
yK6LsFQJIo/UY7e06l1HBNE99ci3mvDmtA/W4qyup7DC9hmy0fNS+5mCWslpXdUBZLuqcMZ5/EXT
MJqSrL4kPkMqiKwY1nOAjSNqrD3aFAIgSCIKNMsrXysvyhpVZ4BaUpHWJrCEWtPAVPkgpjwoy5lb
ZmeBm+SLIYk8pwjdHhzWcGvFbNambFrnNLfpAHGZF0G2E1UdVgL4nxPX8MYxqzVsMcBL3JeAYUIy
b9IWw532IOiuUzH13GbqovpuEOYiaCNTWSROVZm7nuPFYQbGPnqudPdZwPFXwOGyJ4R1oVLt2kUL
K1ktCuY8LwxbG/4cpUboGFaU2gjpGe/RDKOgtktkyHnltz2k+sQqCfNz0elGZWWYwTJ2dcq9voeU
A6xSe0n3oHO2cEkRQBwBzJWb1VO59jeowFzRIRuuk46TM5r+D3tn1l2pzW3tX6QM0QpuaXbjvil3
dcNwlW0h0QiQQIJffybJSU7e5ss3cp+7xFXbdu0NWmvN+cwFun0XBSk/t35aB0XT2Bc/aaalnIiu
xTPehsrA3WDclrGIgkNcdbT/xubWqCI0A1SJdGp1nXtJx+5IVYsYPYeo74LR8TcxD6VucQllYR1W
N4PWmTTxnCfWZTTip5ql/LEeKcl5Grl72pKLio8iKFG/A8xdSbsVLon1eJ4ZrSAPCGfQSlEoCIVe
gxyqzb1SsRuPELn918ZSKq5hN884Z9rag9/BflI+zzJv4nXqtsxWKt3KqgmjEY2mz/g3alir3/xq
4VVRB/CSi5F2cfW9iQRmG+pDpsra1GF6+Ee9/E29RHX7i3KJ7ZjCrP+lXuJlv9dLAPE44yjCazTE
s5z2ldN/2ILBLzt/GUReBM3kD+Uy9H4BcbPvN0a/hC3G+5aQ35VLrIHZqyhWOaXRr89d/jvFku05
yH/1BEPUcBRJuIVYvBpE+El/Lpakx40zjrq7670hDK+1P1cCE4+gXQT3wfpp5tyyJFnLhp/j0n3f
1FYfHekfMcLVWcB+rIuty2HmpwkW/4jVdZC3ohanFbuhxhtzIuc2U4MLoRClSxHBNMAxGM9ZPfAb
QqoGkzlERFmpW72aDxLDWIhS+xEORJU1Zsg5hYyiEnHpwg2+QCqvyTDeTVRFhcIlflObeClMhT9j
6/QBFgN8yjz9WIQ54Gxcj1jC8oM4aH/WeBlz/MSYuUE9G9ER1PCdRvtmE/LUmrXNZeM9BpF55Xj6
3hFzIPAd2Km3XKyqhOtroJ00E1Qa/s7Ypo46WpYsSad73Hy3KoSQVm/+I/XYmNWzuHc+veho9Bma
7ogJ/l2HmJl91N+JkNwl/iXOOfzt9NTR6XUOxFm5OS76hsNdjF9T+SOwqgCJ/VOn6c/J17fTJl4i
5X42YQKTKEATjtH7Dt4QZsLInrpaYEQwEEE2MvPD2ohHLYKbeSA3WzBWuaToK1a/RYs+Jt1ZenqE
7Qaxz1IgShE041FXPItIzWCCeJeyjvlRkjk+jLy9rqHVwHRxT7EmF74dQdwwc5EoTJI07W6HFRYK
QIvkPA29f1yNPSaLROsv5jof1jY5NqyeCkm7pYyXypXR7FNoXfhTBodr4va5StihFfNdTOdbqnqb
E5KOxynsc4cF0KhkzdmPOAAHYzHw2m3NYjqdOxJN+eST6ogbrcqtWi4pozc1Pgr8TcglZHqIl+jO
cnrmksFJ9OUxlOqpM+Ep9Rwkoy1+MijjtOPPWplP7O0hebP5KotmCPfLmNaHZN5eoXUMBfeHi4oN
L2SeddFq+0RSg0LU8bbcWjKWwdI8rsRfy8CPoeV5III06XKhhutwTW+bEP2SWZ2fJcpezW6xpUPh
u2W247hXpqSQSvh51aQnayAxN8Hk3k01yILqoSqCSZMsaOTL3BSsFU+BwUSXpIKVuNeKMFxQjQwz
x14bjPR2Gk7O86s8UPRyHew1wKGt6KQIio2Q+3WRdbn241Ywv7sRPWbalTho+UGAyZtv58qp98aN
dL/WHsPggqxfDUWfS/j0oJguIXfKoq5ZmYTqmcbsi3oUzgELv6aNvqU6vaK2vRnW9dGHuZNB86zL
GFpEtnZQvrCatoVxm4n1nKjtIpzTXTOF8oRrTwJ8CvMpWb98PX3nZL60yty3A7mGcgFntwet0Ljr
IF3g3aMbz6Le+pncia45rZd8MuYLHl+Xtc76RevYuxin75hQKNQC0mS+AjTobBJfmBlqko5IAjU2
fMWpO2Yorjpb2vin8XYDOfYF9LPkUpPJHblGq1dvywVkEtA3E3+Ia/cuRcSzIWzCgxk1LHtuvFyH
4ynuMEvXYstN7R4NTJTcyb5sXW2LsRF+2ffRhJtO4ZZI4ut2ErJUrrpRbQCzea5czgh/rKrwVg3p
Y1qFp8CtSR73YATmtYXuPdxw7o0HzOLt62ShLVZ2uSKU+TlaGtzYkXzBnnxoJouF8ZRaAIN+/cP1
Ks7QT0KY6C9woD+soVpO6BTgVPjz/RAufiaiqFjg1YPHEDxfdBBmUay+VUl/UVeQdoF2XOl6uRcR
uEdfYvgRoLCYmrwSbTleuyyPUSyTE1iEH1pBX0+Hqcr83q/zWALh4Bv5wkp31It6EsckJfd4VsSP
OMC9PbYMen4HHa6FsAFhfutv6JiG2aTGV7RmVW4SiIfdClU48K3KapiAhcKZHQ09PUhBzQEd3Y85
FS9qwIVkq/6wGg6pHh95hnI35TYImsw4yg/wB/GeQpg8BwEwER520MvCBjdN1OJdWp7qtbm3qIm5
kYBURARBDautId+TFZdbwqC6SHwtaUF5DWSzRRNiYCQBgBYLIIVTazPSxE+RWY9Tv35EKrqTfPh0
Hr6dDuVrHBuR2QlmVzz3V14Qjzcs2sDQUZcx1p+o551NO0x5uPpz2SRUvY6tbM96G58C8DBF2wcv
ZA1vjTAfdmwPaSWfUOzpJVykHmhMetaC3zIxfku35hQQWOqsXlzWzhDv19Ceqgg9fr9qmHKhxa8S
LYXP2E/hFETDSfF8VMOGMSt58DB0lFFUh1m/ub4chk7gXpmrM53W95jgYjD14h+aJvnmetZkSUUu
BOfvk2QFb8CaOjkc1ajwejbcqQYoKHxIXhIv+jlIF2JsEm8hhT8gx/iOzvGzCuNjNbTutPHgS1LL
cMZ68Bz8qS4T19eHmLVzZmLdQIdfcfnJHT4Ra4ppyXuLgSamUPjLbcAHOxGc2vUa8EKy1eYxke+0
968bYevciErm44K5amnxVpvpuG7hDEsWKM9Mm5PkxuUigcNCjd9kow/kVUHSK+M0+ag5zLkx4dNh
AdIFBXBZCthzuWq2/VSNX7qEeyCHqijvRvKtnuzTlKYKxEiaK9tezdqLMj4DjeFajYUf1o8mZmNZ
teY881nnHU2fwn6+461N80AbW3YDmfMxxv0ULObgOGmh7fZngs4JN6SkcIP0j4F3d85HPce7hRIi
T2NMAZeM4tMOsKOG+Cum5BsJEhSBDjJjkzZfTHd14bf+z2WdLlNU8mxl0U+9sOOYzIAZuXdR9UFf
pBsoVhc3L7wDnTs6oJTJHOewAjBA/qAJv0JjEGZJCLrDm+XFEE1ePsxS3vhCnasRhkySNG+cRDBA
rfzmTUmfDTN5YB04Vb9T5zC1Lw49VxbX25CZQfXlaAKer9EMBb4Z8c8JR5EldgpLpcLLZFR3SQJ7
sGFjm+O++8KSpy7DNeNK3gQHusyvw4Jbt568+5b3U45r4TqIBYTQCPbh3AyPscBnhHRrgPbS4Zye
+mug1f1hisMLLzE/Zbfq3BPmZXRgrrqZPm2tuHBr+80PSVdYjSOV0R/LAjA7sXATU8NsgU3sV4Oe
Dj11SUZXbXAcUoWrVn6m6I3rJYa87PrPrZsuthRsEp+2s+/3rxCYC8Pk07AMTa7R5bEGRx+k/jmv
U8uOqhX4JWd2pG76imu0dEy5t6BDz7dID561fJ1Zf64qDIRN/14lzQ9p5tswHC86YbwC0/WhWnpU
ymA8rSN7cLVXuqjjMJ3Vo9Ng3sL0nEYEk6S8M1uQr8KDjRfUZV21pZiWq8mp8yyGvAWp7V9o6UHP
5cxv7tt+i19XJeLkZiTRgi9EZliKNYlh3g/k4p8Z9LcZFArnX8ygn/V79/5fRlC86o8RFAMloFMs
iA0gsnr/NoICDqGI5uORSViJhQHwf/mZfYdhhMfXJZBr8ejpX4Xe/5tCMZ6GmEOB1uNFfy8BgqU8
/zGFxnHk7T8LtTb+NYby5ym0b7GIrcWvcbukdaPBPgdPPKIn2ffkYm556ZlwyyOyrFm1zGdnVxSN
zodfvqQXJmrifAgC78Dl+i0hajzOsgOX6UHJhFldynn4yX0HKmczs6ugxqmZFAGZnzVshYcVpusx
nuLqqg7X+CwdK+LRD/KBLdN15IczrDG/Pjjm/TCV/qJQ9E6D7W8mX3oijxUgROFm0CLuni0yvh+H
rs15Y5OCtkAQpiTGvZXC6OdQrLI1HVIEOTpUruYg+UxOnmRVKbvdEJ/Fh9f7bi70ginc9HIBJImJ
jA9blZmg4fCoeu+28hEMcHOPr9Vpf2Je68HZd/ebgEg3QQPAT4Hot0FYyKYgGYs0sNctqwCK1xeu
909m6kZ8e//d4Ka/jDkAFGWWKFsq+aAiDXlJXS6Eot+KA5hoHejWrfbEPleXyTzW+VTHVUkxNcPE
ekyn6TTUNDlH43Y32WYtQCC/gG/5qSZ1M0L4B8hT4+yM7iJTfeMLTjcLKH5p0q9pCM90Tq8jbXXh
axKDxA3ZcWjVq7TtRdyLNyeNBr1PvhxPajj70IHb5XvUp59Dz8azF9aggHqTZH2MtwVxgyELal5f
CWGBK41aAJhEVVjlc0NRC2ynFBBDpGAIJPCyU/2GGIt+gfr7lsQuV/CryobDkV65wOTajs8KFNGh
oy2ILmjHhabum8JH37b+EuRioSgem7fkSKaonIfz3aChUUImlCUCST/DwbwuoGc63sMCCLyPoWqA
L4CcuugrP6tIEhx4z5ZD7DC+bqPm+PE+Qh1Q/zJahR3MAW+MiiEMzmRO0yNPOpkHicKNoJKvVYKg
bvSPYIDHkaLhLD2p0ZHG+sv2Q4zfdk8zJXTIh75pD2JjKKZVmjG0H/kocI9gymuzRdVbUUGvCVoT
ZIC1jnyJ06JO3G2wVCc/6oGG9bdxk5wJEYfZRzahqOx1iu+pQ/M4jBYhmJUBDI5fGPQAcBhQ8wO5
FpV0x8bzcoqmQ/fmlbU1LRRG80zJIS01zNdcpSbNjOwPqhmufX8+YmZ+0nw+NyO/Mt3QAWPQufDX
O79dTuEMTILZFFe7c7dd628XCW3fai1uonjoIQtYdgZEfOWnmGvNcGwJZqBEr8A1mmbL9n674LWX
5IR74jxLceXPApDQ8NZ6GAwTq2GgetVTyKKXedK3PlI9x7pRaeGkFwPsDqNi6s2a1RwtLpnNEVMD
Gu14czlZuwcbVy8bkmzZOMwaGaMARw9ex7sWDL1pi0E252qbPsc+CEt/A4A9AnmgoJ3QkMRNluJt
zRdTv/hVcG8sDPlAzGu5SB0WzTLFp2akXxD2LkMhrgQm8My1XYDLeixoJ962OPhWVfjcp0qxfDRA
5BrpPURJ+uZVGNV40N/7xNnM25KvOJ2PZiNrNvZJBSpruZ/q+Vj1/rel1gCmCQfOnVwAEQNdyLr7
doTGzgS5qG37JCLTF3AXLuI1KRfegsZwfpTLsW0xptqmbAFOFButr7fewngAJQZyof3iW/VtHHiQ
rR5a6UDUw9HV8mMagN0rzIQ0sVsRAidD4ieklxYxt5NJhgOzjGfbuN2vmNVKskB6aSC6u0CUs09O
aTVcpmm3HMJhukDytUYVqDG8jN16DCyk+jZW0QHY02s30YPh9H3UThydX+8q/nIDEv/Jj5arjSm8
1BdluISHSfIS1P4ljKaT1JU5bbiIcth7MKZDegQy+HPzhuuI48x2aQB0eKclpk8jxbVx4/vmeMkw
YGR6nXMYoG8q6YHZgH12toJ6T0/M4DTl5oC5+0QpzqMAlYKJNimipm9zt7JvwyyukUL6bAwOShHE
qlxamGkUwJnZxLUXIHeFZu12Sjd+9EP7DKMH5GcbgkWxU50vPoxGKJWY7JYs3sVLChUTtXMqlajn
jNSQOOH5gvXcZU/CMExPenoVUESjfm7BOaVPHjNvchdNwaw4WDG4NKALezhBwNZAZg2qxB0nYNb4
/X6A+sB4k6gPvWuzqfSWot/12r6RUVFBwkXNu7a7pmuH+tLsKq+Bvxfsum/azR/VrgRTNn4EdX8r
ZarzaleLzVJde7t+HO5KMhjWpeDOQF3edWbcZWNeJdFNzSjusl2NJgIUGOTpNQLEwnBO7rq1hYC9
7kq2IPJ7A2k7siwP6q47gqg9oo/AZ1Atjx5QDEyEI7vYCDsPpkYp7qEMtGiNcuFtKwZIT9+mW1jw
tYM21qg86eytY4iRAvC7ooHocuiDX8DxeEnD9M0q4pVkhLrO+/i9qaMoGzh5peNc3WP8ucZprtPq
OlzqYy3CCArIXCdnipzeCFmoVTXyiYJCFAFStmwl1OOxvvqnj/61jw4RYf5/99GP+5Mbpv/so/dX
/amPDj3sp/uTZfOHleP9gm3eoNRDz9sz1jBafufQ01/AmsNeQfMN3Jzu+ebf++gEEX14Q4DHMVCi
Nff/jpvjJ6Ay/tXNwcOXfCDyfoisGQDFf0MfFqhrZiTpehvFqT5Q0kJs7KpovkrMhNxWqu+l4+w+
odJF2bhE8CGiCklKi6w0HJ8jUpsIT+8xalHT6Mrt0epFQheeNVKnWFmft2ugD75n0pt4D2W7BckK
PwR6HYeGgDnn0VEjxZ3usUOC/GE/QnL16u2+Ewox2j2kSIY934HcIiDZJe/3KCMfEGoUygK5S1AU
ZsH7vEf2ETHw9rwg2VLgX1HSPSBJ9qgkhH599hpY1ai5iFIKZCrBgnxaZCzVrsLtocuJxgTtPIKY
PEU52vZwJvSk777vP6R7bLNCfjNMqC1CJDr1Hu2skPGkId6aPfTp+HJPkQLtEPhOkQoFsfCdkuAo
97io2CxqExKkYYQjeEamdBuSD0Sl4KnDBckTf7lc9wBqtUdR0SF0WR27Q4qUarPHVRF3O1RIyDEy
XvfIs0p02RnbI66iRtjVRuuPTfg3npjwP8nwIGoOQUMGY3Kng4SsRzL3K+Ld+HkVtUs+TsBEPSTA
B3X0EdehqQXOZy5nLz140/a5JYkoI7Zc9g52CZuAWmm9osjNwEzCTqJXSOwA9ROalPXDl2Fur2cC
nWwMh3JBTYdD/VkxRHR8xL39ir+va/81M64K1kR9gQFNHTxq2uuk9e+qCTlqFo8UWOtwD0j1PYG1
lHmoGHndqjifgB2jYVfnxTfPUqr7mXYUfRlCdQm4020EegqRtg56JJ7je2f5i+kxOZlOX/IJHdRC
4CMlMS7XREcVeAqONOMK3JW1vShVp+EZ8gr85Zg+D5VEW8pH0MmI4dtkKlaUfcS5xTvIZo6Sot6Z
g+ehHREgfirgmUaFhTVNAy0/FCAkkK2iHtIFLuQhWjj+yCoQHBtI8RPCTtdmj6jNe1it2mNrYg+w
Yda+bIm9j5Fs6/eIW7+H3SKk3rrYP8EnNvmCPJzrAUG2BF0Tq70z3UNz8QAFM9qDdBKJOuXIeVJo
l1dk7WY5v0hk7wZk8GQ4u8LjSP9FHsZRDnkTeT1kEmgp9whftYf5UqT6AqT7ZAhiWw818grrDyux
SsHvH8UeCOyQDGxHA2dkDwsme2xw4EAlTRW/QYu89/dsoZTNp9yQNlz96rjNKJf+nkTUeyYxRThR
7SnFgIu2JEPz0iPA6E01DDpEGgH/fe/3jKO3px2HPfcoVHCNLMqzRCDSQzAySTtaUheVMSKT1Z6d
hDCdL3uaUiJWaTCAMqmukO1Ht8CgXqPvfjWbb7JmT2Uuez5T/5rU9HDhAU4Kb/1GJdCsok18/FMe
fyuPqBZ/UR6FbmBzz/+lQOJ1fy6QIVZ4BBG2b/t7YvnPrAOWiFA40mmAR/n+KagV7k+DRL4Z4WSa
xGD3UDv/t0BCg/o1noU4NcqLB9Hp7xRIjyEo9q8FMsQC2X2tv4+yi19lL6B/DmpVswaKFqs7N1F2
6HezI4TdlW2hBb6Di35Z9+OcWgrGDv4JbTtMI6BOm3O72y6iq/Q1KC10v0EwPkr4w6fIzfrGNtXw
gVx1d2S7DVS3bGUZ91aRDymxQdZ5xN3pqTO3o5ThGxLJ5uBVfpTkVeWBYuur/qYBF/eRIB25uhZz
kOfBZ+e1PW6QkJ7geEVv7cKmRwvc7Nromp1RABWqxkyagxet6jmYqclQXfxPFc3tawQB6sQjnRb9
UOn3JUhpCZ1GlJj9gS5LO13O9TLcIwKJiDV4CS74UCzWC5fbmvTh8lNpXoeXHgy41R2MauajBw2N
fIY8lfVNHbbzmI04ZqZbVmPuZtxz9WONWxYj9AwpejPBthN3KYHhSLEZAf6Oam3CQE8vgyUFMMtW
XMYEcZRMzDiZ5OKPXenbFPh75d5i2wbvK6YRlcGZ7g+8jqOLdY7XR2PVhnBOBHMAgxq95LapEQ/w
UnhFC/+BK0nktN+290rX22cs3Cv8tUPPxQVhShedh8S6jWCQk8FywHHejAg3YjOX3DPrVaPcUEQm
xY4R1ymChJTl4qA7A3UJGMyA/O74EmJEO7ep9xQ0Y30aCOIUNWoxavtkTrHU8WNSD93ZEJM+DXSM
b1wKL73z4XdlvolgpmqKBQpLm/4gIPIuIL0wmADdrUw8UkxmcceFEO1K246jKVwlhi9GlD6vQ9U/
xF6izxEFZco3jyFkBZPAQVq6YhL2oyajxLDPFAZVtl7pZlNv2+zIJS5engO5t7eST9VrsnX2qd9d
rFk58UiEG+7q3f9CxpW1RQ+kQKNTCD2ID2ltSu0iXXAAtbCUkMo4+Yv/mSKHH7bBBXM2uF/jKQER
qmLvE9tPtsMoUNDSQSNKb5Mo++cs/u0shgz/V2fx5zT9F8l/F+//OImxuo96WNKUAP8B8ogz9U+j
CkWKFiuf8IgiEGkYcP5vVGEMD4BM8BzQX09pfMPfRxVMMXiaDawAEN6YL/5eZBbPyfmPk5j5DOul
gJzRX5939a8n8YZpu/aVwDmLiGFWdZssY++74h80zbYIUsoU91ciWTCK2BRJhAFfn3x2i4DR7TwO
hzjhD+08f9d6yymwlaNu6td+io7jwB6CPrke0tFkmr0BOEdQwJlyY82liZjOOLgtBPMQ2XT9N0n7
EcwIBY4LHregYnhDXKuII/8yQhaz8yDg7FEgub3C3xvzzpmLOurL1EkGSEic9AwiRvbbq8fZydaN
yMPG3DlWv0mskdkSdYXh4RXJ5i5rIv+L2P5lnObnxuv8LJyjw5SSw8a2OyRPWIZ/2RHJ2zmHuAnQ
GDEUaCrQOit7NgK2JlnBQfXhkY3kMGlweWuXPI8W22wGs7Iz0qceqFBsUKCtyqUlJ0RJgbCIqTrN
GBpU6M4+8qR2iB/sANPCdNNTG63v7QB3MR6TC0ToXzAJXqLYdflA3TVIZJDSnJEykv0JQUWZu3m+
RM7oHKeQ0scKB7L3ofv+O6/mpzWJYBeHOIu3xH5vqMbGqjGA+xB+BgyOcxp5T7+uYwBzBv85rA5G
Q81Y7RKjAVwhsK3HJLHlgCI6a7xnnLfoxFcuY4SfJRSiG+OMV5cVGsIjWvjIXYKCX1HBB2rOKkl4
aVi6Fp5vEM0ZFZ1Y6YuwWkqtA5O+t8toz9JEvinihrouc4FdwxynMsaCNsQGiHocc3ie1908jiWC
wT/7ehozLJnwiwAJGYAHCv9laWE3/TOu5jBPm/ELzUacrZUs1h5kLvPWJcMOiAe2p5BZwG5IDcrE
+AO+B0WomtSvrQvf+sTZfHHL4zA3NYK0gyjCMfqQg/7yEaDezLRmC2ufOVbvZkEQQI8FsN1osIM9
EaW0JijDaIHFj1ENNsUprKe3pInMISBhW0ZV8rbusMIQxqDLmf3QiY9AbQtiee0MGgOhE4yVKb9u
ObnhaDBg72Mzg5MfIfZ1RB2ul57nUbNdxn1/lGq4XwLom3XjnoZ9oogVP7ZQBBki2hmn8UsF++sY
4SuJZ1/4Nt6LCnHFkOgrq9/6KMLCi5WoSwKAUhT4VkCnAdCQuAYGj/1ehNQ6bycHDt3iE5f1+DDv
68CaGvlF7AfbsCfMYV8YHi0+5W24QMYd12b6+U9d+a2uoAz8RV1577FcMEcE6L8VF7z0j+LiYQVw
4jE8YmVvyvcK8kdxwTMa4CYHKCFh+OtmhT+KC/sFywLjALUnxLq/vZf/o7jEvySoN6hF2O3w24rC
37c93f3/NwqG3r9HgEBGYb8RTcK9AUxA5v5rcWEe95D6jNStn0wtei3kKj27rqVzAB18x70zAnaH
NljPfQf1JUv7+q1L2UW3iEOSGkAV6obN41lG5HYjEOdDZJ6RT1NXrWBYQyCm55WCFgTDUcBWQr6H
mHJZm2/xBJeVmg39IUDVXkl27xBJ5Nm0yYGWbRJT6DSRpQjD0putFgsomnA51tjclTcIAGU9Ndg0
4KXlJqGqeRwnGY60rVIiQ9QJaxBj2xU4jG7cOsA+WTeZQ+uLitoZrJdZ6NOCKsbkWlrf6MIAfcpj
Cjc4mqKfMf6d+bAvShjTfSHb0qqMOovy28ufqUiTcq2woW5G2B9R6fq89WF1bgcZg291peqRicF5
2F5GEbFXlcA2wgprWvJwkk9i7GCEteAeJy5vFTF5JFdAbRuQyHj+NokxzttmfIoZvx1GD1pBYK9C
J8YDyOQZm176uehJu0cI6ZinE97TZpyvB+hHebOq9rAt5DhM0UXU+8+dXB5SiR6hsjLKNuudWDAi
5dqID9BX17zfbja/QwwcebNsltNra0he7axbI4YrCOqAVEHEw6XH+qfNGbiCFZbuKRmgjEpkp31w
ACa+byooZIHVtvA3Xo4gEg9Y9ocVQMiP+lTf+PCgwpEgKNRddQjtg2a+DLDtL+9CjcUMuGYwb96N
Iob52OCtocgdlyEUNo0zVcv5OKI0sqhuDiZVBE6DVKfG64tmIMdJkrvGKX0NUh1iEJZo5XMSP/ix
f53CHi+nFehr2MGIAPQFyxv5/KwNjS4lbG5kU6tSc/3Npa4+LLK/5mH1fR2X9dDC3eE6iDHd0Odw
HL9DU2SFhx0k62hi9Bz8nlvvynNdsXF3Ay3lA0v9hqJbNN5DHZ+RaAFJEUdXZta3QumRILTC2u0T
U2tzYrCF02Z4bpB8yZdtudRiC6Evr82FTdwP1dAHE00fybDm0wjaa+Mwv+Ni0PYiNehpqH+p2vpG
KHXhJKK6ChnfvmmKUcOUbKvZnuMq+tpiMmPrhcVqQTFXDONHv2yAjLdrPk766IGJwjAbORjQ8QV2
WgAomI6WbbpcWX2yW3A3RW+aeIDI5vSpT72slfxy2gNGnYnOtg525uJu3vxTtQg0NNF8j8MO+hpi
cj5wNSI4rr6xugOJd4WHjaE1SwxWg4oH7FjOkbt+3AY3ZfE0B1ntBFZNTQY3Ssf6Y8q94DAhnncI
mvjYYuY+jS3BseTXWIW1gjIgM66cfgAE3Xt+iOWcWNjiyCsL+y810Y8uwbqHULXPW8+vIu9/2Duz
3bixLGu/SqPumc15ALr6gkHGoJg02RpuCFmWOM8zn/7/jjNdKStd8l+ou0YBBWQZGhiKIM/ZZ++1
voU7a6orHR810AS5CSzXSqovdi8FByeNjsAwWCZk+TIvmRD3Vq2cRy2D2IYkTl7Glx7GFYKU6Zoy
qNppxfColBg5dPl+ji2aufXaEXLAfOJ5sfVW30x9eFdMTu+lI1A2e94MAS6Fqrl04mwv41u3hnBY
TXF8TizG7LGZbktYUxeWZHyyga5y5WEFefYWGJ66iQwO40utVD7u8Mnvx3jr5El/ZZXOtTG32ynT
41WRDTloK9VVoSSI5qHqGlbn8beikhF4VyeunyIYUatuBj5iZpmPtPY1dJ5jDgNtp12nvCfsAwq8
xCIDjGFf4qtby5HEpzikulsFVuMOC0CZcUg2VICWGyeZ486d9DXm16FTrD3DCC8yIzzBBkWR2MfD
XpcUTgK0ebaGOl2LCQIaAkpIALVebxdbZ6ptHtsmRKoxMb/0UlvbR0yKkGdbj3K7xDuWYwTvzBxC
fVpLUX2jxkiUIJus6HX0/sSYkQZr+5yq6FwknNONYeG2rmtopkbDXVPd9MZ00NF2riQN7RNKIyOt
TmNZZbtKGc+oVq9lhrtSoM1rw7T2Ze1sJUUab6Nl7tdjr76kTk9Dy7KgvFgJNgZEfv+pp77VU8qH
9dT3vLe/9kzFz30vphT9N05/Bu1NAxLeNwXe92JKMX9TZKwRtmqjmfrWGP1+UtcE3MqiCCNW6Y8S
7PtJXf2N3o9hU3IzcCRlWP+XeqaaGBq+xTOLI7qhUpgZqphgOuIk/6ZnakVIYCeaW8dJA6OwVlJq
r2MlZlWv8rIUhozbApAhe1AsW8u2NHFdwm6bEjyWpg6dR8XuYBfBuG2UwcLvaarPTDlaRD/BU6Ok
N2y++eWMGwvBtglAyGBdBi/ZHkvTfIWHkXhpzklQKdp4HfW9xhg/bvzORN815IpxWPo230lF1tWu
kqbAByYTC2dCf+tU0SJxB0iTidmlezABIKCrcV43BgqLrk6R5uVIo3JHYbHOFHh6w3yBWfJgl12w
z2NwXankpIAvGfm6tsoJJU+NeT05VuQBEFEhF0wpEFyr8uqJNR2FNIIYXXrITOVcmVNxYUX9rWIi
eQpyveTAZVbYQ2fp1CTm81igFKtLS9kw83hdkuTRGuM2Bx+m5JSoVgAhM5k/0TYOECJHPPIaUtso
eenCRX1A0i1fLRgd1gPIX89qM+qSuUSnEzqFg4IvUHxzlKULvZrkg4FpZhNHKitN05uHhsfdzsLk
JlcACEbzrVQB0y51mguyXV5ZJvBfJwB6SO6T6UUlGt8ltSCbyaPiQtSVDkrETAfPXWQ8DFW4qwJZ
o8ESQAzZhLkEYgaibWM254jPblDTND7OSlyzvYWKKA4SfhNbiiN158p2ajTrKlsEKotZvZXUPot3
YJmXCzjVzjkeQGJD97JLXPm8CcHZCTAlRDESwkFx0gM9VTEJW244ESqT95/V6/fTIOORD06DEfS9
nx0E+anva5eKsFiQ+WyqHtmxTKQN39cuVSM7hFMYY6DvwIc/1i7srRinOJiBwmLi8w3n9+e8h1RP
1jobjAQTGsv4V9YuQl3frV2cQUU/kxRQgyRf1MU/rl0oKMCEZHV2KWcWrh29b10FcdRg4WxEKXFG
typgs/ExzeihNbO9hWdQAS4Baj1M9gsV3RHYxa0udFiFUkOEEtqsNoSkYGtbO+vXJuKtfFK2wNb8
PMdbNuICoPX60BooIoXuS5si+uZUKBa2oK5/sWigjAjFmIZzaEE6Vk/6M7OxTYhuF9BZCVwizvtt
guAMlea+RYBWqgYSq8SXtCYCIT4cTLX8ZCFZG4V2bW70eIPh8SmjH6LK8n0kD8baCoJ+VQntW6Nk
MA8MO3J1s70wpm5Y20jlOiGZ0xI/jZKbQGjpJqGqG6BuFooeui2Cu9HM5W0uNHiaUOPR1AM9VDAT
k3Lr7GjZV1Vo92aVMUyMw8KV5uC2ycrXrGI2LQvNX9Emx1SoAONQTf1iqDIYRwBhramcWT5sn6Ym
HVV0hCGCQg4H0kWOxBAwH8IB1rLCdi6UbypEozs6yBJrTgIc6a/iKZb8XigXZzBMMlJGZmw4rdTi
aoo45+vIHRNkj3NbSbQpUUL2cL1Ws6ndLogkEah6o1BNxjaNVw0hJX0E0LPyKy1lc5ssk+6pQnUZ
AROF8aZdEY5wFyW8/lBoNBeh1jQrnRM5e18llJw5SLsSaacEum/EbabHLQuyUH7KSEBjeWrpEKIK
LYvoHnnmNVRWBMc2k7NF6zdghXEVCVVpNzuGNwqlaUbLkpoS9SlAk3NZ2oJcwueOPjUVSlUZyaqC
dBWt4aGJnXjH4mqvDKFv1VWUzY7QvOZC/Zoggw20EviRc6hjw9plsH5phccnOSkf6qRm78rYD/u4
QeQAD4gOtDsKE4uC4rZW5EsVBW5ljDlH1GDfoM1ti+pTLw2bsi2OUVmuAas5wCbjFg/T4IB0Q5No
CrGvLQ/3wnLUDioe12kzxtXsJUIgjATkLM/8VSiHSyEhTp3hxkZTDFaqXk7dcAxQG8+yswtRHyuo
kFXUyJmxnLElO96ATlkVguW+53gsJMzqQsPHTDI6iTnoLcINApodgmLJLy1yo1rZdOLpMuC0zuXh
lUZm6k25RpNYCKg1lNQTGrwRZbWVTP2uZI7GKR7ZtVIYu0gIsZdvmmwV2JhLSMO0kSQEnoYQb5dW
BEFQCLqbSqWqR+JdCrF3Puhfe6PD24YOvNSG+xpdOINR3J5CKh5q4+Xc0+hIYoaSc2d2PssR2nKj
L9Rmz4i027P21F5iV5xLproGQZt3O6PIE3Ot9ZVpfBrk1MarqTfKptdnbMpjXbBPW1Oz+HaPo9a3
C0nHojaomr1FyDZXeANQR5xAAMz9jSPnSnczOo2k7fuphx0Jezq6bxZdHc5pV21L4WmtkjnzS+Fz
jYXjtZaXJ6jL163wwnbpdKHjUFs3widrS+besKbYoz2nuz1mWpjarZt2JihOjLapZNqrSGCXFUaY
F5rw46YFow6+HYClUT5Wgf4UJeClOhvJsrbUr51w9mpRKXPcx+0rC99v0zUgyLECz1XrgRRP1jRP
8Dk3V1LQ73O7fOT8/rpI2mqchNGXthtHeyNbtdp0Ec0MUMccI3v1FKflNdav0e1UI/JpUlpu1403
spqcAozMUjI/ZJH6ugiHcxsar+mQfy6AY0rLBZ36xNONxg/wRaeixShHMtwEb8r2WWQdZShonoOX
GkbjLvpmrhY26zrGGsjNeDKtdGHg5KAQxZVN41X1RvyfHraS4wLi0zHAqfEuVFuroGfSlnK30YTV
u9IrzxLm74V+AjZZ6bZLvcUI79QGm7itJ3i+pDTx7NQZubjAn+ErB+itrJYJdbE2Yu2lLVOe86ka
fQtHemV3WNNtCJGhYp3jsThyUs1XU0XJVYBfydtt2HdPpjNC8BRWd+F5X4T7PRA+eCPpPwXCGd8z
5qKLepFIKa8R83wvXPQ8dYAmuwVnvfDYo2p6gW3wiQV6LcP9TPOoYzCnbTXs+fUQb6QYv/6Acb8e
tcsBGZxjlF9i4ewnyeqko2/Thed/oE+5CRalWRlyswuFTwjXYuiqhpO4EdgAx2BuNiAqTGy13rRG
PK5ivT2ncX9JJbJGNfmZk8SWoX6E7xouwdzrk58KVgFhmBhowNttJECLKyw+JYOjYVNIkrLBfGnv
0Dg4qzbKznIlXMBAEXoyQ9zapOcBLiErStmfSzZBQVKQYvTZ0qjss8IxV4zRaQ3zpKE6UC9NwWKQ
WirdrpDz3SJIDSB+sfN8ozdY2k7X40toVJ8luQzXUkG7mEWOBQ5b4JKrPBKGfak2A1wIRcs9E1RE
UYZ3mlGf28J6XkBJTKa8Zhh/XwrKRIg/pIM7EeTVvVzaW01HXQKXQkuklSZAFXIW7VXIFRgXNr3F
pJ+CPIRsgeCgxtco3xQCelHADmatj/7TNPgdwaZ/6Oe7+TaEcZ+aLz8fw7yx9YFbw7Oni56BYwG1
oDD/R/UtE9ipygxUEAMLzfKfM37jN6HPcsCt/V5lvxnD0FQw4Q/adBaYyotWxL8yhnlfezsGkyCV
YQ9bimNqvLq3fQMtosfUzbl+isDGtKdpenhzGvlj7PM2OOonYx6RFg6FTuP84Rh4cn+8Qh/gPAqQ
X536xfDphL3OlX7KMLEZTfdKYhJcrCb2cl2rPUUqdqrlbJs68XurYnApmeWmHLVNYZFy0cq3Sc/6
1FZfpQynm+oceoOdpe3S0V14tpVBMdIDRutaO4dg4kbAckx4eRNxA1FiA4SdlxaSirGbojZ4RYR5
1LQ8Mr0ZPihkjjj7WqsCfbso0G5bugmNjPA/ofXL8qI/k+OTrzvFCpEPRPVeIc+FJdg+WxWj98xu
7p0m1Hx05viEdR3x58Q5XFNLZGQNlvS5KfZDEz+mqnqgmePhgpkPY4hgk/VnS2LAQru0vg2MbKNx
3LEjZNY0bx4leTQ4Ek3kFknnbhKziXxZ1j1M3bDqbiy2XkmmL1w7DPOlLTCqiw7jMqXJfDWl9gVl
MlXk0nhKB5PNsp4CZWAPtZJt6Ehen8ZPXRuA6LR0VzfsLQ2Hs7Tw48VIFJT60KbhhdNb27w2DnpB
cdWowzED+Gbmmt9UEDSwJNOVcD4n8YLzJs0u8TQxq1mwjMTyQ1Wr3WqWkgtd0m+7TIHsscB10Bb9
JtYKoo1azl69He/mDJ+4kWC3CBJzI9cxqAMzfex1xx9l+DFyiHqs4FwUhcXFxAjH0Yc7vaRsiIwT
SRUPbbewX+jXUQ6Gtxc6P304RmOzK+eR4jS5iwbILrkzbrNhPERqdmPSSMfTlt2pRfsZKdYdWoF1
2ZgXNvxgaWoekcxThHXORtLaBwhnnjrnlJPz8jWF3MykAv+W4WnpdKjGhOiDOiSoA3kBhKUW7YgV
uKFpPfIUQLxIHsIgSLAAdckaNA23Tf3KprO1wbfqWvXYN/KDJMk3rQUkPkWmMEzEPxjZlyUNrtKc
JnM0h4c0adKNElZAiCWL/jAOwQpADzMKoAd5/sVRoD1IVYT0erGMoz1hdo9jkyNhhb3HMG8SR7/v
q5bNSWXKmFXi6UmoopRkT5qbDS5wpI8OKsCF93A92ejB+7nP9uzx2KFMrfWdDPKdqseBP7bmKexU
04/hC9NqCD0kgfYXoEmDH+EqxeyJD4jnuxkC+AizBAMviYf4NDWxeagrk6KLt4KavgpBLjFESvDP
eHpEqz/rJeJrFnCuRRek1yWHgk54+ffU0sAaZzC4dbPvOrJy9KrdASxHRaNhXFXUut3S2Uh8LKIH
E/Gy26ZVgS7S2CD9Zmw7qQrUkKzyy64uVTbo7GxlMjp9DlxXTDFDFJ8Yjpb5cxNoT1Zab1nfjkmk
4BRSIOBTUR2C9BsbSTHc1DSmVZeV+Q2STolHFWsR8J/iehxgQquqedZjGxYF6JxE94jZ6z0yx/ZW
zYEGgjbfP14VPciECrI4a9RFWHN+0mofGvWqWrpDlkgMYaKjnMl3gPJWaEgvRifINsWUPlJBkgoW
dxSJgblXiOkjriS2viDdpBeAVzV29XrMbxEzjesh1jaaBVedWp3a3l5Sf4nj5rjY6UlTq22K/USp
TeQdbYuqsufUOxoeSx6SpKD3Q81sdtk8fDKl6pZ+74ruYp95bdMDKRq73GHN6S9G2SwfC7wmrL/S
K1NB2Zt7jnxcTvcaAL1nBtQAZefUGrbwjSjUmN1jiXCiu6DmCmqf3RYk9yEQkp2Lfm6SC2Z/p4Jk
Qnxdmr3rmbS4emndGnWZ8P8SnfmY2hJLpgfB2kjrWzPAZ06ezv0SFNiA+7Jdw6NQMNohkkVCuqnk
odiUc12uMn7QbQajv4dWDBfenoEBMZ1koKZH3VYfiCVMx2qt2Tnyo7x8MIdqV4D/nyyi3VpxOLYu
0nr+JEeJP+ByAKUWfeoz9RYftkOyGVFpJdgorwwyoLt9Ai9Tlh9osGmeNun1fY+XwKtKJEn49pAj
wTBEyqTdqxPsMfTHE2QryVklPajJj7fnH8cGNsMHKgzhhXIITADr+k6DgSuCaUKYFKeOE4gxLTvD
HK/Gpl1/fBmByXsznvh+HZSEaAkRNP6lCOgsgcCMilOeZcfWVD+xKl3aBNCwXDY4mQE6cTraDlO1
zux026rRIYJvZKvFnpXqYARQHJ30Kgr6a5OoGI12Wg/prQgDun8oW2ceAX2xT6Yc0iz9Rzv1JwXM
T1+5ofJQ6hxTYDD8WL4YeV/GnZMWJ9hfhOncyrhwovJ3Nx8haqSK/uQiDpL7H98fhx6s5qiimYpr
03r3OaB3r+Y87YdTFYJclUx9B7tex1les28Mg+EH0nAvISm4KhzuQUfeEcyIe2YGPxtoDBiSfB1J
S3/VR5pzU7Ar9eVwIhcs4ykB+W+oyeIaZXiKJTAoATPJUeW5MfMxg0NgLNeGkj2lXbaiBxlvlhEX
cauYfpTFqZ922rPUqGtjEmGYWo2CTudwWta4rKKG1lMIFHWOzF29qC+xbj1NlsgvQDAKZ/s4M0l2
LWuWACSNyVFGbO0uUx9RN9H/ihyIQ0ocfg56Jb+tRwIcHYWBeV4Z69asUGgr9DpLtjhFCGkSC6+P
rJ4N2cLfjGeX9T47BPJTT9uGdhnr4oMt0a2xkJvMSPgJ4oz8gkAwt0Kopkmyx/mKTYzHzLNCSPqT
lG+bDqdnrkwXvTw8QfyKnhnwb2SzzsG3RUe1FEjDtl7DziLnihlyjgju5PQK2LFl2tdWe/z4nkP/
+5P7QdgvuB2gYsHb+PGuCwgUKPhad7IU9UljuO8t1ZCdTEKUcM5Ej4yVUS4JBqo5IQfJsOlr2ZF3
ZXGDKLW2atgeAdAj7VGPRmnfazoIpjY36nXfy/ouN9TeDWM6iYM92Ogn9Xyrsql7I8Mfz24k6hEW
Ihnwwio26pswB5SuRMDll5HufMfpt6jqtZkvz01pPjmqYawGheZtk6ufTLh6ejsjdYRcA3qjXjUG
HfdmNO8T22Ripn41rQm548gy4GRbs5huyf06gPKAYKXdmAZC0akCnqbeYIQ+pkl0QzP0OrecjTl3
93aKFoC6UfbNuqcWrAe/7XHX2UZLbzAhpCMABqeY0pPEPYG1Q3tQNOleiSBF17BxfHzH62EBBSVN
pa/ozUaWk51TDL5aArSKBlANnbxC4Lq3moS3BHG9gugJWNutNlYnx552bTk/oS59rrXmqcBwZ8y8
ToaK6ZCeIRIdrMJcj7jTItjzq7hA/+PEVzS90t1sLzQUZ9/MAi+vKGhKM+RcwsM4SM7VWHevsSUh
1Zxlmhxkw3U92rAW1FPYrUjlPZioC2KNPqPNKI3k0IU2KRVq2kcH8nZ8on/uShxcoRRfCv5XGJVr
NcX0yS4ejeHWVjIGge2aNILCoVXhKQAmvSwY1x3be9HkldfTTSWZggBUgnSXBGGzg4Z0VMJx1cos
uouqrBNy1wDnXwa2sg2LDmNHfShsg6oXjsE5q3Apzpl1oYfjvlKTekWyBJ8NQbOrUU62UTUeab9f
NhkgKi33S+BHQPEuTcO3UkI07BO8I3Nel/oW3dBdJdMny+WjaeCznAL9kEQj7D9oSfteHaxViwVt
ZSVBsaEV7lXUDdtyRlc3m9a2GahCrBLBiYW6eAga5Rdb2y+e1G/DrTeDdzVy5sSp0v5ksu8Dp84J
KpxQwgTjOW2OCieWj9eGHyk87KTsFG9WBu3dcVqNooLTBStDWb4o1tdhIogDxvb9qG8/vpAh9pw/
JQW/X8nUMR9Yio1l2RA745u/bGy7oU6QMp8WWKp+FU+wPQL11mjDcheVEvfcNOyx78tuqcjK0a5x
jkB3kThMkEpIygCfjCK9Mly8mgqN1p7Wf8bofy5l6yajfOPUQ0C0ejOF+DyLjhyNLn4sEv1OirLq
OuzTwTeiqNvkRr83EhkxouLPCmA0SrxN0WnWnaM6N9WCnkczLnqt28Waul9C+sWVcx5TtGJs25aU
7lNVkBoJQohsmqTKXQ5RPc6C3QgWAfOm7XZG/kQTlwDEMXyoJ6e5U4UvVW218Bfv6o+Oir++qcxi
376pqakX6Pzt6WRPj9HyZbZ/52v900riV7//3caBm5waOUznU2zfVAl0Pe3TL26Lj+8K8939BxUJ
goIazidDvYx1sBKdL0fz713Ff/pXiHfhr7ceo2dKUgWX4rtbb8I9SuYOf4WjrtTuuRtzapJP8WT9
4tNQf7zHDdmAmGVZQFhoflGaKu8uNCdxQb+/Uk+UMc9sat5ttib22x/ceHXnFu7dzlwNhy/XJMZ8
nvynzJ+/8ES3W2338buqij7b+7/4zWP97YW+edgc5C+Vg9T11K0HT17J/nTTb/Ir4Bk+MY/NWtnw
Pq8R7rqyG/kkOA6+fiqeP34Vxs9exdtHXiw+b14FEXCZrTa87/dYCnyGK2vn0nLP+LQjb3NnrA7M
4zbOCdDWtrgxtreBF26mLeueu2xKx209Wmee40mHflts2nOErNINvc+l25/k1bwxds6OodW2+ZSv
bz5+6dqvbvx3FbSktjHk2Zj70i3dat2+EFZ9q3hIWDwGLF7sF+v8otxcPh/8fgc7cFolF4hnLpIT
6eErsiRT92uw+vzxq1J/lDb85XE3xdffvKFxXA6NZfKqop3jRqtlC7zktpDddIUrx3SBtKyId9qA
3tuqjzTS/I+vL27f93eVqf/5HL1bbVhqyDmt5ukkL6VvjeN+kdLT0MM0/Pg6YlX56DrvVh0b4CYo
xWw+UVO7w/gsT9vR/DJrfo3XVarWH1/t5x/1P/6q94dJKWfxN+qkByCTcvK7rsKrf+8C78582kSk
hkl89yk19mpCH9CxvI+v8IsP5psF+s19IeWVXVgzD1pZnVpi7yr1funtX3wqv3qf3i1urZKRJWYl
3WkSn8qSrbDDrf69v+PdDdaXS9sXbT6fRoTusXnK02mFEvrji/zi7rLerUpmEEozzTl2AwayulMw
eO9wfvcrC8hnQpzVgM7740v+9PMRthmFOYvsiLzvt8+trYGCqOKuP+n5a8O4WiOaxtx8fI2ffjxv
rvHuockIVpLqSJ9ORqLTv7/K8190FX51gXdL4pLmEzPaejjJLNo0o1Mt+8Xb9G1//OjBFxvKm/s4
Io1bDTLuY84GLoHKF8M2PXJEWF3ABfHDc+/m+4/fNYEg+HCtEX/1m0sq9P+UTo3Yo+5pDBesqigu
XcLLnpTDshvcy4VcK7Zuw89XWMavJPe688WufvlQX2ok7bgQO/y5c7fFKtr86uX9dCN/u+S+v3Pi
ZpTht3Un5Sw2clKKNpm+K5SVm250765wLxhc71/lLxzOmk/zHpDzL1YvVSxPH30o7z73QWrNqHZm
aglv8IjlWVyVXMB95l0DBDpom957UNeQTujYrptNtYGw94sV+lcvwXq370lTD2R6rLqTtIeCSeKq
m3w11opn7fuXaVv5+YFR/UZ6DR+0FeDBM6jnl1/cJz/fev/cJd7dJ+mgYfApuDWb9bRGdOzGoqrb
pavbYTftdgCxXbRLuXsnr0svX1cb6xIQqNf70Q50yWP2i5Xy28HsL5/Kn4+78e4tsSWH2VDBklL7
+sbcmJk3rZf1coj3ivsc7oI14U27aktT7wBS/pNPWisfUbdJ1zexJ4qEP4qD//6hym6/zYafy2pu
4jDq3v3zf2/LnP/9j/iZf3zPjz/xv5uX8vQE4eD9N/3wM/zeP67rPXVPP/zDLwCaz1f9SzNfv7Q0
Sb5Pq8V3/v9+8b9evv2W27l6+fvfnr7mSMDjtmvi546b//ev7b7+/W+/j+6FOP4fLV5xlT++Q/wZ
f/8bo/v/8uKXsPz5D34XzaLqR7cPCQVIl2zZCtf5PrZXrN84N+CFtImZNNGU/zm2137jTMG4n/SX
b+Fq3HR/Cv4NGLya48hQfEWWzL8ytlfe1bu8JH4ZI3shAqDbasnvbm+I0xFylk47EmyYR5h/644O
UW8a6UUe52OFmXJYrAbXlVypk0fXYLnpSwr2CEOS1icWXLtipXUs2jL+MitTlMtRaQnNTL7puFsh
6c7LDi2JJnTetZB8I99F/a20MvlUjhCF54EWXKSzCV4V8Xii3MSWk+kcwpesfXaK0ByPjVY1xpUw
HA9mkb0EQx17ZQFHZMX8uk+IUbIVOCJ2PFyDEOp2OuMYeghLlJKaJM/946JbPU2oOpL3au+gaqzr
xFkVBZE2EbAOLGpN5zMaifew+/VDECxVz7QgcJ76FiElw69gXJgEm6QzF1F/ibpecLEerTR8Tkw9
9/FoYKM3jZeqy1/wy8N1GvJa/zp+C34qVmodjrtikY11hzzocTRDE628HONDSnsFdfyYuDwD9p0i
xRU6gTF4nhAJbntSD4hRw9IfR3MGXrWxTlbdT7ulquqNbgzlChkQI82UnpFhV2D3mx45KPBEPtzK
Mzt7BXKXMLMu39u9Qxs/aKzjbBjLLtWJuozp2bq6E5FwCd6gQbpLHJCdrEqKMpICUg/N/outRxIp
L8sW58RZQ724IYKWqpyy0w0D8O6tPt2LrCy8YgutetPYlIrIrgCkT+rDeEo1zJdyFE0rJzMmD2uT
4SdSpZ5lwl5upNHQrgvTLF4SWW9QBcfFXTLg+ybL+GtBesnv+/8fq8fl7yvmu2Xq3T//j65arDAf
rVrPDctX0f1s2RJrIDaAv/9NQlqC2ogpkgy4A6CITEH+fdniS0zImcH98RV+6rtPSRAOkYeTLcV/
1G9EqO/Llv0b4jkdSJNhi4yrfw0irgou45vahMXRsmgm8urwGwjY+buiV0uGol3KCfwmqCaacjFj
1YGxaZUMq9yaunUrpS1mSUMfHsh03lftRNdfti0eYx44TJs0GQpbuQ5DEzg0Hed8pr2Oe1raY+l+
MgJ1YTTTvYxmDbgvoSlbZcENwdHmsRh4ZuZBq9cVSMSTqWh+EkafybdDXlKQ5u7YFzgOL9DnvqbT
/HmM8gtLT8911njMYbZOHNExSHIevFyrECpggVpmjY1c1pFTOwy1dMN8SSz902hKj+kgvYxDhOdH
UH7hoU94zfOv6JBAhMvSqZOH3lPIGnFH4cUiH/XLTKSJRwNPYco9sAoRs+FBVvgc5eWVaoa+WTJv
s2ZiBeoegUXYbPrwGMY7s9Ku69Y8alnwsjD+mgt0itXoaU3K0NxcL0hf8lpzA8iGUWHcDgbYOjl5
nUPEqXGmXtnCy018kgwfuP2EM5wMqh6paJ9F2XrqICLXDgKtBqZTHnYIAiz6zS2ISlDUUePLRW+5
Swn/PccKuWqDxPFJsG+J6wu3aYSCA3n7pu8lVF9KpnqTiqk9meHeKjEpJkYpaceGsB069QxyUlup
gLkSX9ROrG9SKW/6SWCUlNhrtC5GoZoY2z5w5vRzEUpWeAwcppVcI4gfcGYS5p0NCz4Jc3SHKR6J
jbBfWyfaThHMrK4hNSZvOwseYNc6j42gzxFDbkmMHjMyL3UFBUGLM8ySmXq1i9MTzDFjo9XH8pgv
avzJHu3PTRdPW0b4j2k85StjqOLzqCeqp0+kydi2dgzqGKkRU42sJ8hFj7AIKCTq6EuqYWW/Tfu8
WKcWiPPFbIdtI6Ko5Zm8riXXN+UCSwulfL6CL4/8s7EOytyQSiLX6wkI8C2IThRJfYUVIpsuyeRp
EZCP1W1YD19aVTb3VqoCO0+il0ph4V70WSY1WTlJdhl0royTlEQuhiZO12+bPmi2amNmN7VZZ+eh
tIrbVCXZs1Jgqw96dVvandd1Jrtyz3aFZ3sL5itFYAVnJtF6EjLK+Tx2ToC5FT1eDoPbN2J13HeY
ktZzHJgX3Sw/TUG1qqPxsz3r1Uor5Bn6I5lZoe4QUTrpEtByBxxNMgI/WerAi+2u2ExVmT6nmtFu
eR+BlYG/SUeSstk4bR9dllCULFXgIs1urkZNISEg1OyjPcynFrwFCenSvELwwvOaDxwFZBuoJGKv
o2SjcG4xSkL8mRb/2+L8n11KFLv/fJc6M+0MOai9r8jFT33foaiedUXD34T0hH1FAEa+71CK/Rsi
WEhY7GAGORhsHt93KA1wL6UHtjNCFcGW8KXvO5T2G1BeZCpAfTVDoHX/3cIaRI9BmQ7tENC3YAS/
7S/UpjITSiAHx8aBYKQtWeqsFFF3SlMt7wurxdAgibpUT6KLOJgfyAyi5WAlzxosTI96aLS2ZpQh
S681BstyVVf+hPgvXKmEYn8Om8GcVziGW0awEQ4PiZpMdceKUbKeBfFL18tBs1YLI/KMlhqxwJZV
4NTFVhsntd9lLS7/rNGHdd0kjnkxWxK3eTq7rbDACHoGvewEtQblZPMq2SEoXsiqrhEHgxupzleG
tkA/ZzZDSUucdTbAdmJeDxivwTvfY4ldyn2LNnZZxitFW5DiOFskCQd4BjsmmruJNRb/EoquRZEM
yk02MrXVI4ywyDYr6TJhcnhdBfa+qyLQJyHR5XS7lEPRls1KlUDOzybgp6YidZaK+Dx17VlKGcSN
oTCWALJbynL0AYiaoKnMTqrIu5ub11TrbuJMvpFNJUdxkHXFpVSny1HTyX6AN4ZWProv42FlUToH
aFqPg57B5S8j8pLCZKVWVsiUH5kmaARn1vIbyTRGAAnQOyzkK17T5Jui5s+tMtOdMLC5wWKZnqoU
0XkIx2BLBDRiRaNdd5OEFwVdrmOKuTgrt+ZQdVcqcT6xdFQWDcMvIuW5r/RPrUPrA+qYEDnZaxmN
DbJLaoJ+IQEE0d+DEfRCtyg5TFMLxBurFs3bL/qNnILflF7MInjg0IyYyLyRzQGx+fHGTuRolJH3
EeyECGetZaP6FM3/j73zWq4bybbtr5wfQAUSHq/bG256UiJfEKJEwZuEyQTw9XdA1eqWVN3VURHn
PnScfqmIkkRuAyAz11pzjsn3BPaj+tuU+r/r39KO/Nfr39JbuBrS7n9u3tKu+WdH9R8XwvA3VPcu
6edcDY7WVPDfF8LFsQvU2mYNMiEuLZ6B7wshOezg18jgMW34SW74Q4fBgc/k82OmMP/Wl/jeavmp
rPrnkrSlf/CPdhUHdTDo8AlwBvP7WJN/WQZb8OoAaAABxTxAoMxS598pGZxvs+J/vMYyHQvsJc8W
nKWgxbIkHv241JaiNsHkMJ6Kc/9IaR7uRsvK2p1fjnAMRk9vlri7/UwVuUVw2vKEkFv7YPVNCqCp
D72L3/ohyl/i5C9kZgeQ/wbbkxfPM8wREdKACslshD9vO2hOdaNNFK4kCJA0jZN3HOW8JzfP2mrG
0Ps2ceQW00C2t72Gx1B5t5lfxfsmL83NQOw2QQRxYXHqrpHjVqWe64eqnZOvJcS7nS1YFLN1QGQ2
8ujJsTLKZf5vKxqnFNvEKU37ATx2jqJXjvKuH3kXqaQDiMgaJVLy0W7EmcQZJrzYtVZkvB1tJfe4
oK/04ImV3xvXkGCf3dx+BBL/0ObzVVypZ88l1CTwyHFA+X5FXts2duRVkmQs1XF+FC3q63j0zhot
YGCWi8WKXIkUi50JnGlGbdy6aPSzDHhW4UOAreUN2uzsAIeK7FMa1V5OoH1j+wgvkNkGhXgHD16g
QgyxTIGs68MUI6VjY40YR3df2dF8llNzVpGxH8v80APi2ZeF25KJMRMp2WylTi8okuxtZDuAEDAn
z3N7jNr0PnFlsc8qYOUxYql2rtHPd+JYdSPY9ASBddufE3txEE+m93lSObFDxNKuKYp3Y8OtOgoC
QSg7VgYBHqWKjmMjSbDAFifg1OFrw3mLdY7stsx9cJ2pxvntEAhPyifmvNACYu/Q7pj6i/TUEhLe
HhXFILQx893xhi9sPMEe4VJ5tsMS5mwCiOKuqcj6FaOTulAmgGD4UIFD2mF7SqTP5CkeYSFdI6J+
6unFQOLzVsGEEzGHO2MztSiDO1VVu5DyIWthQgljXXo6P+jC2ge6tzbS5ot3qyVLRH2A7suEG6Wk
H4avs6cuWA0xLrfjyS3M25lfqkR1KfGRzw5G08b4ZHXiHQPskQLtyo6wk/vPY/RaB/PJL8mqd7Gu
t777JGdmI2p8U7Tbhh5UklPm+FSm2zgipM62cgbWefhSxNaLDW5u04KgCh0oWdq5ga2LiyhZJzMw
JRc0vJ8Yj4h8nxxkPGOcjxs3iW8dheXWTKk1gbiBhMyP5CNwilDiuTGSxyAon4wGkWGld37cfLX8
8SRD4zSO5K10mXei8bcvPIIkA7/boJAdjs7g9PeOzk58vkUl9EqljxrVLiCx1S0p1naTXZfOmB9Q
elovNVjjj11QA+oapykiXhiZ4xj5aN3HQmydNsL0kPYksv9uRejhV/TTgHYf6aheLAuqcdPrwVkc
7cU3TwPO3uUJ++Z1kIvtIVgMEPNihUjwRBid5W0VLokoaQiSWYwTvRN23MzoUEGNFWfE6DEVpnvf
m3AO7MV8EStsGAI/hqopuBeDRgYqCCsFpo0c94aHiYMrv5EDUcH+YvAI7MK7RIvpY5yblGFl/ebE
HLE8OWENwSOiHffRXEwjXTaRnoKPJFsMJdPiLFlSWHGaZDhOgsxC+4sHJfK4ynhSkCZzGMuQ6fdf
/VbfYOvOSI4EPmfr4sXKCNrF31JPxmr4ZngRdCIhvgFu6Qh+yBasMf6YCcZ2hl8mk9aX0uvHfYOT
JqvUi7KjvbsIGOcUTCzu6wbvjcz1zsKLA0zmGXs1dnpMOgyvH8Ziuqpw7/SS1ouhsw8x7uAUf48a
x4vC7xMvxh+z8O57nEAU8S8jzqA6c6BiqQ8ax5DQ9Sn1Z7VTTshigauIq7GtcBnhfYeBjO/IWQxI
42JF6vEkIU6jz7zYlDKsMxzr+AYXCxNpYI+4X0+97fXrDpcTO8EZgAHFQVrdposRqs5iPPNYo2yz
Pbh4pVhuNsZAIvJiogLjdBXgqmpxV4nefQkJXYxwXTVBfkMz7pCTytkttqzSyj8ZYPJdsFtDMesV
MTSfCJs5OYTKpou1Cx0cyczTXbeYvjKnO2W4wFrXe41whSlcx06vHiLH34Ahnnd01GocL8mtiaOM
XAp3NeExMx3AehausxD3mcSFhspi3uT40iCFyQPw/+kKH8Emw7s24GHzovpsLqY2SKs9pn1T4ABz
9K25mN+AadlE4LYfKzPBZmQGN0RdkFlRSXnuFvtcvxjpXM/7nC7WOrmY7HTjcb8sxrvJpJ63FzPe
uNjyrG8OPT1ZF0Rh0dcfzmd/O/b86E/8w6EYVNKiu+cUQntTeL8MsEXuirLElH2dZU9e/pyHb477
V8/dv7zEL5OaibvYy+mVkI5M2eXfDM3NmN3++cdYdBY/n6SWj+EtejaSh91fbZyWNYDXCIkPJsub
xfEGz9A4PmJU+vOX+bl7uxzYQgSh+Dkt+E8kS/4y3I7rbLL9XDHXL+etRLPcWTyH8mlwbrUSK68j
/8L9P5kY+mNPxKW78MP3/ocJ5fpTkQIJrNJPf/ypv3dRnN/IInJc06OJTluEX/j34gFUGUNIc2no
/8wjWzIcOGhz3IaSAvZ1OXB/76JYv3HXYAOmqEDdwuH/L3VRlurgH/cj1cNSYwry0CEEEWrqLI/d
DyINVPZ1I4dhvK60HW4VKSmkV9rYN9a5r9WdZ7jTKRuBRm5NM+9fCHJRT7kDf2fVhZX88MO390+e
cbHclr+8G4IplqmsA+XI+lWz6lRTk4cJ7hoL3gbFBkEOQBZrL0Gp3aNbVNoZXnyFfHDVlgEjUYnF
kmzdGUcs4z2/+hL2vXnD70hodBSFeJpdIxD7yXOjdzEZYvx3+ok/VF8g4TygSKzcnIAAIP38/WHf
S7i2U39tj24cb7xxLp7YsYCW9P5UEwI6jSLbpH4UrOhPwHCdctPe0+Cc8FOruv+SjF1HJwJe2KYD
Ss6howQ3RKCkm8dbnuPkNh/CU0lXvNv4lKHPHX7mvND0o1MSPi9pm6jy3yyEf7wMoFxNnwvhcW/A
p//5Q+EBijUeJoChfRQ+1zFD95WDkW8B8wzjrR5b5NwEbXz888v/8xLPpFz4i4KdVZ57kf8sb+uH
e9E1R6YcXVxdVxCjrkWeDNdVx3wyiJLnP3+lpV798T5bXik0LZMi3BN493+pmZvKmWYIcPV10JjO
J6nrtthHZIIgvWqSrSnZvdc2JB02aRtGz7+7aZab4ueX50ZZUALEpjC8+vXlfZ+IxrgqU4bMufsJ
QKf7KS+W9+DOZbf1WiSnk8ml3xNVoa2VzGv/vS+on3XI3Hz07NZc2zqDbEXdWz7ZbWPZhItO03tj
qGZjGnPpr92wdjjN2B75Y3/+7f0iJlsuFBHGLBtMTdhcmLr/fKFMb3Bhj0c0z7Buf0pboPO0xPKe
0EGbgX180rDk3mKAzlfjLImUh5Sfri14hV/xF3J0mmgYAl3N1Hva2ngj3Cbx/52+/tuE8qdv+Zvw
gsZjCOtxEY3//C5JzkjJOEN4kTmyicJgA/Fm3gN2tsNdr4Zh3dInvoMr7A6rhNTPdSvQQuO0RgeG
KiMvZHnfFEDbgaWSmMWQsz4SNU7okiubJ6/Lg00kqwgDX5alq7S3sYtGWYcBsTG6G2lgYIpJUMlW
Bs7Wcm2ppDzAkirurSy+jafKHjFO+/K65wzXW8zdNp5ilxbpZLE2OMM8r0xNJlqRuMFLZA7OKfEC
itB4VFQJJo2KNV8HkCpmgiTx4lfaCE2y+JyNn5tO9g+DaWDm0WXv76JOUoJFlgXvS+h8H/kGLU+k
G9FbyKEXvVUljdeh9MtN03TWMa+r5ihkWHxJsYXz3Ntl/pCG0QgkUjrxifILThrfw16QiXGDa5ku
jm7lTohRqG2BsTReKx3T6FFWAsqts1Fs4fZIIiM2GbDV/YGtxtLryswosnu/+DiW5sJHCZsH1+7d
/RBmhoW3sCTujHHqtjPHbN6pPOCcSp1JrVzor13cNO56tnpzwGNqqZgZaFbzcGi9nWI1BLu2jpIN
8psS2kKzNIEdst08VSocZF0GmoU0CCC/NaMlTt9FhNIGhtO+9XLaM8NkLqMqB41TS/lL1pAkC6DX
YbcfbX+88vJ5LqI75l19yTA3Laaq/QJ93LLml04bo88IOmxZyuvP0Aiy3m6p14ehMbHx9khwT6B2
571iDB4dyzbFvZUxcH0wfcM+coJDOYsvGczFJE2EHnNSBgEThoj9sC9yLdHC6xhgKKDw6CaRpudD
vJ58/NDQo8MeC1pvc0fpqBadXoP1MHYgvLLoRvHoeCS5Bg3pMgJMV7mrirSlhS/ZvKLtqFJvbUSh
CKk5IrNyGB1EJX7acNDRThd+UW47cu7znVvBiVzDYGDFrKycgXeZtHRbFHOK7rZLDXp4dZwGX41B
+am5MWsLbiZ6ouDaNaI4OlW23/tElFVjJ+eJvgmrW0JOXOKX26hTNCjCtmPmP9HJmQ5m15VwkSyA
z2t/dBHr0JpLjTWX1fpgNOUsNigncmg99ALxt1FfdXzlFVKXkkSzow3voIDQ13v389Db9i4zaotu
HgULKUp+YmFjilrVVA9sxvYpAwya74aGdwCAoIihfwmwBOsgm3DGlcHErY0BtGkJexbDqQWgX2zi
yI4HGqKKy5n6MDkYkmb2/F7kFAYbgPgFRMOpTEjbNlPnEBOH5YEdz6W9Ses02sxDlNNo1G0T3mZU
6M7aTiWu4LLJZrQTUeHsRBPFLm8X1NZWTMmMzysVmqjr0EnwrPPvViJMw4rbJ7YlkoYUi2mPx/8V
FcPSAkh5jshDnKsU0HmgHMN+nJgzYI5rwokpFmkvFwp6tqS483N+ICwZxu2g1IvqhdKvSk5yIn95
12mm8rAM4v6Robr7CbhWuaRVcPPuhmr07W3nzSlvfhBZucGUTB8wgO2Y4l99KbTmZJHFmXro8LO/
NfRaDsrXcbQldcOEyxZE/B63qLNxV7VKXGM3tZ27rnfFo+gN/gX6DTI3ejEB4FZWmaWHltY0KjA/
7qyb1PBDuGJyuTmzTHbEiXVJdztODt1FU2I9WyW64o1h9OQ2YAcLn+nmc3eXrJIt1k1AY0fEB5F1
m7VDnt9bQOqc4+hkmtSwsV8On8k03roQ2GD665KXrusZedZolf28N3N/+fDLW9esT7yvphTXjgvf
8G6QLl8VOdj5TOaJ4tGhLZqnd1Xr88i3A6eCmL9jTbV6plpSOGBp8GYmJpdbt+DMSiNBQZ2agxyZ
l0M02k5KWsuiwcO05hOxgIyhWM7JfVU+R5YdngKVgrgIEnSIdNZi75OubN7G2GbTPQheszvHHHOz
M9yLPCNyS+h9V5niWoaxfAFzBHEuISTeOtUBQppzlNSx2kytL2GT+JO9b4CSgLry5fQ5L3L3ljg3
sz5Ikw7wB/CXcXcoI6P8Os3hsoakssAxi/jA3hJHnnS7xivDD4ZJngLSyFiix2CZm1qd3Kd1353D
csk7di3yGVn2qIBXikHpM3h/FW8Lq+IxIWHCxjBb1UK+lyzI04noDZ4NvazY28w1+EZHWPpbNhkN
GqgdLG8dhUWv2GltZXL0ltlrG6rw0Zg4pp/mEPjRF7pkE+oYIXxFI4uG53YsSWJdOzr2wPVyWfTa
yBcJT61UfyFlunjIFLwKOqAHpxyVe5i1x8XJTdHNIPTzur5U3uhcGb3p1NtEVqU6xxPxzYtBukwe
OYl0X0w4cfQT/bRTMCcQGa5CrWCoVdEkH4pYivSjqGc7QCPNCWx6anrbCPllXdRinzZoWRlRo9+S
2DQUWiUaHMc0NMXduARz7tsB6Mg2nQdu0pSIH/t2zIvZvS69BuajbJTpXRyB9WE9cbrptjppuGo6
qFDMtLMPviboOvDwzIDajSrIByFeT3L3gyiN/c0UTSZB0xDS5AftTuIRDAH3Gjtd+My9Xna3VVgJ
FliLlKZdAN8JENTwYqGQCcQqz5X/5FqV1BtwA71zcaIiUPck5IUtmzt3NF5X6Cg7CodpvErtPq+v
/LZJ7FtrpLV4jMY65HONoxFf8pZkuk3ZRawZnMaG/lIUEe+/DfN41yVBnmz0aJrHSTo895PnAcN3
InCD347O/9vj1kuKHb+rv/a/arl/kn//5wm+LUq6fz2UvX5Xn7781Er5XSa+/NT3doplEsRmMxZH
PmL/Lun+eztF/GYxU/XQWS/9kYWe/H0WG/6GUgWxJT2YZRlcNOLf2ylA30zGtD7JbsRMW3+JkIym
+5fKDtUk3Taae7T4eMFf7UgRMkmbuLXphtayPflLtu/EPU1k4ThbemVONO1Dq7oK5uIeddXb1BSc
QA3mOTqBTzilHetPH566HAmwadfr0fDewiS/FEP4DCLoydbkBA/xThqcytPQf0Ge0PAUeksmD/uN
VV6BYSMFK1IoTGb7WptwFgvPdEAo5s8oomcgBh6jr0gCPCJZHRbyRwhZz/E0vxkRAhBGRwcth6c8
7W/b0MGgHIk9g+wHDqxPdT3G19CNT+j/mtVkdGcRELA2VmpXjjWfeYaraq8Atx+HAFOsF0ZIXKpd
lRgfhiYlvt1duVZ4XXCMn9lHNpXvM22pOpQkBFOTww70fYFpouhAgvSlDtObLkczGKdyepjpQacq
stei6dazHD0gZDZBDp7T0OcHhhEa7ks559bWg/dO3INZnJCUhRuJYn5jjNF+9GtmJ1ptCkpGlCUO
2ZosErYYHrypqWF/us+tVDIH09U6D6E/xD0sEbdOF6IWLOMnoTXjYxW4EtmP7M1kWzBWbkkQ+paq
RrK0s4nqGRI9oWuBp7Y5IWxmMbL8k8o2LPlsWYwb1ySxzZ8jhjiEuDk+aW4lsW5N5l4KE3yJ6mcE
9VD8vY4bB57OE6fY17R4h2J2kg6yTJfQuInwuLH1ke4QJ1dbjLSTJWGOTeoSLplz+URCRmJ+mBzv
VC6pdCXxdFK48skpu/u4dO7FtwA7fQSXsh+zDOGMGwGeTqMD1JJ6HUv7PC05eKSp+cfJQBvLFPTZ
UG3AyMrY6dBiRq0CuFb1KiBYbw4Bnph1462cuNqEiuwiUs33aZr4ZJPNt5UV7WyC+jqDWXTbDs9z
UXwoiPKrbb6zKJMfAeZfVVH+BLLtJS7b23FJARx7Bi3EAnbtAoStkwM6K5/IsnJbESFYUkevIed8
VPCegft+6idyWQkdDAkfFIQQQg7vNxGDMLZfEgqLtngcnPYp6Vy1agZkr8SmnXNiDZtZMBHzXyQn
YM5g3qUl82ROwPjb0Qc6iOPenCbEC8OrS2QixdrOJ0LRdtybsSFTUXqzdZUtOYuSwMU5p5NpMwms
vuRMmwcFPq7T0b5OtYne0RGb2p1uU8/dBGbEn2jmub3f4TDtyDfxrE9lFFVQWHPm3ETGg/yxVkpN
j94yWB7rgoFV6z9WVXwOpPkyB8mlCMc72zL2wsyZNkkkZAtwPGTE7PnyqIaSGzB6LOAMbqPMesfQ
iKxYiUdu44/kywBDj+rrPvXuutD+EpKbgoFA39aRzldlJ5x1FFs+qEFG8IWHYyPgZIRmbSwInAjv
85x1BaGcPEYqMbflJPSu8sK3Merpb8nbiLPWOvLdaIPII4IxJ8Ntm7nnJuicW84wwPrqpLrDeJI9
NJX4HE02coV8fkJjdkXs15uoxGkohokjZGhs+9y6TnpYeuRwd9SHAYP5vH+vG1QkAyKuTZs3BEz0
MiSHKuQbCH3A3S5prJHTXgFdhdguTukgjsAr7ttYEfij7aM3O9fjgB2u5FOmBNU0PfxhdzaczUSH
N0vKYU1ayO8Dm//tg8F/3pYv2Ib/9ZZ/9anr3qsfpye/b/nLT33f8uGyLhYtNvtvSanLLOSHLR/V
FcYuUvPQlfr/cEr8nooABgz7gnBpJ9Pi/ceWz0DM4zf6/OWy7f+lCQp+sJ+7uS6TPAYn7nIowSvx
DRH1Q9taDeGIFsLTN5O2O3+bqIhx/rCkZsZTyu5gRed+Jll9OwEIy5/FIJAoYGhL+2MzIyMclTfn
V90U6nmbIWWctzDslihqKjPPhTGsfYJVmjaat33cphMo9BZdt4jDr79zxqeu69odE1isQdE0z+Gm
aOol7zExIoPxnxdbM2jMXDM2maGV0dD8xjAvrRieueOLEjpIgFEChBE6FHNhn7cqdtynQhiJt/Pt
9phaAkVIBWTzQI95Oow2jPWv2g7GXZwF2BHiOCv77eKqO0CBX8qOoHhLI9LIwlgLYzU1k9oaRYsj
q0z9FWcajA0lEhDltu6bWpBQ81za+5742WTlytjZu1Py1dMGmV1V8DWrCofZCCglv+HvEKTCzlRD
u+zo+pzETXcOhIJWlpIES3hNzCJvVG+mD3rAAqfaEhWNILg1DZPtHFUC6mHzELSo5eCUV59EUMwr
b67jU0P/6tZZVLfFKMI9gQLvuQ+Q0i5s6DqJcvZd3adbs6u8VR4T8eQQD36bm0O3lvQGykbBqZRS
bwODAVAc2O9JZ9QHt825LRSnvBLd1xY5GxuiZ7w1hLsdvLkYkBrXQOeRAvsacE5DFsTKL6kh0bOg
+S16y9/XddmdQtfMNhaNPALF2DPj2quR2qt1OmTmBk+Rs3J9Pd2FYeTudVhTZg8JsA1d5lu7ddDu
DhCWqrnlbQb2x6LKWWVlRkXXoumlGwoW0S/ITWgUWb4MA0mA8+RdPEkQ+LHu7/yUhvE8CQn4fJpy
GFsWiYJ0KLeooPViU0NHLfxh4ZvLbTRW+UEUAK1llJWH/y/11H/esrkIA/71srnIV1fvVfpPTWb8
5Pelk2qJSgQ7q28hk/+2CP6wdHrA/5m1/t0A+71a8n5biiEmVMIJHNtnTPd95SRAixM7f+QJAqz+
ojUWfs+vKye8ORY6rLvo98HHL3//w8qJ6tN1aUQa175bZuuiPqolMqAqPII7BUFMuT8Bk3bsNZvu
HdaycK1SQLha0kqa+nrDwfs4t4KZRTZkawqyemXpiXAnGWha9t0bY4lneoevjSkv02AfGcEGVzhc
2y2wRWIy7Sdkg/tSlJhbGMyM3who0v6MHnyNnpPeBcjG0ERCBrLVXQHA/mCO/teRbI5dppuH0sqe
luVzO9OnWw0GJ48ylB+doRk2qSDmMTf0LmNGsZG1satkPjAnIzsxp0PuEPOw6obylJBdQbIDEUxA
+1yweNHovDaFMqa7jF6P2rEMaZJV6q6vHwdIXw2lEYkym5AVGfV9uGsEils67uXWMgd/LeG5KJjQ
BFxnt0MGQSEkb6esA5y8Zval9/33yHSIG00Bgdn9daGerA6iHqUqg6VwYGGd6gd/RDxFrPZrVmDz
BbVlbZllq3VXq7MXdd1JmtWbtAiV2JBtAeQPtB7Lqlc61p38ltea+OSuEONqInbL/QHfw5ibiwfv
Y+XUz+wCNQaGsb7C0jet6dRuK5+qNwbZSmBsJ7p9iS6wIEh2dKOPzHM5meeEzKJkpbXsmEcxcKhO
+Ny08sgOi7y6QFJG3B7v50MQ9+lJpdgIGr4+OtIRgZvaLm+iwHwsgoJ6taHHExLh55Rpz8Fby/Q5
7wyr2KIa9byt0MFltqY7ggWpaDzoexCPsTI15kOspruIILfV3No3Mg6ZSFkHfH13buYfo2Le52o4
JOZM7FEfP/ZBeTOGZKuMFjmsplo7JVdeN6skc5nKldkH8MuPfs28F79aaRBwy8zjMA7xI0DMq1an
D205fEx7cRBjQIxzkTRrT8IGnYEEj0q7O9Qk1kK5vfLALZ655Gw1Q/aejc5Ktbw3Y4rdrW1r9+BZ
NHtnH265+2q1zFgqM1r1Q3GZ4+ge7mRznNwe47kB83vQb5XRMbx7bAfIfdQTd3GSbRp6kVVDmJgn
ns0w05uszvaEyB3SKQOTSK522uWv5QCg1PC9HRlkFCqy2SRNnK6Fgb1bTvpTGIl6a5Z6M3szXQoM
f2bwwcKLVnfGpiZ2jGirN7sxPTCR2cMcJzdaOB9kCw7cFc+FNMXWtKadpE29TnPjOjLDPRnx1wMG
71USVm+KZJmtrQnupKu6shXxIQX/jFgi3Q/9SrflMYiHK9VXZ/7lTJyxbdMtcHvSRxH07gS0hLU3
Mw28T0yE99Be45cstXApYi1Bi/11NrpDnqqXLtQUwmo7BbwFO3jtA2S9g2OsoRtuaC2s+94+tHHz
cfIZyFqLr1Q73lVgDfeBkGDxRgrTtrU/pkN71EgeCkNFRGI5d3YWH5EL3FlVmK6nWV1cpRHDuNU+
qtrgGLYNpy1/T+jSh8zKr2Kze/IrNPEMvu77hMilprgkFYIRc/iATvGB46PPIEl9dsqlwdReUmXh
8C2HYzwJzPipOhSWPMvQuucmOdUDHtWk7W/om+6UTyTqMKiPpSU3lMTFTnUmqh99NkJxNmyTIGRt
HJ3JOZgtQcWtPJazPmhFn4UDLojkfV/Md73K8fCU8mLb7XlsuGWDkhSbrnhi0Pia6/TGke6xb533
zmlOSe0dhZ08qy59cIPuEQpisXK9aKfc5Oir4C1HOSlK3Pgz4/nIaq+mvjpVs8UTJjRBSvmZYJjX
sbAfwgJKP2PYlailuc48c+8QUM1U+MYt63PqB1//ezbhEOEy4/mzs8n1p+af9XB/KOgs1G2eWPSJ
HEsI+qVq+/uphLRNQjPwPAnEOdYSNf79VBJgikfOuOiDiJn8Vut9P5bgRnSpu3ybUE0KPv8vFXS0
UX89lqA/o6IDso32zuMT/3wsaWVXwnyw5hukENwtVg8AiPDfVeNOTyKT+ygJPjsaTW/UDG/mEL2m
HoBjc3Tw4kXFRubGUwjC1nSnizvD6XD7EpV0gZ03Tm+8tNhNUUCEXozsSwwWHgtzn4/hRdvuVV3W
e+ZqhyGzSD5HTxNQGxICjues9/SD59bDrrcxCXgV5U5Imrdy4ovv5bgTKSRWgXS3k0WPVZIuDl/1
aGJyXDdW8Ow39m1nFTdu2Keroa2AkbIkPufeBGmfqLnJDe9Atz/ETO9IIQ02k5uRmVHUIOF7513X
cYbNcGjIW+F1JlftMX5D5HNzbDL6QFSfuSMYi0l4Ae8Dp4lJ8ztuQDXH+dZq8M0P0LQ3pHGs08KF
I1K8kX2z6SfeeqO6/SDbFNiek+1ZeMadbya7GmdFW1W4Enq40qB1W6cQR2uqz7ZZpCdhuKeILOR1
0BI6GuX+lWamtg6198BYzNtNQduvjUrxKcLWuQmYCFV6AII6k2Dmdm5x5EQJDdbG4lwhDe+j1y4O
HjNgBcfUsA/OFL1T8ZMKxPwLr1656VwkPlZdASR2nEOdADsn9NR8ZN3vVsgRjmVVjRsnbuiqFofR
Cfw1c1aBrJ9xbJ120dHTDBhpzhGZjqEzrbphS2z9tJVM9VdunH9Gg1TRMOWcBRXaug8l/N7Zzbdo
gNhNTZFsjF6wFmuTHNVisspL7kXV0SPN4BAHMFe1EeTHJnA3o+8gwXEcm1QsP9v3tVvIQwsTNnrA
Fm+cSFH9Ehs18Yw0/E9zQyAyVdqxlfEjIgzMTb11cIymX5e9tyUv3N0qjDqBqupzFbQXhBhf65Fk
JmfWZ3NUH5uOrYVZ//NgkR6f2qHNEKL5qHDWEDE7X6EGINbddNZtkN3hCVeQFYmN1O6lwtoyRcZz
rwWkCT0fMguGuBc7N3hB90Mgdm6akdTl5DX22W6f+dYVXtN6BeT4FUv5DXFtT+GIaah0o2NsSXev
pr5cZ0KmNBgJFEiT6lNo5pckNtZjESfb2ZC3XWUd0nR0tjJtSBvEEGWNY7elINlgH5tWbWCJT6p1
t8Q7vyiHNCndBxd7lGotiCy883LnlRp50cl/8efuPLkNBF7nHJPRvupqOsJ1bV0gNe8LFAjbxvfO
jEnZ50HkGlZyT0oHuYPp9Gr5j7mxdabg3KTpLlRZh6gA40vVGI+p8gWp3MVdAG16bdXtS2P095k3
ROvKmG8Tyoa1Z3PK0FCqUxItDe8wd0j4e1rpa7PtwnWL47hIwgsuJHbM/CaFQkTz+9haujsrf4z3
eTm/hp7qd33Zrj1SO13qicLACA1Z+GrQ8zFs0jeS2mkPCLEJULCvmjR76Av3LSRVcgP1IVlVkiGS
QTC7KCMeXOjaKzvpt4TRAO8K52JESMD2e/3fXfbbLrtwyf51B+A+Ve9tl355/2PvdPnB7w2AJQ3b
5kyE2dRh/slO9n2nxd2PbnnJk/rWGVj4M993Wuc3tL8+/VR2QEBYP1v4oc4EQcD+TdQCc9a/0joN
l430F4WmB0EAUbyHr4Nx7s8bbWJVylWDbV3aWsrGvzJAQBB0HDpmh5MzdLL8JhwsO98kXsTpNNXD
vBPTRJggMVAuK7pZ3Aw1YcfU+cbRRVVzGcg/3Wirq87MCMqHya70DXEzzdXSTPmMTEmfrFLnD47Q
7RkFKhqpfqQetlBi1U4Q7UTWuvTdZF+/JqbJSMdQIaMEqjUnBA1lCQqWoqJjiWn8q2Gn873Veemw
DpOqXlUT3k08xHjFPQk8JbNW9OrKNcOv/LYsh+jRysLkHqtfkTyYGRJvoIO+kDOkqYRRYAtUwR43
AjerxQsOgGeY+DAHbZH06QCWPSJ0dde2ImCCVLcWo0bsZea15zXZtnTRiT0Z2QxsR6rc99cjch0S
JFrkZitXTfI1H+iCOIpO7WyRa+VDCWkbFDJ9Q6jXAjIwVRu6Z9X8P/bObLltJN26r/K/QHZgHm4J
zhRFarKGG4Rky5gT8/j0Z0HV5bJUajvqv66bE3Gi2oZJgInM/e29NowD/w13kM3kA9LPWHxF2QFE
GCOp65tRreMdXRK80vPJuKbht6PMYOYq5AAW6GkK94Xl69PRjMtmB3Icatg0A8Sgo0iO6CEPJg46
ArhSbP5dEf7Yd/P7+d8rwjGXzWv1Ov59QcDU8GNBQBHE9sWvm72twi8Ya/+fKwJZdqzwuo1OZv13
YvLnioAiiPA3b4vf64Fk3Am4oyAiMFom7Xj/ZDkAe/VhPYCrPXvKcXvpBnv8j+6JrEiNfASTd5np
BP8KxTeWMOgfbYfGZru91xrrLpmu/LmmtlRXWulctU1wh96S4E+yda8AylTK8WhdxIH4qvfJHaQh
Hep8FW/wzr1YDe7tsceulcVbJZA9HT/52lQrn/LUGBOmoj6xYSxe1IYYss5OdhXTnbWewnjbR5W1
pZJ0D84uWsR6eJ+ZzKlH93ESDeMZp/L6qHwe4+TKDfVntJGHoaMumAzlsenwJI84/ZZFGR9awu4L
jpzd/ag4TxEZ+YMsaITAvI3WUcR3SZs+0VQ0IQ2Bm2R2sLacaTuV2lNXZ5euBEVt2TcIlwlzl5L0
LC6I/q4No0cnEtteye/rSgR7W4NxVxteJrtLNQaeCZh3GKNLnOUIMPCpcHN+y4vmhJWqZF7dX7pR
j8wYaTsjX/OzZZab4xG5CcpjZSPjJI/IfeWCf+IGI4S1aGgpS42UmhETdT+JNefON9AtzLredhYr
K3rbJvbFBYjmfps3duf5Ubvqc5AjNQUZSj7RchwK+CDptszTb5UI+2Wj1ShjlbKprAlcYtee2V5v
lVgh8Y7leBNK/bWJImOfSq6X0j1rBrD47OpFmcZoyd71gvoqHJ3x82D5zKhbDgZNRNeFe5kVxtKK
GZDkY3zRByGWb3tJOSx1GMZgLVMFOwCoF5LuoM88NuvqIk0IvmOco1MhYk8Z2ZgoxghfdJNNZ7ex
n81CUJIaNeu2RoOctWIN0bCf1WMbGdlCTh5nXdmAtCJnpTnkzgmkZxMJupy1aIaVzkUp1F3q5McC
ubpDtg6Rr4tZx1ZnRXuate18VrnHWe9OEL7Z4uZLjCr3dEyTyp3V8QiZnBZHnVPhsM1mBZ14JyLl
iK8uyXe6RsdJjM7B/cDfWZwM9NUEHQTUl4JvO+Mg5sATQyuJ0Uxobjw0aCj5LKZMqCp+3VzQNLPT
ZrklRXehkuYlroOdGwYbzu5URaPQ9Cg1RSvuIpQbReb7FiUnt6xdogQngcIjUXqspORLnfoLAw0I
LtWxnUWhIhmuoPFsBp/2cBqlJepR4eaQEYy1iapUBuEe7AyjTFwtBbpTj/5EDiJdg2dZ+kHz0M8S
VW1MazIpp2IWr2g12leoWWZUHJDqtnQVtHxCBK8Y5ctAAQsK+yRRxOpZGnMC7abO6/sAzQyHybFF
QwuD8VpS6Ib4HN4nKXGWProHhLExg5wy98hBMZUbaxbmIrshM4xUh1ZxZaDdoXVcZbOYB7vTC1H3
Old5UGa5D5dxunRRAKlEJKdLRfA0i4Nyyh4wpm/ttvMK1ENtmITXoicSG3+a0Bd70XO67tcpuqOs
4CHMOmQdsDtCmZxq/yF60yrtN91SmyXM9E3NdGZhc5wlTjGLnVDEDi7qpwG9YpjlUIEuSgrmZKCT
+rNgGufBsZ8lVHzkL90sqooqpanK3ZS5e1nNsqtDRVs2C7ERiixaxsWAQqujxcJVvpnmWwiZ9aVA
y83rYKWj7aqBuB/QenVVvVRgDbCByFcVarA2y8LRLBAT1qH9h3tRqeZaziJy6WRPBary6GYN/M5q
m6A3JxI/Z40CbVuUm6NIA9IAwySuiC6onmbcQrhfke5+Ic1+M82StpzFbQWVu8jkUcyyt8+xzEAH
VwtrY6OLG7NAHjeWscJerW2TweC3HLwms5xuz8L6iMKOAxhtWKX3ihr6jT3L8DwUhafN0rwVKNsa
rb5Gsy/R7kc0fB8tn7MaIXbUfdroNnzm22BM75syhHBsnJO5TJGxgBZbTF2zgZx9DqUtuI3mCQIW
sq1gpNBMzq5ixDClKlqyy1ejnsQ8gwgZRrBPvCFCRkOUKmkcqvDrdGp/VejWsX4bZjDDYbDRzjMO
823c4TP40CRgkWyehYQlVL5yog/d6fh1TpTa22SgKz7SOBZ46seNHUiXJjjTwVLTSU7QUbnQYMQu
MM4MC6xFLx291YYl4zVvGJMOQZ2uPKoUsd9SKzTnfUREiTcIjLxzu32cDmxTxfhdViAD+RUvklFC
/IuxFFnR4KxMjGEd0JelMlpwHUP8PTRb2WJBT3tGgVVw0atNcZKl2jzEqs353JwqsW6d3ryqeznt
U2dCR+hTw4EhncGqKno6aPBJX/R6tQcEeNacZG0M8crWpi9Z6V8H1FS2JZEZW4cmmzoULanlg89U
zrODflWpdC0CGaEU3meW3jQvHd5HNXEeGeYdu37kJUODJl1XFOkigdS3haKMS8cOn1lZvyh6tfX7
8KSYw6sf6weqYQkkhVgJIpyetdAfisk82FF29KNU9yzCWHGarIm17LuWV3Q1ts7SqnyUQZPep/y6
qWcSYzbtisC6MIdoq1YThqlil7k9JXJKQvA0CfAG6ldun9008MngVIxLZKpbmfbSQ7U7KFG/UxRx
dA3VYyuECFLuiH1uRBLuArs8BEVzbxk6FdsqARfetLqzTpziqx9jV0mCq8Fnp4D2sZr8cMWR1cMU
+ZqFlLyjZKE4MldpD62bfrV0BUCRK3e5El1XGqQgDT+oEY8LPbO24aDc1Ak8nYYucI9J42JkdjdV
/drvGHX6iCatC80rVrdZqz10juGlMXleUxD3skEH+jyPkUxLVvfkISX5AOmDOQtjSzcBo9gG6U4U
8RdcERvdmc4KuTQgM+rt2KtrPS7uc5WKUz3TZltJ9M2v8s4bSHmsmhATralc+oH+NChoYVFcULpm
b2I32iFzuusg8A9dMr0Wo3nZFHARWN8JX2k8LEHem9Rk2Tg4x0Jd+aPlnHI130ujXeWpYy3DRrlK
DXGRNsPkiUBf17WosISG6qKqlWwbjtaj2ccjTlRQFEk6gAtwWuB1+f1gTleFsB4hMfnrIsI4yWma
QWW7Tuou9dAWBxyZ6tadl56SoFeXg9YMqjT2zCI5FmQskkBMJ8plD4UalOQw6Hcqq+x7p1IhVY6l
XBr8f2MyLtWuvAmigWjklO16W4Pc0rQXUzW/tU3jYVD5ocUKJJVqgHRcjgbx3egyQUum8ZNBTTjV
F4WP+ScadCqbUiKilX/l1umjgvi2nX/uFnhZBtW8zSlO1R+dsLmRhXGl9kN04eooj2qxCwrlVgvY
0eSmMssBm0DJlwrwmzIAPWob1SIws++twyDY0AFA6c4tzJR91MSHpKMgKO3xqGjNA96Va3cosRkU
9mWsBpeZHa9T2xgPcoi/lKn7aAz6tcM6fDD1WK7awKKdrTEep8zdwccTXqxEciMxdB5Eqa5zZoVL
UsXdNk5TbVG/0aOCN5IU8W+NY0QFyGrl/IGbSnRLrLQ/MFQ/nfgYpY1BLn8DybAoKacMQ+UsZX3E
PmiRogyaJqNTXBRULhzraUBNufn1RVCGflJt3tgSXIQBDtFlnfT0B9Um8YdKF3Ud0aa6E/KoYNea
66L7219fZg6Z/yUO/fcy9lxypDApgpDAf//JHOKjvXAKUNi4a9/7/E7ovwsI//3vh4+hKhqmPb6u
j99V7Y5WjhE+PcmeB23r+Ey1fpy+P7kXn/z74WZqfEN8USblJO///YEt/Uk3y+zkcO4wz6b7m9KQ
9xn2v38/H8wzhpWoIcRdxqXZRuD0VtcVzeh0eb6m8fLXH+WTSxH5JiMAxwIR0f1wK/DqKxMQteRE
JWALiEdZ0A0aGB6vYdrlfn2t956gt4/17rbMmuFPtx10MNFcK01Phe65NTs6j5/WzJrp1r++0Gcf
6uf7/+FDSTt289b540IUGENWHMI175H5VVz85ll7L3T+8aFcFc/U3EWgax9Lw3RTajkvXnmqyVCm
z92wMv2vv/44nz1uP13i4+M24WTPA1ORJ+k8x/6jIf4/Hmdy9AZpf5L/5pt289N9AV9sNobQ5Clm
BdRtZk//vKIIro+Gzxf1h2zPPBb++c5LIdnfW2p+muzn3r5sJbpj85u167ObzkNsA61FFldnV/DP
13DDrJAE5bNTxcZv9BzqRsyrjlLWYjnpv3mSP7kWOjkyKiQXW0V/en+tEKOR7pJ9OYXzmXoV5V44
ruwS2XajXb/d/H/d4zN65Mei+zf+DpLnJ+jO+c/8mH/Y/+H3ZkPe0Yw3vfMvuRNbuYWFUTFMFS/4
7GX8MQCBsj+Dj1mHGNHq1ID85YCEiYzMCe7Fwk3JH/tH5SDMPHkG/nrJzfBO02Ewo4LRsGzMmB+e
kXqCsdearXWJTsOhCxs8gd7cCUuDtFLQgYCY/Bb5RUAkTpdO49v5cVQyxsYghuEAN6aSHp02UjgZ
a0B4IXaBuGWr4YvWgO2OtKeRGcZXCBm+b+IWjkWbCZ52JTBEtkhAEhe72qjw1rmdaQ1XFI5oJMtF
Hqxts0J7GOQ9rkJ66A1920ibpE/dNcwXlG5RRRWplkDUa79VbmPJIEda6SpH5CL5eS3HqMKpyCk6
94sDtekHWfoXbOi+0HU3l07DjCyKbNMWuzQLMBUEGBoBWkawh+BCpgPb5sgheNX6bGG7YbrPbPes
MhRZzFYe0dZ0Ew/zMkEOftlnzp50+zcNwscywqbUDKZO53V6yCLOS1k+nutcjuveYidowRX2CJo0
nB2mYZk0tPwoo5xWI2506JvaSjHbcRm3asn2vfsmjOGQQsf0WsgXXuar3wZ4514LXzhWSjJTJQZL
NSX6o0FArqovrUmVQFz2F2D5WmyrHeIMlcnQTNel3dLqlBCAAY6w8Cu/2BkhQfLByC9jLb/GOk5K
pjhEKCLhwOCbvC+JLmLQbfpiAB5YVFQfN7qy6NJkmYb4zLoi2Bs+nNLCsYBjspRpzQC2Oc2TtQN2
ei30hrT4pK6TtIovlHHawBy9b6WMPRjw0UYfeQXibzsPdkXw1aXCuGw4dYLfLJXqPshHnkRK9hi+
3TTBsLKGtFvEg0omK74OZHcRmfqSrHu7sLAArHzIDIvCEP62SvzQUwb3rNAsDHFRf81Ttd6qRV57
pswvTVU2mxAiqdSTO3zHX7KYFbIoT0TbC7D3eNON1EVqSuN1nGZfehtnCtb8VtEfFdT7pR0z7e/T
myExwcvO4DYfITMk4O6NtOrxoGvhoSgqwBDuRDah7++lDS4n1pr7we+/qEZ9a9QYSclCbGihOcW1
6YnYWRhm8zLYUApr2QPPsBNkqYTxloP+qjftDeffBElW5SA3BtAHjWBbNuV1a02PMEqeSpOj8IAj
ElRhVK5oWlE9Q2nvugghW00MunWsEBhmvmcY+4wFAsdFUNKimqs3rmmhYBq3Ra1shJ6fe87oiyHS
b+Z98tIJlQwWqrgMQuOIHi08PYnWQ5TeR4bNoUQdn7NgGiCBBNu2q6isCx1qeEQiOd4SWGsa+RjD
zub7IbOXDpNzcGEdUaqgcJ6aqovIAtLNIW/taymHFrpLFhY+5rQeT/iOX6sUkTWvysvCtu/y0g/3
VaanK0sdXpPIvWZigg9EhwyopgOe32n83ncZ/uQulYi0muER53GofmtUZp9U3vsp2UsfazRWLHuR
qAKlu8ARXMLPAhIUbpNgeLbCho4ta3YDWe6xNcujKozXBJjPMh/wzmBy4IGCdDMJ5XvV48LIo+04
5Y+AIEiDhuXO1mmsxgsMDLHs1s4guqXWWtfGoBm7gGAJbcgsJaoWHyHD7scp3CD7HYBkXYF6PWRp
vAub8sYPy+/NwMZU9lgNc/8E7vi2cOgbgXxULqAoWgeXdZG1MeeXm+orO2/7TZzk9zJHjLV7pslp
7S9Mv69WsAMaL+r6L27dtIsBFWthoLB5MkoeB73Rz3ofbjUFKzdJDaxNQCXWyRjea/1rP0N/AKfQ
lzoah9DKHoeRb1R125sUEu3K73KwCAwF9Fp8Ib70GlIHAn3MVhYcS3ZKnX8F7vQ0Vcr3TuVhKKR1
W6Dz4UwFHmmmTc0SIUnjZva5i4Hh6L66mLlgizTtYLck13zUZd+GJ3ow0OeN0vGCTmiLKbUvbOaZ
AKmUXZuT3WypUd4ZvXmjFf5DaLtwB9LoNetrLPhGj5m9n+S2Tro74J0TshckHhBjHZ6qf3dJb4Nh
BZvk/94lbdJX+UnEbv5Df26TGP06JrUMmEHwY77hBn9MhbX/cGbB6UGMzmSDwubqz6mw+x/i9vgu
URwIkrzNkv90ZLpUPczeTv7PrEVY/6zqwXp/uGGbxJadvTR/pwN+ff7r3m3bIW/Y2tA67knLqpEM
pzoVm0rPA3mlCxlq1I9Ddnhyda26ollHWnuoxdKb8DhasXtRSReTYpa8JGW+H0vgRBol5qPB2rIo
dGRoD11zJwe9XLWde4X7+/vMhvDsynnGf4KJXfOCGnSwWW4g824cqV8OhdiKKH0xq0Gn0j6/COL+
KmHAtrCaahkwK2a7x9QSvq5e9V7kUrfOjo1Rm3upTcoyYk9F5t9kdqWM21HlDCKF+gLqF62uM3cV
+OPCsIm39F8LORwdF9zJijiw9ehW8bLxqY4ozPy1YuFOcHsvYpfoczIzwSch1gPmUU/rVF5JOdpk
2nl9o8RMsES1KjJb7jiq8mklScQ6Z19Vd0eYe1DE4ppUdmJUKy3SAb1o+NmhDVSJHnhqFcAF7tVn
J6kOCb/XZWnYbPDy9jGDUt3G8Q0emBPkEyTUzDfXWc1mSCpy10c2ib+o5qcuMnOp9AYvkMzJN6Tp
9GXLNsjDi3tRxONVZpInC0jvhVr8bcwIlisONlgoXl8cAtMLPRifpUZRT6Wq3xsNG2PX7vpmvIix
jy58l0lNB8pp6/Ztf5FXsBdHQxBfsRrS2OlrJmT/wP08NObTlAE3iep5+nxOy3ivWP5NX8eNx/Qk
rpeq6pbhBSfedlqxHhPbh4mSh7y8m8Qtqeo17V1aO+y+zC7Ege9UdPUEpXukei/c20mOS4GR/47v
pVBWBjrnhiOhe8POr6UWZFThAZc5bUIds81NUZlGukxb3HgqKeiUeVOlXdhp2t47OZY8MSXKw7/L
4dtyOFe9/u/l8Jh/y79+YpLhD/25HL4ljlm6MJybCowz/tOP5VD9D2uRpnM2JHzLovdjOSRx7NLq
4KItYGj7OTb3lkXGzQJJz1UgP2LQ+yd9D7NG8e7MaBgzfxGxh4we2ecPi2GZl9CrQsCgJe1amDXf
cr2mfVIJjOIECN5Cv8kfCeC2IJe5rN+iwSO8qmpNs4Da3PTWHB/unXpLSFb3n6lOiJVV38tUHPjQ
tb9Xw3hUVwGLSXA2EolpdFEaIZQKLOsDk4XJnGCwpaCx5piqtFkgutFiO8P02nVwz46tTZkseLZw
a/ctIKQU9hL7VsimTPIr9vQyq+XCKvu0OgVG2hKg08feXmFjzknWMhxRpqYVr2ZEcuTfR/+PR5+H
5ReP/qvk2Y8+FU34g38+/uQzsDZjNUT/wCE6i2Q/Hn+8oZpGsoD3FAieObH5392AoQDSIX3hMneY
fxdz/8qfuwH0lFkAJ5hByvOfPPsUjrx7+B1TUUz0HGQZh54w21X5af4s4NlpEzjk1sVJFaQZm0j1
FGN6ZapKVZ9JFVCrKxi64nU1BhSZsuhW126ViSvN7oTOXDeXNo2ELu0arjry7qnV6t7HWz1+BRTc
LKwQjjv+HWOD/4nWMc2ZIOBhp64N19iwR5m7mnoHimgEb64Q7rpStQfGPcrXoEwzr9SGYp2HdsrO
GK8ZRHZsUjn/W90ujUWbaNVTUcQqWg2MmynszH0v7X0cV8ypSdmzj2F61IpNq7Uv2aBxxAdTu0hd
SaZdo7FAjEdmRO4io9ozdI3u0pE0LmQVxRAsPfqGdkCaEyXTuAqaCUpSwLnETVb4WiiX9iumtHq/
RByoz5BKdQyrTfoIy2a8UVWOj3W0oNbxMsJps+SNfBVj+1nomormRBjEIZvVRwVOmR5HGiY2eJkN
9ECzX9nOgEOBHOteUjy7MPVo2HEiU1a1WQLiRzQhgjkoOd8ZDiNuiyDlBcrADNxF3OS612DoKo3a
XCRdPlxNTmxvJIb/q6FTTnkRhls3wUbgC/QysEZTtAaZLvG+6zKlQ4vShW3l89acNFu6TJwNZ1k7
NpPUOCRey1ix8G/M+RXcvb2NebDlDqBgt8nqPNr7lnCOkdGzQWlcn0QFf1geVfD9V2obPgJgxc4g
reegysxFX1MtA3D2MYF6uPKb4rvisoFpRHCRztIDbMhTqiSz2pt9DyeTTpCgOdG5ATYGeJRnVE7i
uRLBR3TWrupKe4+zXvU6hrysudymLNsYdN9s3Mrx1MFs0SLGXnMXUVv0/AMarcW2UXW9Zhw73Gd7
vI+emoMnOJtmncyMg5Eg4AL5y9PAT5KOZhxdlS7lODxo9Ab21roqzfJgGXm+FHm+yaseDqMztRs9
TJ/Szl42yqB64G7qfT+QPaZ6jBSG4TuXCWNjkbnfNFGzuc6u8ra982mFrAtbaxeaKC5HEY07zSJC
EOTTVpiA7rPGTG+V2Ifr6Lw2FIBEqU1RkX0xhjQQ2pCOy2GkNHMC9umcnFFemFn2NHXiYKrRRRY6
AXAD0z9Kp6iXwOlgS4bBDeDFYFeG6a6KabMvuUkOGOGiZxMuYttfaInzHLQ9v0ArOg0dbO1ButSG
NF1Gnqf0VCvdwaNaORWNrvCM+pysTo49zubMSmYLwt26AJOodHW+DjQF12JPiDUmRWEc3H7w8J+8
abAkQ4b0Djv6STPaO/zYvP8SN7dOPmCTve9M34tSvTandmfj4NBBouIK1anqpQlFAHHuuufQ0jdW
1a3AQwGBNZ1znchrJ9e+uYhJiyzF8+iO14bApUh/2nGkj0gkhldwj+FH45pS6XvMOq+b8MdxevkK
meEWmjv5tSTeVW14xtF4yhxaSbGlQcbb2hnmTrp7vNRUrjI5XI7l6GnTuJM+/gLkqHASm6lNthis
PNijW9wBawFrj5Uo+mo5LSnVYivYyyahvYKdhYtOcVZSyTdqg0EArfmsNSl4oWA7IFtlubgAXgSo
J3ousbWPyYDEk33XDGyTyHPo957fwLdKX3O/vR4aAL2OsqU9iEm/fDBLe1lPmHkNrtFUVBxpJ8tw
burGWhtETM1gQMtxZ7aRtnRTXKk5ubqMfmMKpnkCfQEVQ1lTj/F9LKNLVrg1R0EP9N/ScgaX8qJw
p6uATabqQVGb/WQ6N7jqH5wQThYOqzajJLl4LRUFnBruFFunh9Yq1rU/LpPAWIXK6AV6eAW99ph3
+rXmZ99VnMFaRX8ThGGcQFvhdlunFmslhA2JexiM6V3Fv9SmFnVhYaHxBXEipV3zU7ysXWet6vVe
97HwDeUqwB4JZ61eIrnJBZ29X/s2f+CvMtYDJuexpquTXxIttpAoR9k/17L2pCMOaZPvJmEjU+Iv
7Bh8haQsFpTclIQWRtR1y95oTXeftfKpKZHhAX1hBQd1Yvhe3lRbSSBOGTLqfkx3o8bdQ18p93kV
X+dC3fjGsI78lu+OaYNstnZj8nTaG7woVzJPD8VEnk0gSkX21hn8E5mAnTRwNPkq6VxQpLKN1nA6
z4Wv7PiBLYreQXEjnagOjwWy/Fgprcde/Q77yFVd1SdZm9eck5SFo9Y3rWkuuwKprZogQJvpRWpS
jQgOC99XcKzmhWrKH8akOWiVuSmAa7ZND9WdKsB+3vSQ/S7k3ZyBULX8IDQjPAlf8V9A96Q3NSiT
GS69x4cAmwGqXoMdS8TfkL7u4iazdxrOYrzHzSNTpoWG/RzX5CqJ1G9WJhayKR+SKtwpmnpivcXn
VSUbldAVyFx+l6mdeJOiPoZmXaxdPbnNqgbvzJBsEl09x4kTw/PFxpH3+hrJdOuDCe41gSETgnpH
ShxLGqfyUZsFACQQeR4CC7/1sB8YgxSiWAk80A3zjIL3H7+AGoJ1Z6/aNqDUSEhPsENIGojNKS+J
wZXbTjjfug42W4QS3NnriG42mZNgzep4ADs0rYdMHsYmOFSNeZubnLgruoclm/uG8CbubbGXmsGz
TqadIqxKzXepaI6T6B/rqvjaOtUqiImk+elA4SNWgkzh9ffTlvYT38WHWfvbDhGaCBhI3aY8w/zg
u2j6qqJJTYoT7qkoRqJPrgUlSL++yAeXwn8vYs0jfSwRuvbBPADWWrGYL4vT4LxU/aZvH4f8e6DT
Y/a78r3PNrw6rXZ/Xmn+l/w0d899EhGTz5U05zI0xkVhQxuZdrn1JW6fotzyfv3BPv32+DXNmTFV
dT5+MM3BE+GneXDuxFPTHsrgq0y//voSn30idstslrnM3IDw/hNhPB0UdyzCc2d4cb9px3GVEqnI
gk000VLU/BEQhIT6eT/iJ5+IQT+HFp1HYq6zeH+5Tlq1NipNdI5kgCeTU+bcFPibz/ReoHw7lry7
yPzff7pLtS8aoARcBKPXoqkuSHktf/2t/e5jzP/9pyuAgwQyKblCVRytnuB3fuvb0W8uggT8k7Tw
94/x4dYUyZgUXVZH50Gg/pmeG51RyFjgHk2SDPVJa+vfXPGzj4Xng9G3aTHW0j+IGUnkZJGM1ehs
l1e0S4HA3tn/sDpq/rEi1lCzw8weN4bz4avzTV1YTlfFZ4iWq8wCzZ57fXr36/vz2VdHdsrlUng9
aIN5f3/yPrRt0sQx9+dREkHhpBjPhkb/Jm4PBiSt3r/69RXnZ+ovHeiPm/XzFT/cLBAn4D/UMT4r
g0D0vIeb8JvFQH1/d2Y6nqnac9GzixLA7/XD4lPnDKbDQc3O8UW1a3a8PI+5Z67Mq/Da9OQqWjue
WP/6U72/5N8/1YdLhp2SDaSq43Nn1RyTo4VGg4aWb399lc+/O4OvhDenaZkf7pY1qZbdZEp89kuX
YpKD4zS/+e7mb//j3TFwSqEFIgvCk3j/PBS1FqljDYDJ5ug7Ohq7zafICGizjH/zWT77xn6+0ocF
jhMxOrdtxWeVIZ9zZfo35fSb5e3zSzB3me2e2Eo/PGqRmuC3noLkLOXJRPwbYLcyPP3NS/WznxAP
24+rfLj12H6pcKQK9RwlX1MxF1mv5uQP/omkOYtkk5q/uUd/+1gQG+GfYf/kVYS37cNWQXOxWWR2
np6bblNWT721Kqfrf/igfbgEWtrPy7bsAr7QsEzPzDiZfgTLMTZ/87X97Vl+uwS+QqiWKs1SHz5F
PAzUm3LSOtfpVzHtSCf95gJ/e5S5AE5Wk98Jwhvup/efgaXT7lWCSWf2eVlrejTW4oFfSPf17bv6
18U2e4v/tyq7Sv/fMq+ev31iZZv/4J+qLEOJWfVXGME6vCfn0qgfqqz6H2p20F7ZiKo4dblBf81o
ZyD6jxHte1UWlA+jBOjnRH4NCAD/ZCqBkPvzgjdb2fh7eP8pvABBsKsfnpIy8AdTqF19os3gS08S
ft3p5VIQREZyqKszLUjBVmZW/mAaUEVor+TUYAsyd9k0kH7p5H4KCOdR+lZ5RH/vGTHayyp2Rq9g
nYUWzuErm/tKzNmD1RhtDjbF7SDD1P1FHE839LxYDBiccG8V9p1by10QhnJtTRXjNDPf8/IJtpVu
7xBv7/3e4jQcFzeAKjANicjdqgq7XaO7HXTlILL2MkegYbeI70GpYpLrJia5oierQYYLGObkQZKB
tZY++o22bywIpGHf3ijEoNZBSUcP0pOysAbzxaoSsW2ageTiYI5rNx9erdx6pdwvXtZ06izrEl73
oD9gE5Z7cot0HdvOM41RV2Heg0WMi6+uzE4JWTNH72xOWnjXvwzxGED8UzcJ1OaNWVjPDILXQZ5e
ZWStOK1nrxZduQMRIDVPi40hwm+8ja57Kwm2isvZO+tMjqv9BLQ9EsDJxXBCPaCjONC+RL5zpPQV
/5WmgtBRHfAGBWJaLFmJu35HneoTLSmcWHW8InTKnqbJ6A+OMjKpjXvnPNR9cFGQa4Fe6xic6ENR
fJ9mFCkJbkDYcUut0MCw2JjZIFnEmbiMcBcX5YiMkmh3asSxoKD7aKvNHclBoj9OCkoKNBG3vW2t
NLjEy1TsJyWr6LwQyZaJ+KoHfabmkFd16cQL0II1Y/HoS9SbBVgVxFRdNPFSDxBDCqug7jhHqMeH
dQ7QJxcWxBmYULf0Y8VMw6tvbTtsKZPYG63kKx6zpR8P91QLf7P17MIXHDCJiLG7q4Cc2KJ9hqs+
Uu2qP5K3eyLmC4w9sDeja1AFTYxcU4Kb0s7r5QDLQmikc8uZfiOTJTxzQIrJheXb9KqB6qXP7Sab
5HdlzvV1Lc4+yxwx6iRU/3Qi/qpa4sHUzPUYDtdp2FyMnbg1RfjUpOlrWCXAyKFYl0N1Cbr8bpDx
Yewz7pavfQky4m1h5d/S53VoYr6hQguMtV7YvZcQV+AM/+jb/R3+V4K+AYGhQSCc0t/0whzkuq/i
y6CoYFq5wcKxuxnMd42DEFKSH11VtIDTN+lBXt4HmBVbqz8UwkRRab44IIkCaV528NLDaNrq+EcL
heAWjPwHhG5nQ3AfV2rkUmfgOAwzS9EuaCQaFj6dVDP+86Gqs73udsdE13YgFr+0MqQqnZy/V+r9
jjn63DSXE1EQ6XUd6S+FnrlbG9/jYrIchK5YX6WkWVHu83pFN1m2piVkOxkEv2K4ADQHFd5Qq2tH
o7x8XnFZpSAVJkZ3zgFyLDSY/+sWRTBQIGOouD8VvgLWpCt9tI5x6341LZp1C9u60yzjqJP79vR2
VBcdZ95lPi9xVTgtof/caK4kdYR3TCsAjdW4U1zVTLdZR8FBiiEswA9Pem+4b6fgRlWMFzvDQxdo
zvH/2DuP5caxNAu/yrwAKuDNcgiAnpREeW0QylQK3uPCPf18UE5WmnJR++pF90x3qCiR4L2/Oec7
aR8FmzBE6ZG02UWxCBarQ6bXk2p9UjH9+UqRsTYwK3/SiH7KY6YynKTrNBbvTTfTlNSEGMSNclfE
PWguxYo/V5F0Ngmv8cuWMyKOH4eov2qwjKFIe4fTie+4AM8aVbK7eJcU5r9B/Oxgh8I7GkpWCC0T
TnFn9qVPmXcw7ObOmYJo1eRIion9eynn2PErvdcgGs1PQU+mmdW3n8xOqt1ZNPSa2TkKFVKVg5ex
Fe+KEKyfimafzarPkBUDa2fciHQ+CYdcL1Nu4BSAGLaxxckSO7RGFKDaB1j6ZNrcaaO8jQN5T3zU
Q9KzzktB5PDbzE9OOp7aenrIDTyyQ3LN88CbMIr7PCVjyoD33oUxOiG5wFWG3Bh24W2hTWfFbPfy
mBx0ebwv2MgEunFthq1XOXqBd5xvtR4BFMjMEUck6fSOSaEcJx27blntVpyxHgu0bVEX2ybpZryb
LceOiYnO1FiGKYG+MpUg20Bz2c0z+jkpJTIqMUGfxYiV2NapO3QuMQPuBN2pVhV+KiPYHXp2iuEY
rzGyJl+rv/+qsiV99q+rsmPZ/s//FuGX7Ev7R7HI8qO/12WAlJCEAFJDFfLVLPCtLlPs32icmaVR
4y8Vm/q9LtNZsXN2QE9BaSXTJH7flqu/EUaDtwC5HTwW3An/pi77tSqjGmT8YaGcRalqE03zc+2e
2FZrD4WTnIl+mA0Yv9FGrx9/eGP+ZOL6VXLyvdnFO8eraNw1GhxGBm0Gb8+PXU6NX5m4eSM5d2US
Z2ikZexUDto0AMpq6ica0+qSPLKjFRIwI7gI3WzGNJupyUWuopss5mQ2ovg4yLLwZMh+HP8iW4Gg
kF05jHaDmu9EH4ErdbaVUI7yPNy0BI3Xc0n+iXYVN+FeTgCd5f2SryLXztpaZOIBOnySrZw3ZSQY
j1BA/scuZYWViffYGBvE3SZKugZJFt9mfn7EEAEmQQnM/UCM6iYYRpahUovq0MEwzK0NmJ+cOFIX
Vf2BpDGLTDlDeyG/s13BQNU2sZxGph+JusIJMcHnKEtl8iY7RecXOlWQwDMtWG71mn02p3YaN5aA
BziadhStOq3S7IdZrYGR1CrphtJsGhulHMa5pgymA6xdYeTdFMCbNKQru1alE//8Co0P55uE1bqU
io1doi+HEddgL1czr7HseKtleroXY23a17xeq70YU2i1B3CKfUlSgXYpUeaM15FCa1eHk4OM2bT2
fSjCZ2hg+iP4V277bJpv9a4Q+s4uKUfBwxgA+2xCD0xXHlqHgCDif8xCZ/sg5AVAO7IvE0iv6zCc
dr1q9GdHCMvveM+JeZnb1zYKD+MEAGMa0QY4dbyTVJDamFxhC1BpXuZe7BMZC5VTKs4lpA5fdQnR
QfbkAImsctkdUx1nu+JZdfwIoqA/8tH1nlnHgC5wwHgtJd1qzMZ4b1KA+laHAaLrMsUtnEA/t1Gv
9mRsths8yNtBL4g4GdX2JkSpgeQiP2ErP/VNW6xJLrvRS2NnRwKLi5lty5jKLdTkaxDAt51i9fdh
P9rvJVvSNkk9cxjN9zIWnpG3XhrUyp0siTWib0q/MiWtCDm33WKkYMfbmtVb23ZQ34E8JdNDDQm8
0fq9M+ZrDpCVpc8bfZRPk91jZei2TO0wYEdoTftPmFVOdS6ts0EB8Q8pQEyf0S2ygP9McKziDWYG
KJpIRC81+mfDjD9lM5QLMmzbfUdMK2mT81HN1Z0WqicTeDlJNM8VHx8BoplX2BZycpMVuL0V8vw8
Bq0f5nQGtVxDSWJhrRARuEOWm3ikUXqEZF3zN14Mrm9vjOfQi5ugdfVejk8RvlU3CtSbLiva01B3
h1AdeZgXM0A9wlgJiB+w8+ng8CWSgZKrTuONtn20K+2oj+WjNHduali3Qg1viro6gjAjYtY5Ql24
iZx4n6mVr4IuI5BiXKlTqiABYVwuCFV2w0Y+p1L6wp7/BcXbHkz1ARf+HpvPzTwoHgGCXpllJ0NP
3DqrpwNIFuIuELjZ0fS5Tq2tWEKjGsxL0cgVPw97u2RjXs9Fse/s8i2fAgu7RcHWMqRSM0Yt3dRO
tQmwjF/mSar/YViqfLBofzl5lyhpWlcbYhb/+fPJG00K/YaZxeeyJvWqzxwshv2UenneZ8cuR+xj
9QE9YZQTTDF/Uaq6vanrVL6zZ5vsr3G8iMUQNAZe6ljA7btNHZnvwF2QjVTNsq6jmDIn6FHzsvkP
YrcM8OQObKhXet2DkLO7bV+WnxprFm6ctA+qFdV+r3TUsKhgVlnhDrXbjjulSi2olAUbZAyQVNOZ
Wm7a3HqDxnMrrGRP7OlhbrM94oCjVZVHu1WdTTcQR9pO8VYd2Ue09ABmABArghOL2xVJgNxe9Eko
bhWZeznCW9BpoXwMOvQQSTPeQ7TWgbwjLlQneD+woN3ahGI3xumpr+ZzBMYuHYyNwSLXizOiiwo6
JxaVCxiFpGESm4ywOhJWSCZ7QaIo2KFM5AwnVRqiCr9CObXrMmmu0iS7oAHFqFb0mWcWEpa5CmBm
01xDAum9fHbYUjfJPYBsAFNjDJEUEQwYEsAwFRDbeU0G7FtayxulQuajK89JDqtDowVw9O3AOaS1
aFsd6yjX9CGhI70FijnTu9UrU6BdSrNcgXGxnGXdMbbMJ1XO1gBI+pUtpc9Tripu0k6pr0fhFfh3
Bc8zTY9eJfaW5FTxALl9OMRx3ZwywkJ2f18k/Dyl/CgRTHZ+zA8XDzQy2Z8f1AQhO54OMs/JyPO0
ZN+gFvr7V/hlfKwvmluIBDZrJHpL+1dpIEHnBcbNMDxnJgIg8yoW8TauLs2AFqXJ3NgkSjjx//41
8Sfze3//AvKH/PKqy9/9w15OVGlX6ZoknbAP3hqEFgLMKW65FZ9CndqDLU3idrbxCAyR/C0ANz0J
1XwrMD7JKp7gopmfSsk6xp0uu8R+EngwKJ/sCDAZ+4l74OiDF6bTwcr0Z1xSIylgmil4morSF7NV
+HYlwW6setu1imnaidHSPpVF0q114nQgIMWfM55Vn3ToyOMEnrwOp79LatGt0JekAim9F2Gv7vJQ
u46m7g3P0JZL6a5tmrW5BI6qRrLV5EjyE5kKBWxMsZlmIbt1buqAMRdaZjxe1KjwijhmHKeF4JWd
6cBD/163CMswe+4aXdpOg343zsmjLqd7owNb1yyq+jjQMjfpYqTAwtilc3JQB/JNp0D1tAzdhRak
nLLyY4+qjV4qP9nRuCmawe+DmSdY9tMuJJma+KIyQdZZQZn0miw4VYshybC2SomP0g7H28hMKOBg
6ooO5rSmdbI7Wx0otkWMIcpXc+HcyflNXWEIQSu9apU9KhZ2awY8rgK4SaUo98UUbcdgHL2+EecK
ZoKXVNg1gJwhOsFTylStNvRNWOlHC8zXPzxu//SM01H8+LThzbIAk/O0JcfiOjxLa1j9D8Nm3hHs
cITQFbmfVdA/e+VUvAyHv39xcrH+7FGHsq7gal+0FT+/uFKBYEoxPJwqz1gVR9Wt1uyCQP8/WmvZ
l++vJPf42Pvgi/tX/i07T0d5tY/XwVlDfvIPv83Pjc3X752GFhn1hbkgZH/ZekzyANFJSaJzJF9j
4lnF8mPTb//+L/75zPrja/yyvJmbXEhRlEVcrl/CZutM/7DB/dO/gZ2xBShEg6byy6eZjyZuRfLL
z6V0XTNgawxqzq8n1H/t+3K+/3X7fvjS/InnbfmZH/t2xVyAFr+b/L/17UBSobaQUEBpZSIb+aFv
h3i6rApxtXHFmHwJvvftOjBU2KUyBpCvdOR/07cvr/HDvcI6xTER4Ts46Ni3KnTwP3/ZLKUKob3P
3dlqLSbYTD6pi5dmDiG5syH54rUNwmFdV0bkK9Oc6NI+b20xOZ4Vq8kzeW0iuIqCUtQ7JBwcacAj
B9lnEius60pvmuG6GKpzK/p69iWWhht622LxXynPUuQMNyRnI5SRAxUXiDOUAcGaZRZ7qj5H646d
S+jVNNDk1xDnzUxV6chWfybCOWHNMTKwG2dPE2Ybt2u1GGNln+cgZG7DeUqlTUwUmOp3ZdhsHMo1
MGUFiah9Z3pNOSSgx6baH2piZ/vUVPxhrJckdbN5mPtI4DkH3TP7GvFRrFNVhyzLTGhmfaqsJe6O
1lNqd3I1mycxEWEKg640b2NzESQz2wU7hp2QEitKu9tUy9gcmHqVXY0QFtRNbfH/T2FbPs2DjvCg
YqqaoPmPSmtXZ4om//ftVD6MKDrP819/O8kv617/x23E/MfZ2vKT376j+FJZKyoGLHJMpj87UdTf
2DMiSqHpWb6JP3xHLXKgTU7vb1Ys7rFvThQTn6tsMAhjVAL76d/N1tiA//ol/TClGqYJTAY9269J
IQ6tiBmyp7jiCS9Bk8MpbNRM9bKxeIyBefvqQjNs1QaVdWphTzC6XW0o732Jhb/kG7GHFEcgYJRi
6ZTFNkQ9avB+eFpTgkksBElXQBUTK/k0BPgLwbCBMizIy8kWBqPFZJ7cj8m5jur83lhojfWwDJIB
OEJtuw/DjiozfgQ2eJejs7qylhSsclTYyizJWGj8431OWFagE9KRYviwcdQz5FK/EFPGoEKVhrui
drbEoR+SapzW8ligKh0vtTIQb4BYK5Pqc08KRKjXG0NuCUY2xmNuNbdRy7KymcpTa+ADCzttkwL0
IkC2/TzFrJXKMOx9i4RZV4tZZcT1re5M62jUQSLCcaP6jHd9Zr0oSmS5wzic+4VQZ8+LeJ3KToyw
8cpY8cZURF7WpJ5jzJcgRMHNFpq3RsT9IYtBNORGeCa+YO/YZLmCZ/PnTnpLkgw/RV1bjEjizTAP
MemEmFmlPtVXcLWISJkxGWT2tRYWGSFpbDssBmNdp12SyrqU7RtSyXf8mb7AV8c/CixwpLSvEclk
bosyD7JwhxpYU1faYvjRTLLash4gbabTw07t1i6dS0DbdRNk0bYek9GXa6UCpcpykF2/uoHQfqfP
QJPT3vFsybgHXeTs6z7ZgkeJvSmOr2wMRi75HWsGsAdSKa+HoPS6TN5Qpa/Lkc2yYsSPjt7qm2JU
0d3SYLA7qNdzbKHSnp7UMl/rRf+iDxPUSK2/9C3rImUevvDKoz9q2ZfeqpWrosQEUivTdTIy3gvS
6OQIKTj2WvMJejZ9PTaoXRwW5ksk5ZZfWwxK/AlhsC/PKHiMgOy8vjoDCMCgEZbtzdiWKgvTiWgX
3iAQ/ljB3uzKHii5NbCF1rqpxm2nBazdGWJoQfPs6BB29amA4VvxEiROVLgTmgHwgzB4i+0w2Eh5
NN9rVamwtZ4GGnDr1q7NQ6dMX7KoTj0lNS64dMKDOfc+M8KzCnFacUD8pSaCZQSCb8lcObuutN5G
i1EUqEggZLAIiCRrb7oaGEfQnIIUQwOr9GrP0NTNieYgCEb38bssEck2KX/jxE/gOVkVQzitEyV4
z6rgOsMV6el5J19xkRHcIXQVgH92qNVC9kWSVdu+Uj1UFB7gkf2QqK0XB+pzUiFux1vZHSNdkk/a
0BhfZDlI70pZr7ZZb08ScvIIm9rHofxf7bh08X99O51emxj+zOsf76bl577dTehxNBBRS04GNaS5
4BR+qB81XMM2WyEEgBa3xjc5jvUbtklFsaA+oUhedju/X03Wb3DvEaKxP6EoVZFF/ws5DprTP1xN
aKwd0jt0jR2UqvxSPyaNlKrWrEZXuTzrwSlScbyPihzZO4NMpfC6lAZjP4vafDEjfaC5kYinxMeE
VB/fU/vgRHp56zixMeOWEEO51gqre2w1oQTCFZkFUwVLoB5LD6Oqsb4IefQzVU3hIJvXts3ilEWu
6M27MJteh3B+ZdWug/+8mK1N6iDUcTXL4yt1shgfp6Y/9gEkgGZPAQlGucXsx2C7dVmyv6Z1w1hh
QEfJ0LelLQcIMDG+ZL1qr7MC+rC0cKkM4ez0EP11PwTbKgft0huXHBq0l2pMGYPxDGQHlGyvvNZF
fVtp6ktkJ1yzmBPXkJDYt6vzvLFjJ3fZiXBK68YlMa1jb7dPap6CSi+yY96UBxFBq0FIYXt6a3HU
NGGzyocKqM2cXvq6uq/1uTppDV//uQBa0NhERjU5OgvIB6ALMtBAncZiZCzC7MjZ6s9W9UQJS7qm
IleekJsvc9tMXMlj5tut2GZtssFmuFVSOKMWsNJJclxd5+axVXUtyi5Elcd7QM08gGGxjW1c8H/p
/Ygrxikfiih9A6Z0Y+uRZ1fZZyWN7swSZHLXJfoxIDYJS+ZNXC1wDMPims5hc4XCPIbsPN0y0y+R
ad5Bg8XUZ1hvZlkcZlZG1WQzspdtdgQFiIeqLxMu9vFQ4Mvt5KFf6WWxyWKJSfySOtApBAjWxUNi
tkxI6TnWyhj7ZsVy3TAHVxoCyP+yvdZrqz8LOyy5IFpcuY2+68iWf2C1M5LqLm5m0lcwmUbnAoMa
EGloM8kk7psp+RQQh7k1o0asDFhbIDweKSyfrCB01UZ5hTPGuHX5NeT+Ik32ug7mqyyN/TZW105w
zcNanvVeHDMnvYabT7SbA5sqhZzVjOhUwKV39BbTAZUD5ZiRHEu1JBAJ330k2Y8S4LRVZ1BNKMkY
uFITr2Hgno0qv9Ic8mYc87pvbXRvfcMA19LXkla/wKfwIkO9z7uM+NSSC7I3r6YliqEwBdmKjO/7
uvTw79xhi/1kSuOpMcUXDGZ3bWftKJKPSZ8qOzmyTLfLHDhIJZ8DYctvmYJlV51DC/NtJiDUmlf8
8Shahuipboxkpcj5lRoo14ys1rWTfpKkwKUwkSHApZjmtPy6E6V9LLToYOVd8RiZjCmyCcYtKP/s
IGWico0lMCFAYuhaef5KdHXqd1N2o8Ciz6Rycklwx0zICNux52NWdCehUA4L/Xkw89dOU7Da8aID
nCXg2Vng7CIyKVqKGF3Tt1oFATsOMpBPpr4qdCDgEyArXU2XCTmQaCPaOyAHDrHSFDftmAbtfuyV
ZTlT9Ktc1WbPcWq2ZYn9KHJKubDMUecgNGvXKJnTDQlILR40y0SZLTbVqKvX46Tvmcso54gvl8vn
blwVULZJ0KEHNztrfJzrIrxAIMkOiQ5/rONt8IdMyrYKJGqYdghyMBQGeNR6s4u2naQRdM6ENMNc
JytrKQn+35D031W9iCb++qreFdOfyGaXn/n9mjaQZ6Cb/ZMxD/KMJfxKRYCBVYwQmx/vad2EhAQw
ERqpA3Po+z3NBIh289sFjlr939zTyDp+uacpHOCC8Duo/Baaof2yF8FvDXu7t7pznppss5cRy1jm
uj3fTGo/99UqdqJgNlna9HJEmdqnAy1ix1SG3gKbJxVxrFFB2nE9XSG7hH1K5MmwYAyV0awF/U8W
aRsipfKMq0rP4vYmkgLSLzwpcMriZeYw0a8tIZym8Cy5wts8GgZeeFeR6qR9ZcHawKHs0CW2bNq/
grmUPmo2SVs5p6iW4cSPjUnrOej3dYk1yUY7VYP+4iuaJrmn1EN/wKUwYWOMi7OVpeKimOnwSS4M
o0LdGoWfer0ZIczJ+UKfK32CgIJzInEqoXSMtqCr8hT+gDbdKAQ17FpRDqe0sAaCbfrOA6H4XgIz
Ybyvqs2rHUP1yTpdFWyaDVSCRtLdsVTIcVwXxmd7zpxNH2XDMYQyGSBK22SSrl3sWQbdroU014Iw
T4Dj7NSMrpOQusrTuUEEvE4F54ZeKVUFBhP164rC7BMfU7etAxnplVI5CgdOpL5oc0U83wxUbpWq
Qv2UAjcgW4C0lAn1xZNmtHiZVVW9Lion9GY7F1dCpJ95S4sdHFDlVsGFyWJElu2TPsQO7uUyOk85
Vk0UEPHZiNt24zjExySzY5/nOja2ec2yyZkI8YvgJH3WoTQeUcO1DyInN7SlzUFnHask7yrZDOui
TdeTw52roAq5UVIiymOwhddazDKlE3J5wLmFIblN98FEZshkS1yYxjS+D3qUbe0qD/djGZMkbiSW
dIop6vZ53GYlO9Eso7SgfqgnSsEqFMqGYMd5NRpsVqA0OME+ayTzAR3fIzJr9ahKTFH49QNs7bl+
ojtcEoQb+QoQ34ihd0h2YVygTWQje9LbarpEDeE4fTvAxYzF6ANLDdbtx1zyvybo64iOo+avT9Zb
2Lr5n7RACwz329kKKAasEeI39i9Lq/NjC6T9ZnB02qaKJO5r8uC3HshmBkcgIQ5QBQgzg7PvZ6tN
8qCmLmK6Zdon/7uzVV8sET/M0Jn0QaezHBRpkGc0Ns9Lj/TDbpaImAwySwKWQSOham3YM9Mmtqef
G9STvY4OTF6iKqWA0MpEcR6CDsdesARaGob1qcuzW2uJumRL4EFzYZdPCqaQ5F1LKma6xGM2S1Bm
XPdogUjPxLb9Mix5mq2KyTuv613dh642x1cahwiRGKcWhZnSYIAWSzpnD59yhT5vWxDcOQ+SZxHk
2Q0m3x9pvk6XjM8sHi6q1j07S/qnkRY3TM8V8JjSnbQkhAZLVmhNaGgYmIcsecpIEx1CmSBvI7m0
DVg4wozJ4zQOGK2ZI86sbpdQUrnSF/21vpLJK53JLe0LcbDb4K1yUACo5os6EXCqL1GnYRGchiX8
lGHgM4MHv2Vt8cpgD1IkSam0KQ+w7N5C0AOrodJqF3b7PSq6NwGQnM6BZXJqn6YldJXiiICs9BTP
1Wu7xLL2AZX3sES1RiqhrQVtSDBGyJfs/H4i17UVw0u+BL2mJL6Odr3pPiJg83xh4qLQRqtfB8ZV
qsK7WWRoYiBAdpodGgxnzR14GiCzyUvUbEvmbLGEz/ak0Nqk0Q4tsbT0G09xBEKjXyJrqX8f6iXE
Nk27J4NU28EkPLFbcm7JuwWYFB7B9J5pjCOvIAdkaAWYXFJy24CiuCU3VyU/FznjEv/UOfvBpCpk
q/BWhNZtGEwbVHCjn5fARUtVgVQkfSGY8jCbWFSS7pH/bluUDE313rb9UsV3GyUdntUkO6IBuzOP
pUJN7pAKYzLu9iItiDxLtO+5Um8TqyGBqo7cTjQhcRQpFoLar0qRr+S079HHt7cwBjdETj7rk7Ih
+ilcVbZxaFn3u11Z6nRwOfDnaFrXXAt6N2fuHBBpH9GfM2Kw3XRuTpUDrSLJg85XJ22jhuUh5YrO
HKRmqdPc6OmwTyLUzlHDfenw3uvBoWPovZI+EEsiLJvHqOhgg34gmGgjrYsKNQQyk71QmuTKqS/t
B7qJzpCka3md4nWh7w/eocB+CQw8rlFJuMnCDbCK8aE1m09dKupVVZY3VkhsTZTeKAymbZpFVzMd
rxotJhhWj7pHBn9mdGcFKSR/XMWYksGdNiZk0xEDzHwCwX9mMfDo29xFFuB15bjWzOl1NFWvHscX
OyBhyZnu+aDRhCXSboqlY1FHmyiVdvTZKExJe04I9gJ9jHoHdR+m8xEjw6TPe63qHpW6odljcaXm
47pHYrTS4uRoxXXqdinqx9HaDMRT51XOB/LQLcGFo1iTaeT2ZJbFUgDnCn3ihJ4wip2nPMGA0jbR
sV8KD4oAB0SDKWA1g0Cs5bPWOZ/bQedLQHDnaFXYGBxPq6aTLpLd0Cx7eVVuUFwMfLYYcySxFW3z
mTyyKya9Xpvod3IcYriZGviJNEm6Ufh6iq5LxpJTj4qzVlL51hDBl5qmHoZ4vuuc0HZbq99ifBld
qTa2On0k5VF/iBA7JTFLC+JA3UgXp8EqDiNBQas8zVw9tJ8J7qHURGe4QB8neeNY4jo2+0dZrXYL
agS4juUjteL8GwsJ3Xx50QS46nhuSHNDQxom24wDsIr7c2DOd3VZrmq1uwlUsYf7uzJrAwyQM3nz
rK7ZCfqapOzKEn0WcPCZU1hbO0Z3kIt5DXeyp5pitFvJn7IAMCbkpRctZvA0IIWm8Q6vlYJ2Lwxv
lNk+Qr3r3ZlcLBxnAzTJ1LVwhbtpFRLNir8McaUhNk40XmuZBIh7uobD8K6p87rI0e+and82NiVY
XCOZk0BGddV1Z9n3YywiNzcM4Y65AdwqUbOnFCqMF1b9e9KKQzTKD5kodoC0jpFDFJpo4osAg6PG
zbsRTr4QSnVGsbiuk/k+VUCBGX36wAnst4Vx00gB/i7ZeZbM5nGsx8OQR5S3IreYn9sMbaKDioUs
Go0rgCMHnYrYDfRph3Wa4lYJSPuBDdSmD30mDYzYpYIOd4ayYpPqk8nxTjWWvPMhn+lsojfsH8Kb
+nL0WgYyzjxfKfCjfcoFKlt8fmNDHR1o9bvV9YCyuvTUxQzZxDQWHhufxzJRr8tcvQAlHIg00lnO
tp8NW2WB5uxpv69ac9zNKudXYxEaXBjF/ThJD9VY3mWxyoiz0Lwqi9kXTMMV++XZ1Wf7doaZBn6T
dUzTIR412PZs9SUjzgz6fITtTjrRPyhYPlga36Vj7CEtdAJgYIkhwLULAeHn8qStERpMjuZcKbf5
6slY99fYYFa567zeXdoTsUV+6Xbb+GhswE5tET3ujXCbnKLNfwXuR4Er/+2U/3/JYiu+/HHGv/zU
twKXGT+GBgRGfDpQXmQKyB9m/Ez/Df4F+ANmMrXv9wKXubumycb31fS3/bP922L6sCysus6iMPlX
JFBShH4qcHmCGEDh69BIkOD3RJb18xMUYsxOEs3OriSlfg7jbljNIvukTMYuUyiSEh7uthG+ZVAG
wPOZKWGcqT4PNj6IYMjrXR7XHwkOfFcIJUBRu5ZJKRiWuAIbcLnbh2i4usAzpZJJhNI9xDZM34yk
g2iJPOilZpul7WtujiEmMv0toGxxKylnem+Mh5HkhHSJUFjMDx7jD9+ceuYSS9CCLCSMCctAV7Wp
o1gYCkYZMhPMJaShIK1BnWA7AUo8CEh2HOzdk7ZEO7TAjUrZ3IMqgMg/QjYKe4IgkC+ujIg9WUFG
xOwoj8gDMXss8RFRJA1EuNLsJ0u4xLzETORL4IQVcCZ362kJoqhr4Icq2RRzFJ46rqWKzArUJktW
bMx4X1XxxKXY9sLcT0m6CBT1Lpiybt0jB16ZjtZTKhKMUaUSxjuyMnJtit3Arh5tgxgNJgiUXKCC
6zi8BY9Wvcj18DAtjtkO62y1eGiZ1kJoAkQwhv0OY8EmrwZuXGGwZ0EGTcWI5h6G8CnCnqvVrcYW
f7iS4J74aSpmTzVmEvMWXy94VWkjleKiYfk1MtzBw2ICFil6d/O1G18rdu06huF20sqNIGw3EyR0
NhzS5YOjRMUt0epV+iUO57dhjC6zJnes1Cv0+ACtbPsVsPI54PneyVhhtmOnlldqEzhkUTF/Zabg
6g7ZiYNlbjuG8is5kmPue2c6a8nMbjwu8wGcg/U4FAjU4zw6aWP5pZ57kNll6NAB4IaZ/9tmftXa
GEwn/7qRf/hSUPT/SSe//NjvB539m7nkUsGQYDv5QRD4dtAtZ6AF75VNomPTy/9w0OlsMxUOIJ1V
49Kw039/O+g0YsZ1IFwWO1Ll43/6F9vMP8hsHE5aZC82qlMqfJ1f4cc+fpSlsG+aQpwRj7k1q50Q
UCjkoK8PyF+SopQFr/DDwGAR3VmGyrSXFHKkpbL+y42M6bavzUSvzrIwnPs0qiUTaCeep63NCITh
wYfzqW2D+TahJlrB7dIf8diFz1WZ2PtmsU0pVg4m4KuXihWZ9uGvMj+8Vv2H76r/8GANQd33CAPo
vHq9j+kcpOxqSLKWNN2qKlW/HDIygG0pDBgxtEHxFKeT4y8zDJjtxWcj04eztSjXdCFXmYu9IpvW
ZQBXMsOxKmUt8dJWPJTaldwrRnrss+Sq6VKiJODJu5FzzTL6i9FWb0UdroMWy3tfbwsSuw3JLDeq
zF+BNJq6LFg7uW+M+S4g4cLT0pyQbXiN2VS/E7NymSvCHtXqXWj9baZwOg56kzzDP289J0zFSbKq
5ly3hrnPYocuI0eBM6vsXCRJe9eh0G71IJLPwPIqP+8DQjwzyfDVwT7RvJyBGA7erOJ5CuNZ3RBA
dD8p0lNGEDl674h2uetC1eJsxJ3HyiX3mQbFPhlg/CM6gnqRDd43OttWMI9FdGmRoPjCUhrfGeXx
iXH4xLuolqi9U9F4utSQ+oOSqDY7ex9JivIPNLIljOrXRwyUigx2A/QMs65lZvXDTIrgdYxwo92c
W59lGfj82/kWz9CqptQrtrAmcHT5+cbyG79AyI0r31e3gftPALtfSocPbTOyY/ijxjImI93v598D
6eYgQuSR50AN91glRzcNgT9Wg66ubCt1/LoPtHWjmjhhSDI7hVYDFJzPiOzu3J2s6ewE8sT6eX4h
V9ZZt+wj111XrcGdvlgG+bckvzNNm8fHOqvwcTXgRa020bxx4BoDL55zX4/4050NdBk3CUil1+0A
jZyznTU2e6q6IQtCWdUdjrbYYXaTF9uEwXypIRArZVZuACZUxEi0xCjBFidNnkPu50t8HkZH29Th
0h1r4X0IH1jR8pMY2VczaUZNyoNmObVO/EJy+8Pxev21gP8xhPPnQ+RDd0hOl2VyXiIeRgjy8zvr
zOrgVHnQnGVibzYcBBl/PHEM+Mh8g3E5vqmQ4/r3E/1PXvJjkvm9lfjja/7yaUpjbzV9GrbnOtSe
DfAoI7MWhnPWVs9hdrGcWIUmS2qrrl0jazuW48WEfVAwxpD+j73zaI7c6KLsX5mYPRTwZltAWbKK
RW82CDabDe8TSAC/fg4otT52y4VitlKENqJIlAEyX75377nWJRzOJzXpmhXyr29hZm7qpjkim71W
w/nNipqXQiZNgGqi/vUM9N/YcsHf/P4N/jG47vXr+59tyctv/b4lewtqfUkp1NmW7CWf7vuWjD7d
IhfV5NTIpr1IhX4/ezi/gGb1SEmh9w4j5vOWbP/i2AaydX7B4MCJ5fxfbMmmvSxU/7vllrMHunm2
S9Ywldip5UV8XsgUFbyZLrQIyHGB2ZooM9FZJeKAlq5T/kgdvKpH4QVzMh0c5kfbsogwlvU7KpB3
UxkIVvNgSRmy8ysnv2AN4dn30mPJoJMmgnK9uImApxPe7Rb5A7wa8j0Sz1ubSf2m9TWKWbc/CYrq
QRue7RzcLjFFFoAP8DXxi+3lgYK19QGjmbor8RZGhQx9J7TIfRJatel7fBeAPEHb6M8ImsqgSUxs
u6QfBJKiejOK8Nsgu3cjt2xGVqq9dqu09os2ua2y+HqMytdZlQ/Kkijj2QgxAaLO60yxDpatWEFv
owWpIeyuOqf64lrpW+y0JMGq9qqVvMW+7bJ1V2tnJUe9Aqy2queLtEqGbdpabPGJfrZS4H6lgbw0
yQU5dGL0c7xvW9usael28i3sUiadWp+sstjNNzOdxSBX0zs4y+ekn+MVdXvDWyKSSRbebVeEGEO1
647wKtLUzCJQvPkizr1DLEYC+mKVfKq4W5li2EdavQC86f7aixCn6i1S5JKOmDCgK/ddVtFgrCxy
CIWT+lEtjANOhnQDWeOrMkzTIRpi2PylGgVdkbpbQ7rKuo6MS7vR9qzz9Wbqw/B6UspqFTfC24As
V+m+FpCYlcT2S7Au15WtgCbnJJM4WCyblwlV/7aLDIBCdbykVwPArGtzQ1YKLodwmHZ2GW5EhKPB
cUoySqPiTZD56WuLlJMhb7HOS6xbYxG+ED22tyNgmklWTwF/dOIgmmzSpBzJnRjWSaiJ9QIPPeh6
c4MtmWa7PoxBOlrckL1jndSOU16rk/MX9TMtU9VY1V2PeVQhyz7NymXKUzkwaHVS6Cb36BT0Xt3R
fm/RSa1bTzuVksGTIbiVcRyPQTQk+aaOoCZoin1bxsbL4GRQWnD4rjrXyXeiGyFWR/JWmcJuH+JJ
BoJbrmQRkpcRlW6g9gO3sefQbUVx1pi5uSNw59lL9S94cbcOxN+1PnZHhQhIPmeUSKYsySFovgAo
WsLJHCjbZeex8E+zMA8aGzH9Um7eZD22E7Fz8j2f4seR9v0GvHqFjqdXV5MzbiaDuDJHFs+yhNFO
pIK2CpdQM+bFD3CJBb5dAs/GRGGMTwRaVdGRpo9Mug3xaJKcNAAGJcM3ztoaeOULmrXNqlmC1Sar
vJtJWmvt+rJfotf6qvyWiOZWN+J9qbsXg6tez2S1zWS26di6YyU+qkuYWzWlhBQgNdoXrXlDqsgQ
aEv4G33rC3eJg8OqvK8+AuIyXrgX7eiVX6gkyKHy2TCsW5Ymc12FxXSolOlVXyyIjSYsOt/0WpJp
sA/JLAiTi0ZUkakjxCMZhEO1GePaJL1Raatbg/CTB4zWEt+8XmdQa7qh3dFGtl6irLIOoqvz6Axl
KXL3olHMlzCy9fCYQlfeFsjNgt4LHzV889TgOrdGiCEg5H7ZmVU2QLui0Sm579ZWjSWdu/C5N/vd
nBEkAcRiF9szfY6FoSWRZ6+8Krx2abmOJT2XuZiXzPninNsRJlCNFa6oE5anjISDPkq/0V+6bm21
2qEV3Uy4iHb5RJ/eQQAPgQC3+/DQWED7eYq3bog9x6OeaNT57JnJRZ9Nll/X6iuTHOKeSok6pbjR
pJb7QoTdriFPk3stvJoyVfcnQXCBEoGZLiOpZfuywsbcGeWrUw3x2tBhRTt2cplk6RfdlawGI+GM
+qZsYDDNrgWG3OQ5zAf49kp2p46XJVSLItu5FtrEeYsXeKsM7lWEHn4zTOk324gPcyGwe6PQd/Jk
rWEnXGkuEoN8aIwVg1/gW5wa4pDVr6VdREJl7WLuhfOV6gnmJQxOE9nbxqBqfiE5bel2c5Oklocd
wbkM6+ZcdbQ9kMXAQnGVuybWT2ZMeqQVKRurbTufFIqHzK5oZzcnxQ5Ln74Wx8nhLQVOtyVT4ELS
tl7hGIZSPj9ajbsSdXI1WVXh68I+1CF0pT6tN4m3sNPdF9VwyfKkheLTsKNnXmhI9xLDhxsGPAgo
t+XcIgMlFlU33+3BazdyZrE1XHGRMqIgViQjP3QaN63dHkxB7EKfwM5OWmfvkV8LDkvDisawT0lu
CRl4bXoQ6A3/jQCuoVIeMoOvWiVZrEWSynIzbAotek89b2eBsasUfhrW7jcxpF/rTrso9P962f/3
Nz/V39aTt+K1RFjz2nd/7Gebn2pKCkckGQ7C5Q9f4w+CDYKt+BHCDNrW2iJr+72mXFQZFHoePAJq
x48ffW/zIFpHAQJ/wPCQ2C2V6L+oKY0P4OqPNSUYC14C7n2TXpPKS/+hpnQVI2vHvLrq0R/Mx1Sv
YQppprqYBZFjnJmTDgJevYWktjn3sftmRrFct3pxN2hQEwutuGz09hkV7yHvypuEXoUAtbIy0vDo
WtaRxynz0Y1tI2OIAiowQM3yEZHW+0c8XTXoHQg8u7q2onnDkpCSgpGTPxxnGB/7lZGjPiKTagWt
B++7MZTaFx1p50ihmW8kwmtkuI7RJgc9s0W0JcwUV4k6wAGj7WKkNhNWlaGrPdR7J3EK/Ibewc7d
2bwzQkFjNCxk2iMgI9r1sk2T7jmVYRn0g1Hom4E0XjTUPaGkUIsgKHlWJ9ecL5XA69wWW1DpDPPa
8jT4b2XIaNnB+PWcy/FLbxPfJfPy0akZI4pYbl0e/i2L/WsdVmHgyGa8Tt1cboy+QsilNr7eCUD+
cQISl8Nj7Blsg8O9roYPSjvvAXfeDE7hl4AgseQEgyIuR2ldeYNNT6C2/TbXb8iXfa2VCl4GY/ZK
9MfeYdLrkBpCTgssTE+7GXplb2s6L7c5uVH9TQdkVyhypyUC/USxi8LmMvLKU6GPp75qv6hTd+Oh
PdNT+z7zBkbp5CJwBrHjASFMXt/mNVS1Eh1xrW6l1d20gsCVUe5T2yQ92l4BAn713O4AobL33cLQ
16n3rYTvZ+b2ia16LSt3a9YzxMzuGCbdmR34ue1mlBZuUCvaunTi01wVhNRMKyxnJ1KKdt2oP86y
Og7EnphFeeL79OtUbrw4PqVhdeoM74LQ1U0vxAFlzhZswAtUhY2biCOd/y9RRdbD8vVHjndnthol
n7Z17fESnKpY9Z566vU4mJr01Nr6dYOxSczKvRUb+zwFOJITgwzOZt9py2CdZKuwecfzhdYlf0SW
c4/A7kbEyiasrUvgshu9L05qOuRwXbRLaY5fBl6E75UYJUrtMhzmA/5JvwUpGTmMchMmwmO8rzps
h+7UvreOfgO676adIKWE0WBdExS+TWwZn+zQPE6WXly1nEL2zPSbGPpWZQBO5UywssbmityES6lx
S/Weuc/pN/gNOPug7ryvUzSe1LEIzMJAERFdjw2G4BFROAmNTmA0zQusSm4/w6bqD7eokyYE9CEK
1vwovTHeIKK8y2TITN9gUGEK+I6oO7GXUAsaBdlLStyOfj0oJeBH7UjNcGNScPocDKDFjHzjQ+qd
01rZdpyNgJBXO2zCiq90OC4oGo8CiXiGlcBC6gHtql9zd/Bt6bD9vL47k4U8+aXZXSA7R4M5dReL
xcUMs0ujUbaaIaHPE5usQ12RTfFWmwVfxqwEuqTJmYaksiTCvrZyd1+BqcQLjTulzNCK00UThFL3
FAi4+HQErcgo6ssiyeHlMo4v9OpJcBagaUYGkFLMp14zjmOWfLUNlE2KSwuxLi243dTTZTrc2KX+
IMgmUpgou0qfb/KprLGKyiPLx7QaTFYAqNK179VlH+hNSFgp7pBN2k+XFeZPAp6TK3A194Pd234c
j3eRbXG/awl9XYBMbnYV5nw0+FKzlQH0BmFISZxA7KEgUeQlWej5RWyhkfhoo/zXT1r8W3/dT9r1
xZcq/yr+uPsvv/e9o6Qbv0B5VulJsmPD6mOL/72jZP5iamz7hqUaMEQ+5/pRF9gffKnfA/y+D3k+
Iv+oFJ3lr9IP+ncdpZ+HPCZARPrRC1zBwxu31Caf937RTxIwriXPvXqIUj+dMNn+qnT4ywEPYPcf
mlYoQnHO4vymWKUCYmjOQP/zRXA1GyimuvpsSC9V6XR8BKbFhl4Cv1E5GwZNZY/Z9VwlNnkrcew8
kXqrY5xSrcmPySbQD7pdw7OqSB4bL3GmrHkU1nPCU4Nl2J+m/ByyI+cV4rDO2ylNdStUInSmmNyW
xrkZk24XTkzdYwRgZSI0zv7NQakZ5LrZF85Xr0qIE66u9ymCTkDJmj8n8VXEYubq+d6J6dJqY/ut
7Z0tMhYJJ9B0tklj9jz3GqprS+6aATcySK17h3hQo/N5e0+Rre5VYEQo1usDY/N3ojtpz49s8lPx
HtYq+X5FTWSgOrqrpms3dd6D0XJk4JYtZFWJdKZ21C9jVx4MU0HVb5YUXdEh1PX7diR7T0/EY4bJ
jYVPvnW2eZjMtkRyVNPSG2XgNQ654klo+WHV3rYJpnHHrMQa9OCxiGB+i864zjmEk9vcPympsZkR
09LQc8jU08W31EFw4LKb0MSuzmVlXjiyNdc1OYKrPGvIJ1MRIdCIivwx7QmnqHWU7axEEK7mR62o
9gZfJ40s5caSCoozPb+jKVZzNsuelaY1mf7Xe08T6SkXkqVLyQ6o5Ws0sg2ecDfCLvBmpNXGY8VL
Cqn76GM5w1FVhTNRNmHjQo+LtEPrMkgSg7OdHeutTqAIy6m96B3zzV3s126afHMLB2UtJo+A1tcd
sPBvZiJ9tUneEeBLX+vSXazD9tNG1684oFOWftHSFOikKVAsZuU+TzI2SkTHibuQxo108M1OyDX+
YM+3yv6Msv4eeGPnKznBHUbcklkY30ajYG7mRL1fhnCQTQhvJBSs5yVx2HNTWiqL3TxeJHLDY6bO
ZK9N9rc09V4s/AGrWOrGxsBktVIoiY9YSlrkjknts67cR1NzW5pWfYgz4yrKHSiKFdBNDd3kkJLS
WMumX7tY+VeOMz9ndniHmI+4ZopvUyOScGjV+yzK77uEtMsRxShiC3EsHOWbUNxnxZ2A42ax7xha
1wRjCLUZfoDNpFQYU7avYUbmy+yxwfzJp+GhAWnurEjOK7Kyucu9PLvPVMPbWzMpLbYh75pGJ1e5
fieGdk8XENxoVX/VRNMIBqcRnU36gZkUF8jpgFaZIsjtkP6b/bBETG6neEovi0UWoyg3bZ96S3p2
3iRBiEU0GKR7oThjFbReXfldTjjhzP0bGfV2rAwcDFbhO0tr00Evw7O5MmJgLJXzFLvWO7lbDbQA
bHUmxsOCbXiI4Wm55usC+IRUdyis/jnqOZ6w5ty0pbZOa+2m0oy9BDQ4TQ6CneiBM8hz51o411Xi
ConxddzzhNZi7sQG36QfetPXflDyVeykQdaJbE1Knp81NES6loLItTDhDyfHoVvZID024MTHiSVX
lTcSUugqnGYUZIrtQ5GQMRrq3Xsn4o3ejI9K92713ImD7WwMM+WkEJYyR0caSoLZqSIUZa0Ok/Pg
wMvcNk2r+2k06r7l1qI+ZYbxVFSmcgv1FJxhGal+ni5FZFaZ9YSjaTa2gtQT380pml2jeMiabtMK
+SRl/tA1yjNEeOOaIf58ZsNrNm3evDa6to9b4+sYulfNzPgyx3dTFowXwGVoASdLwmzSnDC6uaAK
L9zpGBXxbRJFX1IdBY/M+vyinSeC8QrghmFJ4B+6+OdS51uU8V2SVGngGcqhH7qnXqvmW06zxSZU
OvDqvL7VkLD3+F7GGoD2iYxRwpmvFEFnyE7pPk+TJ9dRW1klT3n3SCQgqADhFDueZjdochGY9jDs
ICvKbai3RJ8W1bSVJXmEQ17TNhdZwsOODUjmnrbrsuFsZeKmM2MqbG2bojJYVUr4llTYtWdbuwOW
/9Rq421ktfbeM/unCszPyozm8B9m3j8NRJdNF7cHpg+IRrjhF6f8503Xxh0JUrjpz5Ur17Z2lbp3
Nq/aWnwK5uOnuudPJqE/VhHLBo94BZSWtvQlOOku4/dP4/WuqxAjUU6f3XAdoucHKaI8/P9d4qf5
rsybPJd9Ls+4S4hIdVYx/Iz6H4bIf/o+PDBTDrUVPrCfLtLFWTampZRno0XDfDkqJ2XY//37+OPX
wkf16RI/DfAWY2+kmaM8m+5tARKkEGuqkNJ5Tad/uNLStvlfW+e3L+XTlZZX8ulLyePBwsbBm2mI
t9VKDgz6oS9wZ6yHgi7sb0Kvvyzzlhf+8+UIdoJ8oGLeBA/04+UEXeS5FZo8582Tht3MAUIQX0zF
08fn999ZQ+UD/euzRvCe/59T1Yr3Px42ll/8dNiwOEiAhuYmYyjJg/jpsKFT4vOEfhfBfm81mjoh
4sCMyaxxyHslRvx3RZmp0bqkD+nRZDQWt9m/8t3++HhZKl4xiwhznGmqB27j45zw6Y4UIT7OfC5x
X1bjTs0SwOSZbwzT+tMn8yerEcvYH+9FrMcqQeUofnG2/ST3USI1s9w4k0Qz29leRKprrq25xydZ
JKtKjxh6SEcJNFFdeVN/2WT1vaO3vV93DHtlkYp11mrZxdAyVjAw5vvGROKoYnGiYJ72JLuaibQb
Y7A36tCPu/y25oK+XufnSoWpie+XHbLRGwhCixmNIeSqmN2LBlE7J6DWLzWaWyBVdwZl5QYf20Y3
LYZOlE9Bh0OudsxHxXWObBAemenGU2xi8BxG69bQjRulGE+KYp1EApFWXZKXbdfbt95wkmGBjsnT
7uHh5Cs1Ghi7x5CU+0FcW8q8kWb/6Lntux45L1ExAR2hvZTRIURYlpyJ07iwnYJAAweagxe2245I
E99o23uIW7tkCRLJ4/gCU/eXUsYZVhq4GfaA5DavxjpQkL+sMBGXG03MLxo0ZH820yvTxQE05RbK
NiNo7OwFJdh92zF7H4t+BUf9xmn6reXpu8iOIDkMXcELNWjMCbBOsW4xeUVrVwgIVI734olirTIj
6htMa11vYlFmck96k8P3l24zp//m0gRd0fM6KgN0U7UsmM8S2qmhn9LpQIIJMleStskm0/Jzk8fp
xjDgeWKBjSK8PkIzt97AZxtLZE6KjXihbryXcrCgUWY3WFamwJi7h8Qmjijq8KGhvbjtZL9H8jfQ
oVbf1JyhZSSnhzxJrO1ozFf6SE5SF6cDobntVy3Xv+oy1/1s1Hb49fYOkhQ/k3JbZNZ1gcdvdCr7
0jFAJ9t5+Tan9VPsdFhS7OrORtIYgOvIdrI3tg75MTrIJpwzHsTZYsSQDbRpDXy/eS2Jxm03s6sw
+LVs0PuaSoMKVrHeRt3OlE0ZqI7caKTMr3BJYfrNLeCzEyqCUIMfa3yVqrdPLHKl5goW2pTVw0NG
0nzGu9NUPC0JevF+1JIgSyGZ1+ZOG7KTUCOMy81raCc3Wqa8U6lADPG664q78W7Sh7sx6oQ/ejKo
JBQN5uUFyuXh0m1zwtEp3hjEEmEMenqf95F8tlOnW49RfYwSNfQ7KFUuWrLY7C5riO+D6HZSiqc5
5Kg9evDQUpVQ0IpQeR5Zo8zAXlsXuaLs5zw2VzEJVet5nIpNOtCsk4zYU0nXb+y1m1jYnBXEezZH
Ej0XecJ2TfTyurhz9rHZXtD420228zqm6stsoYxFqNrBF3vJzVt0K7up7w91tegeiKLkfK3Dgg5i
zxTMNIy1BK4xcJprtbgiLaUetoYDNFjVmMNGg/mycGsQ9skgVFo8ibLe9lp5NVXggSpMp8lkPmCJ
dY+1kprNXcWJK3LNNtyB9eIc9g/LKE2rn3Z0touFscTwCe3kz72hrkOVE072dJaIFFbmNjyMt9UR
w9NKeS0fcbXtKchX4UXN0SJIt8Y/1C9/LCi4PBos40PtZFvLy/u0W5BUAAbY7ufz4DAv2Xsq7d7x
Ran+SYD8Z9fRVWo+DTWRqX7Ikz9dhyx64u7HYT4Teh+PEHTzdy/aox/4B6Hzj7vfUo/xDxM2On4q
JbLzU4HUNCZjIA1wrm1dtDbmA072/1SI/zTL++0in97MTxfpY1XtdGwJ52HTPWCDWw879asLfWhV
HWkKR6ubds2wZ6Pv7k9ukK9OwzHZPHTrcH2dHuRqB0rxUgT8j0G14d/1wz/cU38sf3Xd1IHvAt3Q
POvnVMO8n2fce6p2tlbRKbwGYHzUHqODDofIx6C2Ojxr29E/NRu5syy/uEBMdY1dciNXv1Gd/ysk
l/LtrwtJIKD/ZwWm97X9mpR/QnFZfvt7NamZDJq5Y7Eg0KNmPP2/alJzfmFmDIRN5U7muERL97sR
y+InWBo8y+HZ/RHWaxCmiBaS8sFeBtj8wX8xuNb0H/vK1KugXw2LrjJiTcrWn+tJjywWDLgAqZQM
J6I1cJZyAWTtqUial6E1WNcFOmbIZhwYHT/KZixZoWy69H5Ks3TtzfTCTiWZMgEi24ggDOQWw/Uo
3Wp6xYSkLUEfYHB7OmP5wFyc1D3XpfSAes/ukzlaM+9V1WMr3QqSz+JbV6BQai2Be6BUOGSSnzen
dwUMynuTE5IOkFSdbmON/OWVnqbxpiavZq5EzsYR0/XMrd55KLWB/LUpFcNDXXjuuDKseqbtUc6o
eJQOo2qGKOZsZEP9bBRN+kxhit2XJireiCEPr7CbRC7xf2lC16lxyZoPZ8xhbmKHvlfpe1o7hV8Y
aX9UFac4OXY53BR45hGQZLrpwwUedoAmLYhzjfuil8U4Ywn1qnk1tD0pWwTbWNi7tdy5UUgonP1Z
FMkO/c38VujK4jM3p670J7WxWjhpnpXWIXb2Pqv27mCILa2PSQGyOCrDsyAOTQOwg+vdTLUe2A4p
3gt6Z/4VxDNJGmDeDncz/9tUt9HWUcV83bVD+mJ4ZXftgWpGVmlr3iqn7XIHEu7kGV0tge3xaZ5L
bCzqOupU5DvRB5k51hdKM03t9DnLO/0OYic1xsomoAefqprkO/UjKwjJOrlBjdam46FwElO+29KN
3jlyONt+gWTmSVwtInlMEJ2CXLBQWieAw9M9xfTN2qtGgRdnz+LXjeS/lcugR/X3K9fxVbz/2aLF
L35ftMCjqIyzbHtJYP3VOfX7EVj/xdI1FguH4ycTqU+LFgpuFaOTy5r021Dt+7zNQG3zURtgxvIg
Sf07ejGr6aeaCv026nAdNTgDFNytlB0/FjVdL3sSHPBAq9W5jcz1lDrBpw/lT06/vPVPV6ACYNTI
0kr6uuUQiL4IkT6XTbZ0MqN3+v6qM9ND4jwo6pVnXaOX0MKzHE44nf7+eh/tgb+94vKKPhVQOr6a
hKWpv0pr6mX3gy47fZBmqwU6K9vKPQwC3om9IGk7G/AGpPEmHENrLQrhrNMFYQspV98jEFwyoWoz
0DpYzIYbX1pV/lC6IC7rVv06KNk3b1SellzkiiHpyqlox6dRiwJgOWHiR3LXbY6+HORgBLPW3nYT
3WXIMsYmqpNqG+Jo95ORM7PT9gz6ZyLj8c/eKhKQZJ/cuMNwwRiXeVcyXCpNyLeUIiPCUgpqi27w
xLjfltdhmEsa8caOnLHzEBsr9sp9qS6a8DS6qLwP0sh9q2hLMs3LMBvn0Yl3gzN3MNu7Lbkj6F3w
OhGHtiJWVm6Uuu22KBmOVe/gTcJWvyQTsIzeVmQD7eyGKlsrmx0Rt4q4nhnAEa9UtGN1lUfmpaDi
PJXFzDbQCWIuPT38Mol+F+fkNEhxKaJoP2by2HrhSVGz0zTbj1oO8mJZohAYciLRkzfTUr8CD7TW
0jKPY20yZTSCIasvRSjXfT/tJyM5q2SiIRxi9Z4u5TRe9i6DFzGTBxZZ8qIb1Mem19emyRmoKOd7
K2c+iJQ3OyV9eS4zsQWrccrm7KBWRBONqHIQU0AZbUbSILshU1cmoWMQUu4bMXGGUtRooxd1v+97
KbY5847rhbp2idrM2oDFQe3x1VPklRm7N10P+FuLcw5bcbvR6uIQ5sm5L5VbOZT0pPlaqoXtCdgL
sOJXJwahotnptR7JtdfTjIhHQGK6HZjpdE2rlnW9HnwblIdshw1clQBKBno3FSV1Bb3APBch3h45
gn8QeTbcjFN8Yy8HZ9lTc7tP4BL8EaHOXa0qhp9ChiixLBehhzS/JJ0zzFcmfByS3t9VKA9lbweN
qaU+K9iedCBEooy5bYzUCJDPcTIcTWJhGqvYjqq1xj0BkTu8oP2+axGMd7MIrE45eZ4X6FLZs1Bc
T24kMHAwdOcsB2zSeDCRwOo8IX6zoBxKK592mbTyfZuXmzqJkNtNyiHr5ju20JiDrTgl6KlTvBNp
OnBbhykSe1d/9fr0FfgpNqecM3cqM1927YT8XBa+FQ7u7mOZ+W/TW3ahv970/Nf8dcC11P1J35df
/H3TU39RASJ4JIobMD8hHPyv76v+4nHQ+m3z+kliylgIgakNSWFRqNJG/Z/EFPICLVQADLaH1vNf
Veq4oH7YlNiMXMNT8eeRpG4iaf25IVtGLKsQs6srVc2jXQ0zPMYIsWqJvuqdYfJlr3eXEPArdNSM
Gb2xP5cpWn6jLL60GEUD6itk8LG19gzW+kjaBlOsmFjGGKlnqkg9iJnpIVKw50CRY3FuIu8xthCE
cQ4w/FGdL9zQuGwtc0HAW4GlxFtU7I8INit/btzj3E5i7SDu3/W5OERFSn1vwmp2E7xKpnO0dfM+
smo4OYl77bHJBmWbXAu1fWUkUvquFT0MhVUj2IojvxxRGiDZPtql8ziGGTQwhqteXj3aI9tLhgDQ
AaZjFUfhkkLWyvi+bFHnKVqBaUpeOLN5Axt5o0XKs56MfoRZWABfgitRX9ZO9cRuczJiuMCxNW5p
CxPjZJuvIndx+I4kcCqOWCc2ViRtzHNyDUZ7NYGMWYOIhsE2DDynKXpBOeoo/9nElkiyUfYnubiY
o1lqW6aYmxRp/ZgNLEcZXlFFn89GaL/por7L+mkjXQ1rSlSeR9MmDrvYJzqCPniVZ7t37uMmjJCJ
TE92Qi92yQEPHM0EQVuS2WCQDx6UurMFcnndjqWzYdE+jBoR2ktD2hX6vR23qCFzPfTtyrtKB0c/
5aGzI7PxtkHQv7d7AAeM++2J8S7u403iAH5GlrJOxIyu0xDDtu3dJwjKQDIaxA05mQPwOSBDFtUb
VKUqSAWUBJT0m9wF7rS0LMW0w1+SrnC0fmlb4x1B07usCLCPGvNEd3o/Dg2qIjymayLozQfDytRA
nVyG90tIX9mgEbD3uaUdrT7etG6UbbQ8adfTyJhdj+xp637wHEqrF2s5LPBn+dWbM9kymE1SX22b
7dyY3coRzcFUGh13br3zbHaiinzFFaGQ4K9NouOUqMSlNb5mnnmXqEgfOrrihGtBykB6qHmPlUGg
ddyI4ZYdpVknXjSu6Y1P3AhkO2hzr61FjtvMsPIbD1k29hcKrgRzj2cjR+006FBtGuQR0xDHyRGR
oHbYGE2lw92w1Q0Guhzt4txfTHp5jev4zYikeS3C4sZtTYI/baPFHsF7iRlC+srcrzuzAgWszlcE
xSNlKLDOIMA4h451GRe0SWs1RW2S8gFSDwqhHbrqOjFNRMutewYtFu5HuzqNS+k1CHnw9Oqr2eUU
ZlP6WphFvXayLguUUcmCeub+kBaqCrOxoiCela1BQvz8okfG16G9TNM9Vv11UuGPbkJug6EIX6d5
Jml8ao7hnGmr0kAKQT+7JJmCmjR+UKLsPet5ZPSSxJC6pvzwgLkoBWomxjKLYPauKcNv3lCBAx+5
77AAbhmHRGsTTQXjD46CBGqUl4o+WketLO6UBBPKOIC7cnH0rR1vDoNxHuiFheFHcuai/hmIQc1c
DI00t3MvuY1b7mbLjCgz8jRem+RZrMYQ61E2zddVWNtESWAZ6Yph9utJuTGANwQqV6IFjdlcGaB+
l1kWboZJpEHVCHMX830NZnzIJv5WbzTXhWlc5FV3q4bqXWglFdTU4RCiNlhzHB+TVVcRqnhVj1r7
lH0o4u0PdXyHTr7/VTH/oZ5PFiF9s0jqyQhEXf9fTfDBUNL/9iB8zl/f3ts/FgTLb30uCPB0EJLD
UZC991PrjngfWnrAcNgSwBAsfejvrTvCFTQ6c8yAOTh+BPX8XhBAbYYFYi5NbM128J38m9YdpMKf
CwJ6gJrGiZuoLTZI46dz8DDJwRSmI6/ECG/MFAQ2D8wBqwEnmBddQVdM33Dllow8jDtMjox0DCW8
dR35TYnVDYYZczUbpKZE+J6AolOVO1j0iLz90kbgAMfcIZKgL29ML4+2Kg68rRxwoxQExMa186U3
klt7mB/jQtiUw1gm9dr0IaUV5LzUQAM7jpAOum16TJs512+5ViAFaDNK+zjQ+4mIW7dPfVpVR5F5
91i5iYrPoq9pBzq4pbVtjlf/j70zW47bSLPwq8wLoCOxA5eDQu3FfRN1gyApCmti359+vpTbsttt
T4TvHb5xhF2kVFXI/JdzvpOwY6tcJFTcuHcGs/kd7vKRymW8nQ0EXtRgTuAaiPNkgTIsNmgJmo3Z
gAmkjkKvXusHPQHx4Pdg4/K097bDUptbM4/2Tl7AYzClj8jcemx9jhZiyAZwT0PdiQDQfIpgcjmu
emZt+jKBTyTWZ9v/RsgAeUnzVdfJkzv2XwgXTjFOgF1m5wrGbqEpcUY8hfa8fI6iOo66u3NNJDe+
SJ5jHYoVxrpN4RUo5Vqqo3Q9ZIZ7M6UuUA8YVFX7zOjtnYbxTEFFrtgaquVs0+lH0mbvgFiW5Bk4
9x7vUEQiUqBVWOKK4rq1/HsnFe/5vHIesd4PWEutwDenJ2lYr5nnXxs1205SmIAlDHqnyI1nIPOP
XEbsSVfxnCJ6ZIiHLdWMnuq5vWYkcY5bPBMdex1LS77Oo/ZYm8NlTuZ7xPg74WhfBi37KPzMDmw8
e5u2Bt2/FhVBUh1AvGV5EAM2vcbyr/iYLhMjm4abMbK+67WNAE+ZgYd1R13W4VfCp54gi808zAox
ctQMNHhbVl/N0mFa26lBxfxmDRPfL71pmFOUObdZheuk+IYL5MVvTTSmVMJ64ZwGZzlUTs/cgzGH
kZiPNvTVOMXPywD6VhdTj88Cf7QL/TpotSULtWTAL2kyrhCQVbOeN2kttQzqB/QeC4Jf79RbSBmH
BbWev+36sj4RaRdfG0P1PHevhPFSnZmvEsEDQerikMR5GmBLfuKqTO6WqfWPEZm3QeV2894aIxbt
w2RthkbPtsuQgAjS6u92NvU+jpOmpzRIomxh0JM369MIiiMPbNK6O7RzMC8eUMQim9Zi8zm1MgxB
+vDAQhL5KMLTGWFr6E9jyCg7C93S3y/11JHU43lhP7XFKa0tV+FrdDRU5ms12hB9Vx63IuErjc/b
oaFvN2yoTTggMow9f37waorhKklu5mT9ZiBUSpvYC+E/7gRN+5ATgr6SRL8tgWExzI13aGqvZ8sK
MIFuVuG9pDajBI9JVu8lO6fvjynhTC2otWKubot02GF1weardeeq7sD5jP3JSkoCcvP5KbcIxVtM
nXxqEtCz9nZuhic/9w+tSRMRR9M7Eu7nqkKJKUguM6JmkxU475tmXXdEdzwDb4GNtspkQ6wNco/R
J+vIxD2XFBcxkaNi6gYxyxlFUW+/1ppTU+Bq29bMvy9r81Rn7nPdpFdFa73jryKnTLo3DthcZ6gY
vDQMssxmAgPTx5pSALyLObv3jPLCh9cEfrZOQZ+7T3IkUGUt8C/Zk5dsG1JaCdW0ULT4dGM5Yuee
h2nh0aOTIendOEIAGoM06e9J/T4Ohn5iYHWOhv6S26iZsUb0ZNw6SONHWARmKrH/uR4iB6mvKAr7
T41Qxl3lN9muH/w0wOF8XUa+Rvb2sByMkjiLOHrTFgkseH3SFuzFhEF9wLvIHhYs2rRY04FiFAH6
gg/ejZsPynokPa2oN5UsnxB0w0mtP1LCaTcxHKbHuWwPWmkgDBrQ0dZ8GoVLLtZAwQ+QlmNjOsKc
ioBQD0ifuR3q/sM3Jou6q+C71slhsoNCxKTrtFA7EOoUMRRXx+92XdR3/ldDEiRy9U9F9KMisihg
/npK8lAVb3+2zFSv+lkR6f+ycUpTvEAZsxnl/25EYiiLDuQWyzH/jW/5tSLyAKr7utou/juu4rcR
CQZdk0BDAuAtA6gUaRV/Z5n5Qx/5m36SEYkLGYrVKHAZhjTsBv9zim55MmutwVgAs5JJ6PXgpkMi
gIzTMuXkiOuwEbx+FFdkxkUB4Qf4FOxxfXb9qX9IRFXsOfnSs0Ols3W1Ho5V2iRbDxpxUcBAH009
utg2uGhwjrweeoOF3IyCQlSIaTTPP80GjzhScmJbajP/wI9a7hHDRvS3PPZt3c1fZZLEJ+bRpNCT
CBCSn6YYGR6C3HZ59o1mkxTm2xJJl4tL93Y9cVfnMq/8bVtN8wYuTURhJm5YUMBVTHNAsw7xVwzB
DyT14YLxzb4NRLb20LCy7LNedNVRljLk+Iu/EwX4msxxtAWRvcE6cMqq1cd2UuZHY/UpCwj4uo31
+IvIl1M6mC2wxfLOrhqxTUWv7XsnXjknBvOUJPCM6V/PhG10R4bxfkjKtrXPi9LajoYRHRw8LEFq
x/mpgQdJXsV4t7aAd+sC3vKgcUFptr3NgHEERuxfZwwCqL94d7RBS+7TCaWbTHX9puvIq1pcPC5N
0p0GI/va1O5MudeXamWQbfUY6wbslB6sPB+YNultWGi52FXNdCAPCK1zi7fGHveyxwFCBnj9NlZx
djX31qeWVyJsBKo7CDdeOJXFhvXDA9XWHeWwGeTzvDfG4tn4cR1bPnc6SZk3Y6PfVob3LOLO3RRm
eqw1sZ8NCBtuQ0FT83sch7TuYrRiykS7JuRcnjtT/7RtFWnhTA8j4ZlBZ1C75wJotJTiBg74oZTV
fjTtSzYDnZvEPtHZBaxFrAMicW6XKNutcXoj17Qn0oey1qKYREV1ZS+YUXPtCYBSEa6zdXYiNrLr
EH2VRvtuUkiEPr5zNHH7yl6egMYjcqPuBcpPod6XxiKvm5wQR5RwJA3g8WkZuan4gaiaLz50FJ4K
meYX3VEkw2EpqlPtRyYzqXa+gP5Ij/8cxL+0pgyJ//ogvvpsPz6//Ulryqt+HsTMqsl4puhCJP7L
1Pnnglb/FxwCMoBgb6kuE/XQrwexCyoT6qWSzjv/Jv/+OqsGsWUJBCemSeuKXO1vHcSwFf7YmnpI
UwzgfKo3pUX+g+7M1IwJO1Ke3+jC6tsTD00tNukoLQ1sTu4qOzGpchS8WXOH6T8cDHkktPwwH48i
yvalYitNRpD13nOyzFAp0/GRO6Q9CxgLyZdI4Vacnqp/gS68kT9YLOg57Uz2h9qwi00KsaXKl5tZ
K0aaH+MtAtS5sdv8XEN5KR0Eni7cFwjue9wkK5x6+Lli+uZAiEFVxg8gBucQz7CtB69iI+jfoT0h
/rY1tjKTDvpWoDP11OfIhOUtKTwADsTSKy3qjQerBgU0A2VV/McKZDO33mF0avC9+XSIHOPVUtCb
qVoYJSsQTlU145aBQnaoTTiTfut6hKFFcG2a5MuQN31Y2nW+j5Wneq1J4jJVJtfwI55rUkldyY/Q
rqZWAV6GyvKaVaoXh7Qi55P01anML6HSv9yeHDBHJYJVKhusm0kJA45sbGKd5LCFCLFGZYklZVVB
ucHK5TRuv8dJ1u2SHxFkGKIpq4kli1Q+WamSypakZees0sv6H0Fmmco0ozQ1z17dsl2Q/kLTRf5h
k54sV3P0o593Wr4zJnXku7n+rjcmlym7b7fJIIUzQh8iitc+x29a6tAJwFoIW95Zmd8iKl0q5p5t
/gmW7YXYh0sl4HVJ8BgFOJ4NQeesabWrThE0ElAadl3cz0l5qkFsGFp+yaZU0fXlo6koHL3CcYDl
QNHNAngGMJT0bn5rZ0vKrI4ZcAb9LMnWK4qckliKaZvXaq9I53bMl+Q4SMbK+PpKBraGt5Vr/LHO
iIEjAcOfI1LuKpWzZ/slMbCt/cGYug2YE+UbLowuNIFJDnofupLgYwWKXvrSDtORpcHCpCKIIuu6
dyYZYuWFaBSjexJeDJGK/zPj5ya6v3WXGqWiUBg72883cBxGfH7pGIpZXLs2+ek5wwxC3PLuJER/
dlBrbnobXFJadBppMsZXZ9bx6y/VA+bVlNyEidTdsnPJh4UCBPSJ0QWBSZ3rfsoo/kZrX2x4ujaQ
DXDcadntYLMLXeBv62JwN0O3yG2F7ofw9cnfeXz1hW7hWxNtH4eR3cd0DsTOAqPKmHCcyq6vHv+5
P37cH0pF/P/cH4TAlv99fagX/bw+/t/4I1WoM/zjljB0ZXn79fpQCHhUiVhQmB5QY1P9/3p9oGTE
/c7QEymhZSFL/Tt1PIvTP14fiIhYxFoMX/lT8AP/s45nQcNQVmPJYcrkuTFBCBbLUgZl3TShvsqd
1zh7HS6TvWgYOvxn/IQxIxRMq9J3HjPPujKr/kjECCxYL+pC15U4X9Nkqp8KdCVk1Ii7WCvbYw9b
zA/LItPejYJshqD8EZfg/ohOsH+kKKg8hU4lK0iVsSBU2kI1OA+Tyl/wxgVhEOl0s4pmSMjsbghr
WAhtwAz5ZEIZDITKcxAtyD4CHpLUO3FAc1x2H+0K9l3JB+JM3NdEQzAQfDbGjtlqz+YhIj5irHGO
DFH5fVHJEkjudpFF1oShUidsY77piaFAOTAj21TJFERUNCqrohcR7m4iLGJBlgVwRH3Hqs4lLk0j
/GKaK22TIJTQB/fGBK6Onvq88sQKlVc+qgQN9hTndqxfEhWtYbn46wvzDizytrcxrKakobXEcSA4
4XIkn0NH2SLr6rshQNm26b0/1EAeTXmpY3nU5fKcE/WhVeN3gRgnFNriUmGSlrJyxAWalvfsePJD
02m4sRNnoxEyFEaGGDZ2nXg3xlIvm3UhZoZ9FY5f9kK9z+iwypg9SLFoWy/PV9bFNQWycD+SJT6V
pr7sEZAKbjd9g/IJCJh5GIYWtkcLuFCkC/F/bVPjTHAGuecgVCO1Qh5pnjZU61dcYyxmK27FpBx3
lojec8yneTFrgTXAUiznt9ip8oCfqaKi8M8rt3xCQmliam8CwdOmHXtwZbmJKd7/XFSWlMcbu/VE
NwCySZxLMZlMPUqVOM8Jb/SyOutGPEI/8rNwbVEejYhGO6ewILu5oQcAc19qac+qtXGuh9SDU2Yd
6b6eKRQPYjCepxFySZx0Iuw7Q782ayO71CVO79h39G1ic90TvIUfY2aeDQsh2i+6Lq7r2TTu4BOA
fMxHckXrwzLFJ5l31C2N8Ya8wQaws6Q3YKGnDVXKbvHkbuhhv+hLWjDAKt8Rq+2MMf1S4T5KyT7Z
xgmfZ0bi6o1lYcaf5f53h9qfaPT+ywoAZYsQNvTLWO6Ab/yh169Nlh4FaqSbQjIS/IaDZpK/NCB/
acf8k1+BzoJlDosCHS8wBfjvRXkLcuYuSx3rJu/eh/x2qR9L/5/12y/YN0VA++s7atd+dn82bFKv
+vWSIuQUmD39Ddwxl1uHRuZnj4Meh97C+A3f8vOScv8FzsVl3vTDaskU+7dLygb6jxDHRdOJ2VoZ
O//GsMlVyp7fSTYZNiFis6GQg5SyEQcp4e3vvx05qaQ+cyD3Opq7U9w3Y3nVT8TPbTI51jW1Mxzb
vTd13aaN6xrGZBHlelj5ZZ2c+yx5nc3uQSbNEiZdifCrH/bNFId4pnCRidIAflAwZPezdxAVKQYs
O92i+G6AQtrXuq+4pIX2WtHnlDJ/mQai0+56t04e8jw9+BM4SheyZ6F17KxS7TqPSg+B4AjhUGrx
61L3yS0QxtS5TYrFvbVLQkg31hRxKzmod6rQjqQoHx1XM3dR61Mlc5RGPXrsLkmfB0t2bBnz6SU3
/MTEb1kdIDRlzJFFezVl1mka7HsbDXsYgYoUa/E4WCmJ5Un9AayW2JFkeJc9GwZCi1hYmO9JmXGt
aNa1MxgofObngZHWxpy0izZqoSYZO8dKBWPVtR56C/P1roRwChrkBdGFh6cvR5dgP+QeuM6stsNF
S78ZvvsoB+tTWNzfneRNsb3+zjWZy8SoUA5M/TVmT3X+dVHpqfmUHgRTsLBRtkhZeI9NoRu7qsyp
PUz4JXNmHBIcAuU4tiFkccAs3Aq2TNygRLkfdCIH0JURWIhFgQWoodK75GY1EyoLyzjQkeoIbeC3
+stsHGmYMHQO4puo4OsORLdhGIhQmHR76pW3OKmYRboMjXwWMJ4GP2X1H9yogBGSdLs50r6xK9gV
Yj4S+XIdtywqxqgN63Z1DrIk+bAjXpYBIuaNlEZr0OTHlPhzOC7lF77SfWD4o3tw2Bzv+HrdIXHp
WchU173NHWGt0W3hY3mNK1ykiX4f1RqaisJNAjG39iazCbnn+wbJrvoyAJogP70/9XyCPRec3STp
frZp/RzRVFtknkdJsTQ39ove9dcMBB4J/co3qCqfZZzcE00IEVkMez12NJh3XJ1j0t4vbvQoJiC5
DdSPSU/rkHEmu9M0XQDiRrdDtB6WIiLodtY+2kZLQmHRJi82QrBV9wHMDpKdld3tMdUgiLaW9VTV
7k2mMn0rD2JNPZTmRo7IXRtruiDS+lYUKZNPkuHbLr1ysroNUuGel4okWOGTDrvEzUbnAQgRmb6x
+5iIou1v/Nb6MrJW30i+WUG2SFgBg/ldLiphsK5INashILqHlXcGjMzM+LfE9dHn45MxreVBs/h2
RjFz0q5IQRUb635w3S/2ZD9wN83HsQKSUbTG0aNFCLHQXJJRQ0ZkYegV0rJ2U5PdpLETOlp+L4vx
msZWoyJxdeAu+TaVPu1t2eycAun0xKqP/eu8BE3pPDIZHClRxffIsACxFh/cu8dmMgU4cuaZkWZ8
Wp32/CNwUUr5LImn2Br+8ABSVgefJ1+rxTrbJKYr4jK1rXVyrdm5MzOvdsO0AzeyJA0TSKokwyYi
h2CNYLCbKwLh++0K3pkh/HtrGq+N55sHXxGga1DQq2JCezTnodU6Dn9VlsRQyT8ixZAWLiP7sges
VIuCRSypnoNiTkvg07VjPSCK9zZT4iEeG6IpxJWThVldl5syFdcjArItDtzPcWXfX9rOVZbBuh4V
9TpX/Gt2xWCFhsanwpzMYLIm9mA8yboiZ4tosq9TRdMeu2bGng7i0DSa+0kxtxcP2aAOhjtXPG6o
tlC9YaSkDBPo1pMaLNB0XMB4S8XzlorszWaEqEWTb2vdZh+O4n9jmoGHCRI8tkzFBocSXoELz9EY
honrFDvPWyXhKum6L8GLtwBvSpg88RTtK8UfTxSJnD2xHyzdBP22l8QrKmK5Yy/RHQy9eucqnDlY
8wxi0K5XpPOO0Ndwcj3BGB0OejIM3/JGZDtS7c2TAQSUghwFWg4//pCU6NLXSfLZTAtQYEVa10o+
1xjJdWCDYTcJkgiQr6ybwh7PMaj2CGS7lq7MMTD27KIc2SJY9zhx4c24zgWbFeoqxX4fxuW2HpLH
0sAkDuIGtjhk0mCASr3JzP7DaSQCcNAN+1mR5Rc97jfEecyBXiS3fQobIVpFmCsifQ2a3uyjSwSq
nv3r7ajY9WbWiNCIJspSwPZYqz68Ur4XXQSG2gXmT+9ps0CwT5XpLdtIEfJjGEiBAJqvD/lblWu3
BTD9PNbY/uKI3WatDn3aqj+L1f0eS0EEtAmNv1Vc/iE1ynAqxGutmP0j8P7IH9Bv6mIMp6aNNhWI
/9KTgoiQLH5ukiJE8vXKMge5Ao+uS0BAK/tX29RQIPTX9Q/nei8/SAj3t7pKFyCa5hkoCmoDlTxg
EEGwilqEMHWukFdEQVXl56KlErG4U22VYKATZYCA4OAO0cVTGQe0RKciKv2wyTVCeMsXSRzCXBpq
iElCQkvDwAd6QoBypk/6pgFDnmYsdg5teNloB4D+n4Aadp3iJ3fkdXY1/3UCrUyM8WWNz5KY3Rbq
ct3lSvf+nsCrZcsvggxG85AyQbMVtplY1NPaTSgGcj4ehXbO6u48K9hzCjxohzX2E040Q06I0GkW
8z9zgI/wotNWxcQrhDRC7XRP5faVCuyYztWuUbhpE+70qgDUAyRqByJ15E8vuskPV6jqKcrOuYJX
m7KHzeu/xC5Y6xppoXDJAKWIYTJAW13GezsBhb145jUUgKdWQbIRC0EwYoJYp/5lMSKIF8h+Bw1L
hpvZcPCgbQ8Kuw1ndevo6FYqheTuFJw7VZjuUgG7zXZ5kArhbSiYd0LdSeOdbjUF+i6t9uhC/p4g
gCcKBR5P3s2iZ/uKXAG28Ya3b6HZ6mQEQxFPCnDimgVYHGTJHs8BMa4wxytzfTdhkDtT/O7BJLcU
nFyLRMKH1bwRrww9zZgym4t4bM88Po+xGr4jmXrWCcJBOBp4Xbv1DmYMyLYqjmOfA8w367vyxzhf
lLBUtynRN9pLMlaVYL5Zdu2JmfgkTQTMozfu8HFqy93Cp1MKO9VCK8LlEq/ulIaen5+qCWbETKRU
ILR2v/qYKVri3TUWl2GZa9MutarQkvkQRmP1JfLQNpQewP1xifVtYWRPZls+TATI7zrT+t5k7YuV
oh6SFF5aRO/M2uSYuNYbUVK3c0pybOKinUlSopypuzrI/lYT2BMuDeYQxGcmDMCZq+IM4Urj81Of
HbX54C801cmlacnZK/Bazb17PfbpjT+4FzKLkJR02ZtOXGvnWxd9XahuqvqduwX4bsGKsfTAxaXW
qR/EJ7vYEpGTQGCO58Mah1sk+AlF3rqfaSUC6pophLL+rZ0kW96EQG3BzqLpnIvVFPcGNP2yRy1v
y2o6cO6yrANpQfrAprS77jCMPNGZwS9kmbfJLZKQOx3ERgckb62B+hJJBSAl/5o36cZKbnJY/5lN
SvZsHu2WsD7fG6+1rmwYwPU30gaBvrTY23U8BwtRJLG4tknlK8rx2jJQwshAW5uwbbX4hPTtJZ/i
Y5+kr73bP9V+hR1pFVuv3c+O+wDBgkmxvF4a42uKUM/vNE5GGR+hla3HbCi+8gd8SlLNCV1qwW2C
gOjMqfDVktX4IleGJVWTneckx94A9XazyBU604Lm29G/1KOAMZHfTVP5ltcePgagxIhXXgu7uqRm
8iKnJA3+GTr/GDoLpiN/3dCjy+/bt//ZVF3/9t+zZ/XaX9t6pLO2SUdHi67rJrjU37X1aEgsSP5Q
h3CeKn3sz7bew0BqGkhqDWQdvwhuf5s9E/uH7IJuXM2CmHP/jbaemeQf23pWpjBc+ZlI8JlBq//+
OyemL93Vh1Iz3hRjaiTRpm0qcSpm3TqVa4VPInOIeM+QmbqzdvHYfpG6RjkyZU6YlFxnYDgBs/Tn
3JsfRuIclojtVZ1wIgyTtzL0XE9+2j9Pcrl2JQ8YsRUmOZdBo8I05/nk1INDXnJzTFc0+hKMyxTF
4Kpdf95jw/lu4kbDJtawiCJXj7BvSOBtrjWESZAJlmXexlIx0n6XvC4O115XWMvW7xcZirZ+tJxh
YIKpASxk9GvWK7HzCCAtsj82bRm9AOALe8NZNlQLME+ndxzd5KE1ZD/o7kdDsQgZMf3iNEA+UAnR
d3lscVNy4CrjixNb9FkgyCPCqBOvpWHt5MFwRjscKw/YOL3YYo00VOP8vlQRE4AZEy+nD06Z15Sg
pI208j0AuaOXxBCQ5gmWxqhx7cT1t1igZJz18ktdQZHG5GqGbBg/nchYr0k8eUupdM6DnbqbFpA3
gBqHq9PT743OJR6vihJEjBYY1W4mt23Kz7rdjEjq8TYFANpRxkGCWS03xQzgVmClTdiN9rxuPZao
nPUrchtus6tFeHOYyxEeU0U/GhXasun5NgdUlmhP0gqnikjRPoqOo0qJijwlLzKU0GhSkqNKFFGQ
d4W4WhxJtK2SJlXtaHBN+thAZ+bDhJ+gpvCUrqJRCotRaS0I6UB2wa2eXaIfYgwNWcbQIqwOcI5G
77OXauhXbK0hW0bcRX05bTVt1J8EO91xH7Hz+aplfvzd8nCiSDhnwdSzf849j2PTQLeE9xhVlJob
tOlZ74yrfiH5Wp+2DKYunP+vout8ctGH6zYpWWNH/bwD9kCJC+Br59r4jq25vrZ6o981mFkzt+23
je6fI2pohucpdYy5miH5HWT3WGoapgNLZe+JVGfAxrLFROyaZb3XUye/qkgLO+dDPD770vOOTgUz
PNFEtNe8krm41n6fjUg7SFKIZm9JT/8c5L8c5Jxof32Q/698+1a1f3KE86qfRzjqE4avBkFqhuHZ
avT+czKrk/2GBtD2yJzWDc7937aHrmA/KED3qFP694NZj8hV2FxgUH45+N2/c4Kzk/yvE5zzG+Ce
jhmOTaESMP7+BK9qe81pc7sbUZiPrK0ejM4+S6u7y2e8WpgmklMsgknq1iFbkHtL5eOJlKOnn4co
EE3dBO6CkLnC+CMsooZwOzBGsXrgY6uOYVFZonx+VulWybbA03X049bglC8eWuUwWsvKC/RqvtIa
6NSyzOoNjz44/tkmskK5lIrR0AK4r7QXWJjYztlXRGCUl0wR+SuHpzGOyDU2lPmpIynBU34oB+lg
sLblY1J6ZL4r05Rou2ODiyry+njb5TrXkiU/V5xWrSi0AGTXocKDpSkzVtR0V6uyZ612/M6gPAsa
e+Ckx8PFKjTTL7rydSVvrcmGLcaVHzEOGAG3QG/B6k+AEpvSmV5j7eptjV9sWlktzX37bcBJpvfM
rnzBX6hFFtHhNgMYQ99RbrX1MmBEmy3vq40xrVIONX+BN+djWmvj9jZVLjZr9AAsoZ4h91Q53Iat
7gk+EtPtAqz33dFVjjhyUu9xmlt3PmY5ugsS4bzhTHePYkdn0Wkob13njghkHPLDyQjpGVMrp0E+
6SjMvYuBPW8ZUiugGA4zr8Sd2WGDVF6+xpTuxuvIe3B8OW/ZJjbbWLn/4l6A6cIQSMOf0WTXe+Yi
py53Hy1/fdOVjxB3ftCTNZ2Nic+Yi+whZhZ0hizT6GiMjYMZESksTgLsib4ps00e6aW4ra2+fIDD
xi9uFW63ulmtFtQtbbUxaop8/OZXiFVaAA/wqfUvbTNetYk/hJpnZUwKzE9Mp58jFosd5EWahc6L
Du5sv0seUTp/g5Kf03SXTsODbcTdWXriNGbZa72S7dFA37OrZF8xaG9QmzDCxgfax5EeVHmEZLXr
rvts5fEZH5M4em8SyOyl6c9IPuQD2wI0hMbw0pjuEZESkQx2dUoXLIoVl9vOg0/txPZTm4gEfAXw
vjxbH/iZ06WhxIJdV1XbnnxPpnLEXYxtybjOVx/ejNNQoHcM9ch66aqM2n2lcum6sjx1xoAQFhpR
kCxpE6AmxSowd9WXWETxoQRbcJuxuQkmE9p2ueg7b5DPzIdIBQTyPAOmR3XJULs263IbFRmmyjRP
edp7NPapsolmThK2xnAUqyeORLkdXT0q9g5/lqBxzCXgWOyBzne3XdavdCAkAffNIaNLQU6LGibr
s01daDpPmkX8hTCA/lmJG/oxGa+WTpQM/6JZ9m1GZVd145M+Z2e7HRg4gXe22ofRRQC1dnKfaAi+
SthD+KL063EenlKkBWRVJrfSGu7yeHr2cnxIcv3CEpnsEGwwgayyZ4eCwprFYem6x94DENEMpQgQ
JNHOFfMl7+BTi7bayQW/s9HOV1HLjh8AyHae9K1r1CdjGErGh8N3y46+prF+Y1UZLN/6liqwQfrQ
vUcR5I0hX78UCV0ik2hvW2byayddAyERtWdv1I9VYp1njXnrWPCt6UF358/mkNmH1HJKcw82y9gm
1XzylUPynyv8lyucXeRfX+EBaTyff3KD86KfNzjXtOs4vgf8y0C++fsbHPaPujh9/jEdGrSfVzip
GVzeNEUKQ/Dv/uzXJsz/F70ZDimDRaiLauhv7VZ/GAn+c7fK7Y2sFb8AxQT6gD9c4WM9k8gaJ+ZN
N1uCh3s8TouF9iczsQk5DZMsg7lQv7y4BvVkF1sfrelder5boS3Q22VzZGGMZ9GKRSUoRXmlgYwN
vLUeQkAj13PrdCGozwrh5UCEZPmawM1fZHGPWHJfLv3JMI37puaOz5qFbqo2uqDVjQu7Vqh7mkuO
qE+GpI/edJ2iJzrDF5tJNuftOm+cWd7YsXlDNsDWb6qTiyEsB/1+XFnPbeCDeWDxZ8ScK5nf9Xer
Tu6HKbZPJUwHRivvXsqQqFuxkskqyA1kSaYB3NIhoSlUsFwxV4NavT1P+vA1x3S8SfLkgPkMbT3N
TsAOhHRxzttNWpvXuWxORU7EztS23xvCTYkoqDgxC+8mRZa4meLmhmVefZpRx++YxMZU5Ehb8gTR
vC/i6LpzkMhz5TAvaqz1u4dk/Xq03I815c2tI5ncGdFC1FbXfiZAd64yRoO2z3YqMupln5Sdd9Mh
AMECP/GpgZsI2riPN7lEM8O1lpCkoDt7mkIAYi2AWGt24zsRY/Fi+kNuZZwWFFEmXvBpAvkpzXgr
liID/AuIRktTY58lBaCL1QpMZwZMwTF3kFGkMw9dxL6wuhQJTx3trMks2H/3xLHj+tyWZnZBknpe
++yGAKljv8RrmErve7RmTpBBHN5qXYpca1gwGUTusqcbKbYiwwgKEGDZum3j7/uM5iab22HvGzBs
JNGsOMX19L5kl7IfapsUSF1kByGIRwHhYQadaWp3qAfQ/K/8TZuZ7VbqCGfnxbjesmXCfVjF9VaT
gx7k7PNPjPFIfjMSsK/dLcGl5TYhVoJospp0HUYEaeLgFcMQhyKfo5jRHFrPVb1FLB++Tp2dPZVJ
yr2X+CV41TIKjJmxMwN//QbKcxwkNSLllPcdVa2GdWZyUxTYFkWwO6TfckmHLzIGcGMstYPos91g
E+bJvoA6mrWz9AlFgZpN4ImV0aRmkxe2tSw2zpg5d6tORts83KNhJTjYyHQ2mUZxTRJvf7Dz5ntf
ru+9Pia7vsYcXPhFe5Xqs7kxmbgWbeMcgX1FF0dzR8I6S+ve0Ibn1K96LRQ98J59Ysy6HqRD/QGE
h2gNDR1rgoe185KGCN7lUccSspuZCGzE6J9KOH3bacJ97I8DaFyoc7VLld8X8TYtS+2kWeKQmubT
yPVOai08vCY7uVl5O5F5oWnuVWd/RU9+Hshl/UJZ/IkC+zJbLOjLVs9CbxqmywBq4OD77HDSlg1N
nIuLwW9LEH+MI4NpaIsAJIorttt6MPru8wp7GC3s/7F3Hk1tbPnffyu3Zt9U51D1zFT9FRAZY5zw
pktg0TnnfvXP50hgE2Q8d8RCi6vZjC9w1Do64Re+YcQps0p+VFYlJJ+S4wwVJUCSZxQ2kmkmih44
P2SLKFAok7c+FRHK1JM2IBoq+fW0UmGaVFi24aUh5IiTy0byruPe/S5nzQ1cT05BOW9nVlSeBp2y
7CPTJHHAe6atMo9mqULyrQH61TFYCSvyiRGJkrhqzyu7+9rAlJ+BOvsAadieZImVHlOa4zdrGc2D
CGRCXmenTSgfxXaL9jB6SaGcFZcgwoYJtkDIs/TOrO6BB+FtAokV0xFfNW8it0mMeZb256la32W6
dZw2xjeMOo1jHOVoEY23vULhiCbKER86PvTBB04gNuJsYl34IaeMkwHlABoeOdSL2kzBwMgEx1bM
8DxFzSPortImOYvVikg+iG9r2zmyUu0C7tBC0gtapz5QFXifscK/jaVvB8G0Cpr7KrCQ4++wVM6G
4zrR/XljISGpR1cupiPcBYBstOHUr+OrxEEPHW3mOPLmvpnSXIMp3yTBpziop41qlpPUBVCdDOMR
jYszkHOAAftJ5ahTstyV26TDhHtMGhZoclU2eRGetZ6ZfgQvXs7/iY3WsZFGOeD3sdGHuEmWW4Sg
xF/9DI4obzgwYfQ1f8YUlYon5Q2d8jDuAKrNVyIg0A/1DYIjnR8pEF9EeXvNu/kVHMHFUUHUrFFn
mmX8rfqG9aq+AQePmE1wa+hxg058Xt/QKY2mmjtwcsfwT45A0ZKi20V0HmLyo4/Vle2PX13Am2pR
x4uOXqYU+BVRgTsxMm/huMi9BBCpyzrnasrKK7PNQH3Kpw0GgWbSU9StZmNzBAroJvPwyfIo5nqX
CrXD8yyo7CkgAgfWFw33CB4bDeLxR6w7+F03MPh0176xdNzFbE2quXHrG0wnj7Bf8maa0X4Iulqb
F8BY+bl8OrZgUAADn+uybdJ8R6ZQahABLeVVkFf33aj+sCV8FLMG/yQEF64Tu2eL9/oNqIOv5Qiy
FFUY0niTkGp0LlJzGE7Zmx9NwRbuUfODlwHtHTg5/6e6N9xG5xdBX7cEByqdPE4HiBqurs4Sv6SI
nml3cvTNGD74lSkAXRSNuxIpAkccD3U5AzI26BTPsXucYHSu1bNcG7pj2mS1s1QCvNznQQ+TCdgw
Hbw+jY7orBcUieiG11RH57JLVxjB256bEOd7irNogKttCXo5KCHReF19RdORKG2My6sWzxtiCBqc
sKeZKlg+VGcphPgFkVGSRjCKCvNbNlJ+6hqYKXqpczBnoBxqISRAhp3MXcc1FqbVDVesTX0Scj7P
wq6d+pmZnTgxSBJUBIJz15DDWec0FWRKTMD60hvoO3M/zgqKJhPJ19yFEjX3qoPTKAi5Bvk7Em7F
lG5bUkza1k4xXwc4SkERLKCXdwSCc8WBbCAf1VFmylmqpbDPlPH3oowff7A1L5orCN9MImkI5o6S
ouoYE+FFbWUsuMBXSa84C2NAkasoJZx0xwytazuGJE8ZfGlnANLUIZCPXFlnbmRaMCkB6kRT6qic
KZYVsZyk9DYfUpqFFTXoyqhITW2pPO2srDv1uqZcYHhKQUC2tUVem/GcL09Hhs+4D3RLn+iDf48f
rrYAyiQBfxsTbRE6OXgG29ZvZTiREwRG8KkVYZKXlITJud7OkYRQ6Ly6KWWBtIlv2XPeSRmq8lE3
Rmk990ObTmiv2f2h0xpleB/DYzhCo1e9ypC1oKdvVac1UJbyVEM3oZT7T9QUvFkso9JJDSail158
GSSM5+TRFdTfLptXfj8FmXcjecXXGJeFiUv7Ye4nY49lDXSkULYSannhFyXNPoRFFXwfnNFCF8Pz
z4bGtgFY1hNgPldBWtsTw4yFJJdVHOMdtwJW8L2R3cPOs31qN9J9F9YVnm3BjSaFJ7Eef+uRTl1o
lWRO46QUh4hzzlQcN5Fzn7FPpYZ1USf2J2AJHwrFP8npBhI0ZReg8+5U0/naxlIPsq//UI+lfWyX
5VE2VtfV6HxGwdNFnQvVhqIRoQkRbuAGw0KjsDMFj69TkElPOxrKpe1/9OQSJq7nAjSLteLUkEc6
wWGBrIl6RInnJLJQL9a6c6mnSDSgvcNOgZQF+wvhhiBOQec5wS3lwfS7GdXhEa7LAaVV1E57EWWT
WqMEYmbChzG5dSqDM0vGug/T0g+U0q5NEa+HInL3UmL4XkTzkYjrLRHhD1JtHiKhgaly1nlXicgE
KrbLVSOyg1HkCaV401rkDqEbOAu5yoOPscgsCAxaAnWyjUrkHZJBNysXucgospJwnZ+ITKUXOYsr
shfcmnVkuslozNK4r0SOE+njMbpVlzLJDxrWZ0ZDdqZ1srrQRIakiVwpElmTjykWeqFkUgBrMlp5
ZFeAa8k3yLdckXmpIgezKXgd+SIvU0WGFotczfQFVlLkb3LhKth98UkNkd3BakBNTmR8Ugi1DAkz
cMkiH8SUD+kykSP+E+oQ6uA2SoP896HO/8XLZPVj+bIQtPmzn7EOQlYmt+PG6UiEJr9iHUhiFtZ8
sraOdJ72ciyQ9Dr69NRmhK6l+NFjrGMd6EhRyTAsTQXTib+p6KA89zoQig7UlCBNKpapC/IZAdfT
Xg50LIzFAYtfZoEVndixo5+XaX9qp3ExNZryi0lLuQiJgtLMiseVn1UF24gK/lAALreRbrxy/DxF
cWWAwKuf4AUNHCwGSA4mp53APJUWARx9jj3/0MNA8rgrhAJgTqm36sj9pk5bpIeJhano9eDlNwBQ
QTrSr5lYNRoxUwpD+knbS+OJAaQIvMAgWpFNHM3AgUlHNV1KbMDHaSAal4OS0cJUIoesk7ZmLhqc
qmh12pum53W+7oLaoiGai9ZoW0rkW6JdCnaLlo9ooXJMetSinNNo3V5FF8AQDVeDzqstWrCtaMa2
MdGZJBq0lWjVll11oYjmbU0Xt6SbC4x67qO3o9Ll5d487UTbtxYN4ACPV2S5AM822ESnok3suRL6
hWXt3btdZn4fxrBFB1cAmRtZggXnVyB3yuYj9pnXdiinzXEOSKm+CiiuHBmILKdCfrlYKzGbFIjw
fGpcq51oFlU6TekQizRc454ksDumedAsGqT1ZmOSfhjC6sLU85M09i8KWT21a+kwq7oTKTFn2egd
rmEQeMsbQf6Do/1ja/e3/xwe6zxJYdP+/vA4W0arlycHQmH8zc+TQ3BIZQWAjL3WgWdn/sySNBIo
KFNwYrQHJd3HLrADPQePGEslS4KN8/TksA8oKgPtoW1ragQAfwvHs0Uu10KHnizOxsmFcPqlVYyj
QTuF725cRm3sncKaLtzrvo9YkWArokWnUxEdhNZaYRszKozxsV7CBzAQJjmKXEx3EyzJz7sOCTAq
FzTFxI06IfsDewLa1DYIZTrUqCcRjTkJ4bNzSxhaoM1yaCYeRWKKqc5or4ywxUETQt2MLGNMaOKi
Ud13p2EaH0p2K2zmw+Zj3Vb0+3rze9w7SHiHvjPvQHfGcnY04rzaqd7HQsHQXCbZmlFCa7kty6N6
VC4c2IUwfa4Czb5EhPeYqPEasshCyqpvkmfnp6mbnRY+3ma+HhwrTvct5q61Jf86UY3PXmBDpLdR
PtMxxLhWKu8GPPMx2mfzUHZvAKUvG4wYACaiehnVbbeA/sMz02rSYMZPyxJgqJU5p4VQnY9K9RRk
y0UBEBPkq3deJPqy9OvLekzvayYaJDpSwVkHUdzNTxIrsqZJRhHQsYVCDiBEFYW8EbHPCCSnlWvK
TLOGk9GVvtmlEE7TcYqrw+PGS2l0WtU4dwbadbYgDCguzKuOGKUrbqLBW0QZ4GxDK8dDbyBY8XL/
DjXPcjoQc85S+KGmFJzEnqMtaJRepDkZYFfH/oxSy5fc9fW5Vt4jHScfmZHpEMsjsoPg3gxU7r3U
VwAlHeeyiBtSxgBj2NYqPtmlDVvJiY8io7yKkS0EWwQips2mYZ1bU0Oo1PWyN3wf0vHE9vQfllFp
NIwRA8d09UYv8xMYU9/RWb4q8FYlJbzpckD0Ze3fE8NBWOkiZ44/20ViITgOjgnIuVLhHNWB5Xa4
lhTDA6vgHYZqc4ckQ4cwrXZotdHdgEsUsX8J7p77prptKXCc9YaBeXLS9N6ixnEpnnXGoC/4/LCH
BqVPJ4iWNnAhknKwyJcseEQJp8EMAAhs6sLljyMx42NKAhS4WB6ldXDoSCS8JJQSAV3u+0dDK1+O
bAZk1ENrEUl2d5Xr6Oj1nXqiaaE2BWyNYBp/Mwa5dBl6aO5YvZzNUR+m/2wUGq0IZZDnuhb0x4kl
oTBYZMGJbffjwmqNbg7ovcalHF6Q3LaHHch4W/YuITOgZawq5xrKxVBqnauhgjxdxeFFYeZYxyhf
O9sYrktFim5QmAB2XdDR1RTyD7fM5zbgJ3pNWgS+GAMCva6pJ6DGoFGopoRKppio1PusFAM3pWva
C0g4uKtlyOJLw3kE0zdy0JhtClAATUwDVg2q27KRFgq8MC7p8jg1SSd0wz6RkOw5UbzYnmU5zWng
3+V31cK7G1YepgFea070AG5W6ltwA+jZ4HQQQyurR/muUNRvYZK4hw712XlXdvYiHfGoi6LYWGQJ
3eCK1teijYoMXrf4fl0zmYy6e1o4/iLuugsU5ULgKc0JyhpXfsenliUD2WzYyIO2CBK3nmcOmOFw
LM9BddrTHsg0Z0bDNwS3HTz/IXTG4TBJkyvfCPRZGVrOFHLVqe0hQNTl8iIwohu5LReNVF2PEazv
OEb00u9Q2FKicxwHPEThyOygYyzcPD8ym+re01wfKf6smeUSwBMFG2f13O6TT0kVxmeO335ImdFJ
pgfOPMmMcuKhtWKE9dfBTLE+zKlm2as+UxVEq5OTOur6uaf0C+LM638ihHWEIOtvRQjQ2pvqVXZh
yOKvfsYIygEeVvKjupuQtP8ZI6gHYLNkXJVBaOlEkT8rqZpzQFbBj0BxGbDZxM39mF3YBw7iU6Ql
DoP+bayvxZu8bDPLhC9Ua3kEG8za8+yiB1kbSaYLwXvMLWRezSzRbnEiqd1LFX2XJKFtLKnYJIqK
f+NfD7qnTyIC0lmqNkB9sWac4KoczRun1mc4o8tHcgfRzO41+rxttlSGEYEFI1iORQXbS/PhBFUm
dhtwCAs3pADjfEHJH//iBDvN1q4oiw4j3SeH/nTUKO7EMSPAxVICIaSs45lv4uqeYpqtWMHXVjG5
9tOFSbFlmvWztB0XnBMoe8sJjiBhdoUB4xeKfMeVOHGDGP9OteZgdgqqw0E5Lp2Q6q/JxmnoiQEM
UT+och2fN/qYHdqRkcKSwksyQMJVc71lEyKNk0jWvB5WyN7DsTUo+ElUduMkPe9V/WueekCI0ONH
MSlNpqWGMn+Uo+qrZVgVjDZEVqXtT7UxCOdqOa4a2z1ssvaUsGShWCQrebaotGpeAoSlT4hETQw7
o2y1VU2TJIKeDMRsQs//LKWJMhqdNWk8rkgfxcmWRostOi5xnB8ltGD6LPwUc0TXCKjmpXzq06px
k8ADH5xctXyljejmyH1QposaQdRD28xPFOo5aeUDJ7PcM7qFZ2nL9a7TKTVPaAmUV0pPdeR7WMae
Oq+0zEuvpLEe8kWCJx+wtUj+Rn7EZYvB6B0airQduYcDLmQQ2Ye4DXnTTtzVAZc2PWRub3GPJ21/
VA/+hZ66Nvp1/XBYcOl3Ei2j0B5uEOz6VI/9ldIq3zXCBNgfN6j0YowlIgiLUCJQ+5NOxBaxT6AS
iHgDuiQoHSIQQwabREjiEppYIkZpCFYGEbWQ1AI09OxLKOxky/4I1gcnUr+mNSeinlrEPzDalDDT
54FSf2lFhJSIWCkmaIpE9GQQRpUuTBURV5UiwpIy/86DbDdFV3Q8tDvQjyEBmSpVNwHhQiYitVTE
bHBFKWsTxdUinlOwGe5FhAdwHJk76VtZy6DhiQFDgkHD9b05qYUFBBAAFgGjapdHsMQsoHXZSWpU
HUpP+PmIKNM3o/uKsDMn/GwrWscx4K9oCC+AxJ3mIlLFEOE07WIKnyKKDQlnSxHXhiLCLfoEYVoR
9aqEv2lk34zoTCcxLriEx5qIk0cJnVXJJ3YGYfnZIpjuwXPKBNeFiLJzwu2xL05xEM5PXQJxky41
ggbXkmke+wTqEjauPqXxXB8vEgJ5gtVmOorYPhdRfku439KUiQj/vSZYlCIfAB6OK7LIESqSBV9k
De46fyCRoIZ2atYU/f+52jbJ75tX22mQelt6hMqTm03hkrJQJ9IVxYR/Dd7p180mowCPsSL9QzLQ
p2UzE9F4XhbqRpikURz7dbEZ3IYAniySZsMyFW6qv0FisYT0xDMdVPJexgNvDXRKk3Whr/SEw6K4
Wo3JsGVc4NmglZ+RaOCARjQ7UWY+p6CFMmilBnT0Iw02hdkXC7mLr2TslUBwxwm81b4OprUlu1DS
bLMqjpOsROXNajU6OUYVavOqck+oFUN+zOJsjK4yRChyxCiQcP9OaF9PLU27IBQrZrpQrhiFpphX
+Le0a+gUCX0Lrn+8kWQJTVOgM2kYTRM1GmiwVZg7ut/ytVAGRhShMivWAhoRZgrTBE7ngm4JnHoc
KazenGYNemnnujTQ7kc1PNAD95Brq6NZgIO4m7b5rYpphQcSBaJG4k6VPD1E9a5DtBgjqFA6Qria
4L5Mb2WtJOeWYFzA2PwceNKdep6n+Inp0awnKpnSLENjPnY/KYV9lWQy+We7CMcrpTY/d2311USX
TYet7fyjSbyRidEo+P6+CiWMVk+yZdFsEzQTf/oz0BSCMOAOTUrFD833n4EmfDN2GwareErq3JS/
Ak0EZjgNVMRlFPlBzvgx0KSMjaTQZjA67X+zYy/227P9SBHKYSsabEUZT8UXHXtwjiDc9aG8HDAO
QVtdbRSKp2lqh3jw+OlloJvngW/5F6ZBAjSaxlUxRA7Gp/JHzdU/RmWzymRYCX3vH4eY66HqcNii
vx+hTyW140mcUpBKldmoijhIh1yVa2fYp8cTrUkuVN0+dD3rrPIpng7SlRn6n60h/Wr00ObdYmXT
MS4VzE6H9Dhq2FaSJNo3cNNsaAQDvjO6fAXM6aKBxUrl4KLH8oDAtD8z7XFh0LlGRe2zUSDoxyea
x2V3C8Pt3KVBWZfad8jCi7auT1LXhBXvnLZ6ceH6/oWT0fccdfSq8gtEfQkRi/OyV79y7B75CoUt
qviI816GSniRScq8bSCnV+PMl9sbJ6g++H5z7mGrDbVsAVBtrsXmRanSZ3Puq9IRMp3Y1CNicDI6
9tIlUkTJ6Stc6GOpcmatUX30vZEWFPyPHJWSvLweKlzI3T649AxkICzErULzswGDbRyqj4ld36Zq
fwH36MJ3i7PWTI4MkmaKI0dNgdmQlwtx5QtDQazXdY41T/9oiUQZ/MJRbWGZpMfdedRY0kQZitPC
jZZapn90cnRCKLlPYtTYGqk+Qz9hNnrtcYlpfWVJH0OnP1Zk94suxCEdbW6mwPgQV0HRnZan78rF
1EqK88COBa+76K/ioXFnWWAuaRuUi7zoF3ZuNHjp5F9VlZ41Kji3KF6IHkLpycW8GpwOffjKLsOj
EIXK43ptSwPthRM7XGO0weVT11FgaLd9dYzQh7zIiiaeSHb+MQKDeAL9u51WBSYHSqxo570xIqYB
O30S90E2gTOPoJs2hh9VRV1EKkZ6yD8ehalSiUsA0HgACwGxh3FK8GNB+Id3UdtyOG2sTj+CHG3M
KnO4DvShmNWOj06KBqFhbGp053O4ODR9P9tEi/PIBDwSxoiZ2Yghj+F9R9g4AYn6SVLduwzSjD3o
l6NqHOpldIFuaDeLwEEQ3a+CUT+njflV6vi787KpUWobdCAOOQRIzQQZmGRXapZ86ZoaLrdgEru0
wKajz90Q5vqt5yFHLZckAXlVNLNKdzD9g59s9SHeig0YPR0Bkbb1ixkA4JWXO9/TQf1MH23F89N8
yeQKvU8Nq7EcNUO6qfmMGjMRcoQ/RJsrR3lczlA2uGz95MROui96P9w3lkzdxj7RMz9A4aOZB57/
JRjVOZIQxcWAUfMh4jYgJBrJPM9i95qaHHR71FfnqgATNjoCRh2kyi4cmeUCZYdMuG4I5qUlOJgh
ZExXihehYGc6YwuaB75mDHETVZxberm3vQ4wrxTcztEyoafD9rT8+MgT/E+1UA/tnPJroakLF4po
LbiiHFM4mQDt85pq0kAnHTyNwSUdwXSYpiZQIqepb6WmpNQNF7V3UeiGnIpGUzsdHDg0ZN9TXRBY
BZNVr+FFjmX+ye+w/ZDhdM17wXztXfebJriwbu5arC/tEG0LmO5OxxYV3NksY1tSMat4PKR6oGks
WsG1bagmwQhB0E/QcIPR5NnakxyCbp9Q8Ec/HKyBdtz58oVft19SWT6pBbcXOToH6w7aBI0MxcKX
rzuIwEbqf1IGSwblbGJ4F6KRoyO/Y0IfRmYIj6whgiCjk58nyOXE606j70fpIU07+o9SRiuyFU1J
CW7RsU6JFRyGDqidIr8smphDSjkzFY3NvlFhJQ1XVBMoeYrmZ5C1wfSfpGCdFGiwDN6ORQ7LZXoX
VHfb7JP545/RiHogOta0ztexvFBe/RmNaMIJGeieKcwi1yzIx9YYTXX0yHSC9p9/9SsaoZOFFB5F
r3exT6ZvT2oi2mOyLr/gVhixLNuhW46XY/21sN0JDgaTJxPzYRPY/AVa9kMGCKj697/ECL/CHap6
jApNTLTsKdfJYACepR9j7pp5T+IOewOSo3yIuiagqx9te/T2+4hx3nofupNP0xyCgrwoAwMgJA6z
Sokh5I+330Aka2++g4AnPEmkPIBsquh/Xaq9xQH+2QLHBN/bkdD5aOfgJqZVe5M3R03woc7ciRKs
8KP3vA9qhuXCtdflk7o4NQ0qFy76dfpVE153iT/rneQPU6E8L2W+nnOKpk+fVAto9nelmAttjlM9
CLSvDVs/U/TLjvvDhUYWDPcWpAxCjwnqL5tT4bdamet+6ssvAzkn4f0NEZ8e7/MHoEmi1K1sDZd4
PwbKVHHK+CzSVfxthrXRsrMGBgAsOCnRDjCa7qOCWw2ALAR7WgEjoNXDPZU3cgv/UD7pnBpcXpx8
UxPtpHNlaA0queDnHu7kQoucEAEfm54IIr+lWR7n3PxqWxwq9TBra/Dg4yVCBfOEgm1WSNwy46Ls
nQ+J+gFyx6HbQJeDZVp9qjz7XKvjSRmh7gIVRYV4iezo1BpBL6E5ExmfiDEK3Leg3hbcCwjJNEpz
ZsnJnDLnUHyrwmQySEDmu/RUqfUr5MtD1E7bVM0+J0Y8yUFu0EH5VOvCE9mYhAL/ZASePqOpQzfN
Bp6VRfFNLcGjSMZy4hhIFkc4Ur+9mAWk+cliFlga++nG119sly5w4DP01XgpL7Qj93g8q79qC/u4
vKwmyll9VEyR9pk50+FQm56UJ4iWz/ob6ZggfiEvyE8Ow01S+/sl8+x5Xi/ZF1UKPSbmTcSSzaJj
+EYpKm3VpDgs5D8cR2Lpv1yZT4+jFwcecpNj7Pu8jwRx8lP/o/CmQTOlhmm6f9gEyvMp3nykp5vg
BVzJ4blKzQnUSx+n6g9RP4OpitB+V80p1nqXSLG9/Z1uOwERUYHFh6kDkIkXX2kCWhtfUU297EJc
a8dbGMNvv8G2A/DpG7yYOxSdrLT1VPWyamcC3d1J06qP/vAp/vQmL05Zp3fMEf9X9dJpYSSf1OYn
pCre/hzbrqSnn+PF8ThwV5dlYqiXEBjheIDANj864YVIJtZv9N4e2+fBXZlV2X39/8TIdxm0PiLz
+j/P/1lt/u2tstmyXj77B4pOQT1cNaty+LiqUGR9+6eMtNmXYqD1vf0pezXEf/VLbw/012r9XJ+G
fPXvfy1/JEFKd6gug7taJT5a/+z4x7//tSn+GHxLzwKu9YOtP9Ob48RLPnvzg3egV6igGAQrFRMp
8eJdQDV7Dz+WULCn+mOZNq5UT7/Ht2bh7Q/4ONlvzeabD/9qEjYP9mK8vzUJRI62SgsT/f31i1Pn
+SRQkbZVziV1byeBR95tJcC/sSjlGVA5wMXy4hB5PgnqARwWIT6yea+HHb1HK0F/Cef9n7aD4HOz
7DeTwDH3fBKUAzoSOCo4m623h5PA97bbStDsA12DpQ7GcLMdWPTPJwHogSJ8KlAAF++1h5Ow+8GI
pg7fM70mStzi9epMgOYvMA90iPZ1EggTdlsJOvATWnG2amqb7cAGe7kSTBxLRLNuXydh54NRsw4E
lZFUnxBRvLacCTQlQdyIhGAvt4MAB+22EsQkoP0vmA6/mQTom9SaAR9Tuthsl72cCtG+2nEqgGCr
3IPQKl7vBqrt+M8Ym/new3ORfGvHT68fwCOh9OY83JAvjwQa+0IWBYHKhzhiT/eEsbm7dgkbdaqU
4FRlbP/Wr5cHA1OhwriRzQcvj/1bD6+6x38/YiJ2JmbEaUpd73v5VbCAnaKjEjCBY9zng0EUWXfc
GhwMJoUEmt6/mQr5gB+yeUSdg9e+xtFCsmjHqdDArRI9CRvN7VvDOrANDRmkvZ2EV82M/2VrAEyg
WQE5cPN6fV+wa4ivhPUNE76H58POIaS2zhUs1IVfnY7WATwlWwGb/zg7+zkHux8MOj0rTO9t7SGX
eHlGKhZnJI0rgUPbzznYhPe7XJYmG56MSn38tl/GDRSadGH1oOxHPvW02GawQP+HE5Hd/qvOxjeM
kCqioL8pMYmwCdQiwnEPcdW+roTd8ymNaptsaHiTbV4vM2t2A8xoHMb2djs8lAF32A5k1hQb8UoQ
RtLi9SqXkA8IqgwdH7Y9XQkCFLtblEDJ0QBRqNna74rPUGRtjk4KEHs6Ceru1TaSBFO1SCM2QeG2
AFqAH1kKezsJmwfbYTtQcgS6oerUXTdnwssbUhWIEFF+FhSjvbwi1d0PRtGL4ShAunP7wahqBzC/
TTiCm1W3f/GiQPjvdiZoJibJwPjxLF6fi+LmfVZyFBclP2Ol7OskCJbejpNgsNpVk11P/iBeL69I
VYbrz39W1H2NGAV8ZcdJEBBynY4UnKKtk8BKwF7EsmlTbJbKnp4Myu7rweSTEjkzGdungvUg+DJA
9/d1Pei7l6CZBEvI5TyGTC8TSu4IVAXZMXt7UWq7T4JNyATsUFjIr18cgs+OR5FG4SOPuNB+1+GV
3a9LKgtUFRBL+k3MoBjU4wywDdYm09i84x5emjuHT0I7UzF023k4KV/HkNwX/Finbr+nh6QA2+14
X3AdQGmHFviQQb/aGnCcmATD0fa2T7d7uc08wDVKNK1/17sHwEDr3tTMfQ2kH+K6XbIJ/UDG5wzp
tYcY8uVNgTO6qq/1aTeztLcnw+7rwQGlgC0Kym+byIFv/fl9AaoHUwIoenubXf4vtTfxMX8V3+wD
m9oq/YiH4tur7FK4OYh7RP2Zc3AW7eFNsXPJRTOEJiF5NETO3wXVKHpQdXqobOzhJOweRFGLhq9K
Lv3QnXqVY+KWSEkOVcdN6L6Hk7D7pqBxCxOUjOIB2/PykCScNuhZ0Onf10l4aKvvclOYAuBEkKj8
Hs2Ayg7/e1D727+VoG++nV0mwSI4hN1toHSwfr26IzgeZXFhCs7KXh6MIuDdMXoUWx4lCmpPv5kE
QmiSLkQn9vWifEAd7bISKL7B5SeL+H2XSkVTld2wmfD92w7GznkEyRQZo0kE+ZszQdSiwTfpppgo
XvsaPcqbXG+X9WAfIKgklFYe4qKXFyV1J7BPBFZr1tr+ToW6e11a4IEhgD3iH1/B4wXYi+oTPIrN
1bxvW0OEOjsfkqB2ZB0M0yMe+FWKzdagdm/tbXIpyLq7XRQCE43NMUJDD6ieV3MALJCciznYBKr7
thAoIe+eVtoHIksQKkmbk2FL8IhooW3A0N7XkGH3AiTyNyx1as6cLs+Tao5FLGbIuTf36L7eEA+4
s11uiHWTxgId/1BqebUbOBHg8lOR3tdJeKXS+feBfhz9IjJEsP83sSOdCQBgJl38Pd0NxnscCdQd
+Z7F6fJ8N3BiWnhBKXtLHBOsx91uBXiUAtsmCiu/ORDhUVJ0oWO7t/tg58gZFAetKeFb8ZtJIEay
eBFHbeKx/bsaBSF9t5UgeJQ2KEb9NT0EGKiJZj7x02aN/PdnwX8xUT+5x8hdxT/W1ORgVT3hN//x
Fx55u68HeEI8XmMhn/2moCpvxv5FXf7Pc+byupT65KePpdX1Oz38/cNHfP3mz97s8XM9/sejYFUu
yzt/WP9geHjQC4xb/v2vt/1b3qBZ/1wAb4+eB+nqKUx0w8mWWUG/PuprDvd/N3iy/JGVjwP9InyL
XHPnwd+yN951VqbLeNnylVSPz/nk2SkZ7Pzsb4pm7/zw+KWWy7+mWVUvH5/1yfNzr+38/LNV/NdF
Vm61lyY12Xn8efzXLCtZPI9jPXl+QrOdxz/EWDTdNjhh/s6DL+JVmj6O8+TByVt3HhsBbpx8f9SP
Q/0aXhz5Ow9/nOSrMljGj0M9Gf49tuxxOmyZdKFhtPOTn67KLXMuUMe7D/2GDPCue/UNf53dh66q
1bY5eY8NepZVf/1f6q3i1ZYjUrS+d5718+UPDuDHgZ4sxPfYoufLcpuUrICdvcODl0GebbNEEGDC
3YdfpT+yu2Db6SVi8ncYv7xb/Xgc6Ne8izLQ7oNnPPvjOE/Gfo9tep5tnRNC9Hd47LRelavhcagn
T/4et+nFMt+y0EXgvfOTX6za5WvvPwNrnncY/BIZRG9L7Cg4cjs/+Yd4ebfaEjsKqPA7DP6G/fOu
B+/HgNCxCn5smRnhW7jzw18v70oyg7TecpcKaOY7vEH612SVBlvf4D22qtDznnBhL8sfWw8yoYj/
Lp9iFqy8bbP0HrtWfIg/CYHuupT+LHz+Hu9w1gTVX5e3Aa4qj/P+64QTNIB3+S7Ol/Vq2/jvsZ+Z
p3r512RZ3i63xQxCaP09PgPvMY23v8P7bGzxKaZlMz4+7q+vQQDPd/8I/nJrTig4cLsPTg1j6+S/
y2YOqkhYfj4+55OJeZe9nGHgsmVxCpDE7hNDYJJsueD197iDr+tlGlS4L1aPT/pkat5l6zY1sc+W
wd9j335a+cttUyPgDzvP+ydifLQRH0f6NS/Ge2zWTw0nwZYrXsBXdn/0Ble1ZFtdTiBWdh7+CyM0
2/aqUJPZefQbnF4eh3ky6e+xT2+a2y0bSehH/uGpt5Vlf0JjXxdrH9Udt/3Z81q0+I27eLUs//P/
AQAA//8=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8.xml"/><Relationship Id="rId2" Type="http://schemas.openxmlformats.org/officeDocument/2006/relationships/image" Target="../media/image1.emf"/><Relationship Id="rId1" Type="http://schemas.openxmlformats.org/officeDocument/2006/relationships/chart" Target="../charts/chart5.xml"/><Relationship Id="rId6" Type="http://schemas.microsoft.com/office/2014/relationships/chartEx" Target="../charts/chartEx4.xml"/><Relationship Id="rId5" Type="http://schemas.microsoft.com/office/2014/relationships/chartEx" Target="../charts/chartEx3.xml"/><Relationship Id="rId4" Type="http://schemas.openxmlformats.org/officeDocument/2006/relationships/chart" Target="../charts/chart7.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4</xdr:col>
      <xdr:colOff>107950</xdr:colOff>
      <xdr:row>6</xdr:row>
      <xdr:rowOff>127000</xdr:rowOff>
    </xdr:from>
    <xdr:to>
      <xdr:col>7</xdr:col>
      <xdr:colOff>577850</xdr:colOff>
      <xdr:row>21</xdr:row>
      <xdr:rowOff>12700</xdr:rowOff>
    </xdr:to>
    <xdr:graphicFrame macro="">
      <xdr:nvGraphicFramePr>
        <xdr:cNvPr id="2" name="Chart 1">
          <a:extLst>
            <a:ext uri="{FF2B5EF4-FFF2-40B4-BE49-F238E27FC236}">
              <a16:creationId xmlns:a16="http://schemas.microsoft.com/office/drawing/2014/main" id="{D393610A-E3CA-0276-F84A-9AB1806FC8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311150</xdr:colOff>
      <xdr:row>45</xdr:row>
      <xdr:rowOff>165100</xdr:rowOff>
    </xdr:from>
    <xdr:to>
      <xdr:col>10</xdr:col>
      <xdr:colOff>0</xdr:colOff>
      <xdr:row>64</xdr:row>
      <xdr:rowOff>152400</xdr:rowOff>
    </xdr:to>
    <xdr:graphicFrame macro="">
      <xdr:nvGraphicFramePr>
        <xdr:cNvPr id="3" name="Chart 2">
          <a:extLst>
            <a:ext uri="{FF2B5EF4-FFF2-40B4-BE49-F238E27FC236}">
              <a16:creationId xmlns:a16="http://schemas.microsoft.com/office/drawing/2014/main" id="{83FE6A56-DD1C-16D8-B094-E61CBA794F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234950</xdr:colOff>
      <xdr:row>66</xdr:row>
      <xdr:rowOff>165100</xdr:rowOff>
    </xdr:from>
    <xdr:to>
      <xdr:col>11</xdr:col>
      <xdr:colOff>444500</xdr:colOff>
      <xdr:row>89</xdr:row>
      <xdr:rowOff>101600</xdr:rowOff>
    </xdr:to>
    <xdr:graphicFrame macro="">
      <xdr:nvGraphicFramePr>
        <xdr:cNvPr id="4" name="Chart 3">
          <a:extLst>
            <a:ext uri="{FF2B5EF4-FFF2-40B4-BE49-F238E27FC236}">
              <a16:creationId xmlns:a16="http://schemas.microsoft.com/office/drawing/2014/main" id="{B72F1BDE-25B8-6346-CB6E-CD8CA7EA1E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508000</xdr:colOff>
      <xdr:row>101</xdr:row>
      <xdr:rowOff>76200</xdr:rowOff>
    </xdr:from>
    <xdr:to>
      <xdr:col>15</xdr:col>
      <xdr:colOff>698500</xdr:colOff>
      <xdr:row>115</xdr:row>
      <xdr:rowOff>152400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2703E041-2139-AF62-C8E7-2DAAA3DFC9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4401800" y="193167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571500</xdr:colOff>
      <xdr:row>117</xdr:row>
      <xdr:rowOff>0</xdr:rowOff>
    </xdr:from>
    <xdr:to>
      <xdr:col>15</xdr:col>
      <xdr:colOff>762000</xdr:colOff>
      <xdr:row>131</xdr:row>
      <xdr:rowOff>76200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49CD2790-0AB6-8733-C336-19466403FA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4465300" y="222885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196850</xdr:colOff>
      <xdr:row>174</xdr:row>
      <xdr:rowOff>25400</xdr:rowOff>
    </xdr:from>
    <xdr:to>
      <xdr:col>8</xdr:col>
      <xdr:colOff>298450</xdr:colOff>
      <xdr:row>188</xdr:row>
      <xdr:rowOff>101600</xdr:rowOff>
    </xdr:to>
    <xdr:graphicFrame macro="">
      <xdr:nvGraphicFramePr>
        <xdr:cNvPr id="7" name="Chart 6">
          <a:extLst>
            <a:ext uri="{FF2B5EF4-FFF2-40B4-BE49-F238E27FC236}">
              <a16:creationId xmlns:a16="http://schemas.microsoft.com/office/drawing/2014/main" id="{C92E982B-5D50-104A-DB17-66162B50D8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800100</xdr:colOff>
      <xdr:row>174</xdr:row>
      <xdr:rowOff>76200</xdr:rowOff>
    </xdr:from>
    <xdr:to>
      <xdr:col>13</xdr:col>
      <xdr:colOff>1168400</xdr:colOff>
      <xdr:row>187</xdr:row>
      <xdr:rowOff>28569</xdr:rowOff>
    </xdr:to>
    <mc:AlternateContent xmlns:mc="http://schemas.openxmlformats.org/markup-compatibility/2006">
      <mc:Choice xmlns:a14="http://schemas.microsoft.com/office/drawing/2010/main" Requires="a14">
        <xdr:graphicFrame macro="">
          <xdr:nvGraphicFramePr>
            <xdr:cNvPr id="8" name="Order Mode">
              <a:extLst>
                <a:ext uri="{FF2B5EF4-FFF2-40B4-BE49-F238E27FC236}">
                  <a16:creationId xmlns:a16="http://schemas.microsoft.com/office/drawing/2014/main" id="{06964285-325D-A1B7-FD16-A5200C541FA4}"/>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12179300" y="332232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508000</xdr:colOff>
      <xdr:row>174</xdr:row>
      <xdr:rowOff>139700</xdr:rowOff>
    </xdr:from>
    <xdr:to>
      <xdr:col>12</xdr:col>
      <xdr:colOff>190500</xdr:colOff>
      <xdr:row>187</xdr:row>
      <xdr:rowOff>92069</xdr:rowOff>
    </xdr:to>
    <mc:AlternateContent xmlns:mc="http://schemas.openxmlformats.org/markup-compatibility/2006">
      <mc:Choice xmlns:a14="http://schemas.microsoft.com/office/drawing/2010/main" Requires="a14">
        <xdr:graphicFrame macro="">
          <xdr:nvGraphicFramePr>
            <xdr:cNvPr id="9" name="Gender Value">
              <a:extLst>
                <a:ext uri="{FF2B5EF4-FFF2-40B4-BE49-F238E27FC236}">
                  <a16:creationId xmlns:a16="http://schemas.microsoft.com/office/drawing/2014/main" id="{D1D7877E-006A-5C7F-4913-1599FF77B166}"/>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9740900" y="332867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7258</xdr:colOff>
      <xdr:row>0</xdr:row>
      <xdr:rowOff>12700</xdr:rowOff>
    </xdr:from>
    <xdr:to>
      <xdr:col>40</xdr:col>
      <xdr:colOff>0</xdr:colOff>
      <xdr:row>45</xdr:row>
      <xdr:rowOff>20158</xdr:rowOff>
    </xdr:to>
    <xdr:sp macro="" textlink="">
      <xdr:nvSpPr>
        <xdr:cNvPr id="3" name="Rectangle 2">
          <a:extLst>
            <a:ext uri="{FF2B5EF4-FFF2-40B4-BE49-F238E27FC236}">
              <a16:creationId xmlns:a16="http://schemas.microsoft.com/office/drawing/2014/main" id="{B89ECDEF-76C5-CB6E-74E6-A87D44F711F9}"/>
            </a:ext>
          </a:extLst>
        </xdr:cNvPr>
        <xdr:cNvSpPr/>
      </xdr:nvSpPr>
      <xdr:spPr>
        <a:xfrm>
          <a:off x="4034972" y="12700"/>
          <a:ext cx="22816457" cy="898817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5</xdr:col>
      <xdr:colOff>647700</xdr:colOff>
      <xdr:row>45</xdr:row>
      <xdr:rowOff>20158</xdr:rowOff>
    </xdr:to>
    <xdr:sp macro="" textlink="">
      <xdr:nvSpPr>
        <xdr:cNvPr id="2" name="Rectangle 1">
          <a:extLst>
            <a:ext uri="{FF2B5EF4-FFF2-40B4-BE49-F238E27FC236}">
              <a16:creationId xmlns:a16="http://schemas.microsoft.com/office/drawing/2014/main" id="{48B9B185-9CC8-3828-FC7B-A74D25607D13}"/>
            </a:ext>
          </a:extLst>
        </xdr:cNvPr>
        <xdr:cNvSpPr/>
      </xdr:nvSpPr>
      <xdr:spPr>
        <a:xfrm>
          <a:off x="0" y="0"/>
          <a:ext cx="3973890" cy="8184444"/>
        </a:xfrm>
        <a:prstGeom prst="rect">
          <a:avLst/>
        </a:prstGeom>
        <a:effectLst>
          <a:outerShdw blurRad="50800" dist="38100" dir="18900000" algn="bl" rotWithShape="0">
            <a:prstClr val="black">
              <a:alpha val="40000"/>
            </a:prstClr>
          </a:outerShdw>
        </a:effectLst>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196547</xdr:colOff>
      <xdr:row>1</xdr:row>
      <xdr:rowOff>-1</xdr:rowOff>
    </xdr:from>
    <xdr:to>
      <xdr:col>5</xdr:col>
      <xdr:colOff>366485</xdr:colOff>
      <xdr:row>3</xdr:row>
      <xdr:rowOff>19957</xdr:rowOff>
    </xdr:to>
    <xdr:sp macro="" textlink="Data!S4">
      <xdr:nvSpPr>
        <xdr:cNvPr id="4" name="TextBox 3">
          <a:extLst>
            <a:ext uri="{FF2B5EF4-FFF2-40B4-BE49-F238E27FC236}">
              <a16:creationId xmlns:a16="http://schemas.microsoft.com/office/drawing/2014/main" id="{A49449E7-6490-EEF9-A0FA-F6F5470EAFB4}"/>
            </a:ext>
          </a:extLst>
        </xdr:cNvPr>
        <xdr:cNvSpPr txBox="1"/>
      </xdr:nvSpPr>
      <xdr:spPr>
        <a:xfrm>
          <a:off x="2857499" y="181428"/>
          <a:ext cx="835176" cy="382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AC712B1-6B3F-394C-9F04-29405E9F8827}" type="TxLink">
            <a:rPr lang="en-US" sz="2000" b="1" i="0" u="none" strike="noStrike">
              <a:gradFill>
                <a:gsLst>
                  <a:gs pos="48000">
                    <a:srgbClr val="A0B3A8"/>
                  </a:gs>
                  <a:gs pos="0">
                    <a:schemeClr val="accent1">
                      <a:lumMod val="5000"/>
                      <a:lumOff val="95000"/>
                    </a:schemeClr>
                  </a:gs>
                  <a:gs pos="98000">
                    <a:schemeClr val="accent1">
                      <a:lumMod val="50000"/>
                    </a:schemeClr>
                  </a:gs>
                </a:gsLst>
                <a:lin ang="5400000" scaled="1"/>
              </a:gradFill>
              <a:latin typeface="Aptos Narrow"/>
            </a:rPr>
            <a:pPr/>
            <a:t> 2,400 </a:t>
          </a:fld>
          <a:endParaRPr lang="en-US" sz="2000" b="1">
            <a:gradFill>
              <a:gsLst>
                <a:gs pos="48000">
                  <a:srgbClr val="A0B3A8"/>
                </a:gs>
                <a:gs pos="0">
                  <a:schemeClr val="accent1">
                    <a:lumMod val="5000"/>
                    <a:lumOff val="95000"/>
                  </a:schemeClr>
                </a:gs>
                <a:gs pos="98000">
                  <a:schemeClr val="accent1">
                    <a:lumMod val="50000"/>
                  </a:schemeClr>
                </a:gs>
              </a:gsLst>
              <a:lin ang="5400000" scaled="1"/>
            </a:gradFill>
          </a:endParaRPr>
        </a:p>
      </xdr:txBody>
    </xdr:sp>
    <xdr:clientData/>
  </xdr:twoCellAnchor>
  <xdr:twoCellAnchor>
    <xdr:from>
      <xdr:col>4</xdr:col>
      <xdr:colOff>56847</xdr:colOff>
      <xdr:row>3</xdr:row>
      <xdr:rowOff>146957</xdr:rowOff>
    </xdr:from>
    <xdr:to>
      <xdr:col>5</xdr:col>
      <xdr:colOff>366485</xdr:colOff>
      <xdr:row>6</xdr:row>
      <xdr:rowOff>12701</xdr:rowOff>
    </xdr:to>
    <xdr:sp macro="" textlink="Data!S5">
      <xdr:nvSpPr>
        <xdr:cNvPr id="7" name="TextBox 6">
          <a:extLst>
            <a:ext uri="{FF2B5EF4-FFF2-40B4-BE49-F238E27FC236}">
              <a16:creationId xmlns:a16="http://schemas.microsoft.com/office/drawing/2014/main" id="{CFE0899E-79BC-6242-914D-EF2EC5ACB249}"/>
            </a:ext>
          </a:extLst>
        </xdr:cNvPr>
        <xdr:cNvSpPr txBox="1"/>
      </xdr:nvSpPr>
      <xdr:spPr>
        <a:xfrm>
          <a:off x="2717799" y="691243"/>
          <a:ext cx="974876" cy="410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D2BF3BE-FEB1-3640-ACA6-F767746BD81F}" type="TxLink">
            <a:rPr lang="en-US" sz="2000" b="1" i="0" u="none" strike="noStrike">
              <a:gradFill>
                <a:gsLst>
                  <a:gs pos="48000">
                    <a:srgbClr val="A0B3A8"/>
                  </a:gs>
                  <a:gs pos="0">
                    <a:schemeClr val="accent1">
                      <a:lumMod val="5000"/>
                      <a:lumOff val="95000"/>
                    </a:schemeClr>
                  </a:gs>
                  <a:gs pos="98000">
                    <a:schemeClr val="accent1">
                      <a:lumMod val="50000"/>
                    </a:schemeClr>
                  </a:gs>
                </a:gsLst>
                <a:lin ang="5400000" scaled="1"/>
              </a:gradFill>
              <a:latin typeface="Aptos Narrow"/>
              <a:ea typeface="+mn-ea"/>
              <a:cs typeface="+mn-cs"/>
            </a:rPr>
            <a:pPr marL="0" indent="0"/>
            <a:t> 11,997 </a:t>
          </a:fld>
          <a:endParaRPr lang="en-US" sz="2000" b="1" i="0" u="none" strike="noStrike">
            <a:gradFill>
              <a:gsLst>
                <a:gs pos="48000">
                  <a:srgbClr val="A0B3A8"/>
                </a:gs>
                <a:gs pos="0">
                  <a:schemeClr val="accent1">
                    <a:lumMod val="5000"/>
                    <a:lumOff val="95000"/>
                  </a:schemeClr>
                </a:gs>
                <a:gs pos="98000">
                  <a:schemeClr val="accent1">
                    <a:lumMod val="50000"/>
                  </a:schemeClr>
                </a:gs>
              </a:gsLst>
              <a:lin ang="5400000" scaled="1"/>
            </a:gradFill>
            <a:latin typeface="Aptos Narrow"/>
            <a:ea typeface="+mn-ea"/>
            <a:cs typeface="+mn-cs"/>
          </a:endParaRPr>
        </a:p>
      </xdr:txBody>
    </xdr:sp>
    <xdr:clientData/>
  </xdr:twoCellAnchor>
  <xdr:twoCellAnchor>
    <xdr:from>
      <xdr:col>3</xdr:col>
      <xdr:colOff>196548</xdr:colOff>
      <xdr:row>6</xdr:row>
      <xdr:rowOff>146957</xdr:rowOff>
    </xdr:from>
    <xdr:to>
      <xdr:col>5</xdr:col>
      <xdr:colOff>366485</xdr:colOff>
      <xdr:row>9</xdr:row>
      <xdr:rowOff>12701</xdr:rowOff>
    </xdr:to>
    <xdr:sp macro="" textlink="Data!S6">
      <xdr:nvSpPr>
        <xdr:cNvPr id="8" name="TextBox 7">
          <a:extLst>
            <a:ext uri="{FF2B5EF4-FFF2-40B4-BE49-F238E27FC236}">
              <a16:creationId xmlns:a16="http://schemas.microsoft.com/office/drawing/2014/main" id="{13EED9DB-E919-9040-8BA0-E2732DACC31D}"/>
            </a:ext>
          </a:extLst>
        </xdr:cNvPr>
        <xdr:cNvSpPr txBox="1"/>
      </xdr:nvSpPr>
      <xdr:spPr>
        <a:xfrm>
          <a:off x="2192262" y="1235528"/>
          <a:ext cx="1500413" cy="410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C0F0056-E048-2D4D-94C3-B43E1B269254}" type="TxLink">
            <a:rPr lang="en-US" sz="2000" b="1" i="0" u="none" strike="noStrike">
              <a:gradFill>
                <a:gsLst>
                  <a:gs pos="48000">
                    <a:srgbClr val="A0B3A8"/>
                  </a:gs>
                  <a:gs pos="0">
                    <a:schemeClr val="accent1">
                      <a:lumMod val="5000"/>
                      <a:lumOff val="95000"/>
                    </a:schemeClr>
                  </a:gs>
                  <a:gs pos="98000">
                    <a:schemeClr val="accent1">
                      <a:lumMod val="50000"/>
                    </a:schemeClr>
                  </a:gs>
                </a:gsLst>
                <a:lin ang="5400000" scaled="1"/>
              </a:gradFill>
              <a:latin typeface="Aptos Narrow"/>
              <a:ea typeface="+mn-ea"/>
              <a:cs typeface="+mn-cs"/>
            </a:rPr>
            <a:pPr marL="0" indent="0"/>
            <a:t>$649,019.80 </a:t>
          </a:fld>
          <a:endParaRPr lang="en-US" sz="2000" b="1" i="0" u="none" strike="noStrike">
            <a:gradFill>
              <a:gsLst>
                <a:gs pos="48000">
                  <a:srgbClr val="A0B3A8"/>
                </a:gs>
                <a:gs pos="0">
                  <a:schemeClr val="accent1">
                    <a:lumMod val="5000"/>
                    <a:lumOff val="95000"/>
                  </a:schemeClr>
                </a:gs>
                <a:gs pos="98000">
                  <a:schemeClr val="accent1">
                    <a:lumMod val="50000"/>
                  </a:schemeClr>
                </a:gs>
              </a:gsLst>
              <a:lin ang="5400000" scaled="1"/>
            </a:gradFill>
            <a:latin typeface="Aptos Narrow"/>
            <a:ea typeface="+mn-ea"/>
            <a:cs typeface="+mn-cs"/>
          </a:endParaRPr>
        </a:p>
      </xdr:txBody>
    </xdr:sp>
    <xdr:clientData/>
  </xdr:twoCellAnchor>
  <xdr:twoCellAnchor>
    <xdr:from>
      <xdr:col>4</xdr:col>
      <xdr:colOff>188685</xdr:colOff>
      <xdr:row>9</xdr:row>
      <xdr:rowOff>108857</xdr:rowOff>
    </xdr:from>
    <xdr:to>
      <xdr:col>5</xdr:col>
      <xdr:colOff>366485</xdr:colOff>
      <xdr:row>11</xdr:row>
      <xdr:rowOff>146957</xdr:rowOff>
    </xdr:to>
    <xdr:sp macro="" textlink="Data!S7">
      <xdr:nvSpPr>
        <xdr:cNvPr id="9" name="TextBox 8">
          <a:extLst>
            <a:ext uri="{FF2B5EF4-FFF2-40B4-BE49-F238E27FC236}">
              <a16:creationId xmlns:a16="http://schemas.microsoft.com/office/drawing/2014/main" id="{1F3C3296-04E8-D547-A904-8C7B2916E3E0}"/>
            </a:ext>
          </a:extLst>
        </xdr:cNvPr>
        <xdr:cNvSpPr txBox="1"/>
      </xdr:nvSpPr>
      <xdr:spPr>
        <a:xfrm>
          <a:off x="2849637" y="1741714"/>
          <a:ext cx="843038" cy="40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7E81092-8E3F-A84E-ACB9-26D9A55564D5}" type="TxLink">
            <a:rPr lang="en-US" sz="2000" b="1" i="0" u="none" strike="noStrike">
              <a:gradFill>
                <a:gsLst>
                  <a:gs pos="48000">
                    <a:srgbClr val="A0B3A8"/>
                  </a:gs>
                  <a:gs pos="0">
                    <a:schemeClr val="accent1">
                      <a:lumMod val="5000"/>
                      <a:lumOff val="95000"/>
                    </a:schemeClr>
                  </a:gs>
                  <a:gs pos="98000">
                    <a:schemeClr val="accent1">
                      <a:lumMod val="50000"/>
                    </a:schemeClr>
                  </a:gs>
                </a:gsLst>
                <a:lin ang="5400000" scaled="1"/>
              </a:gradFill>
              <a:latin typeface="Aptos Narrow"/>
              <a:ea typeface="+mn-ea"/>
              <a:cs typeface="+mn-cs"/>
            </a:rPr>
            <a:pPr marL="0" indent="0"/>
            <a:t>4.0</a:t>
          </a:fld>
          <a:endParaRPr lang="en-US" sz="2000" b="1" i="0" u="none" strike="noStrike">
            <a:gradFill>
              <a:gsLst>
                <a:gs pos="48000">
                  <a:srgbClr val="A0B3A8"/>
                </a:gs>
                <a:gs pos="0">
                  <a:schemeClr val="accent1">
                    <a:lumMod val="5000"/>
                    <a:lumOff val="95000"/>
                  </a:schemeClr>
                </a:gs>
                <a:gs pos="98000">
                  <a:schemeClr val="accent1">
                    <a:lumMod val="50000"/>
                  </a:schemeClr>
                </a:gs>
              </a:gsLst>
              <a:lin ang="5400000" scaled="1"/>
            </a:gradFill>
            <a:latin typeface="Aptos Narrow"/>
            <a:ea typeface="+mn-ea"/>
            <a:cs typeface="+mn-cs"/>
          </a:endParaRPr>
        </a:p>
      </xdr:txBody>
    </xdr:sp>
    <xdr:clientData/>
  </xdr:twoCellAnchor>
  <xdr:twoCellAnchor>
    <xdr:from>
      <xdr:col>4</xdr:col>
      <xdr:colOff>188685</xdr:colOff>
      <xdr:row>12</xdr:row>
      <xdr:rowOff>108857</xdr:rowOff>
    </xdr:from>
    <xdr:to>
      <xdr:col>5</xdr:col>
      <xdr:colOff>366485</xdr:colOff>
      <xdr:row>14</xdr:row>
      <xdr:rowOff>146957</xdr:rowOff>
    </xdr:to>
    <xdr:sp macro="" textlink="Data!S8">
      <xdr:nvSpPr>
        <xdr:cNvPr id="10" name="TextBox 9">
          <a:extLst>
            <a:ext uri="{FF2B5EF4-FFF2-40B4-BE49-F238E27FC236}">
              <a16:creationId xmlns:a16="http://schemas.microsoft.com/office/drawing/2014/main" id="{AF076E56-FC1C-0C42-8B15-8FCBE4E732B6}"/>
            </a:ext>
          </a:extLst>
        </xdr:cNvPr>
        <xdr:cNvSpPr txBox="1"/>
      </xdr:nvSpPr>
      <xdr:spPr>
        <a:xfrm>
          <a:off x="2849637" y="2286000"/>
          <a:ext cx="843038" cy="4009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A9B1F2C-3684-E941-8BD0-67ADD80751B3}" type="TxLink">
            <a:rPr lang="en-US" sz="2000" b="1" i="0" u="none" strike="noStrike">
              <a:gradFill>
                <a:gsLst>
                  <a:gs pos="48000">
                    <a:srgbClr val="A0B3A8"/>
                  </a:gs>
                  <a:gs pos="0">
                    <a:schemeClr val="accent1">
                      <a:lumMod val="5000"/>
                      <a:lumOff val="95000"/>
                    </a:schemeClr>
                  </a:gs>
                  <a:gs pos="98000">
                    <a:schemeClr val="accent1">
                      <a:lumMod val="50000"/>
                    </a:schemeClr>
                  </a:gs>
                </a:gsLst>
                <a:lin ang="5400000" scaled="1"/>
              </a:gradFill>
              <a:latin typeface="Aptos Narrow"/>
              <a:ea typeface="+mn-ea"/>
              <a:cs typeface="+mn-cs"/>
            </a:rPr>
            <a:pPr marL="0" indent="0"/>
            <a:t>2.3</a:t>
          </a:fld>
          <a:endParaRPr lang="en-US" sz="2000" b="1" i="0" u="none" strike="noStrike">
            <a:gradFill>
              <a:gsLst>
                <a:gs pos="48000">
                  <a:srgbClr val="A0B3A8"/>
                </a:gs>
                <a:gs pos="0">
                  <a:schemeClr val="accent1">
                    <a:lumMod val="5000"/>
                    <a:lumOff val="95000"/>
                  </a:schemeClr>
                </a:gs>
                <a:gs pos="98000">
                  <a:schemeClr val="accent1">
                    <a:lumMod val="50000"/>
                  </a:schemeClr>
                </a:gs>
              </a:gsLst>
              <a:lin ang="5400000" scaled="1"/>
            </a:gradFill>
            <a:latin typeface="Aptos Narrow"/>
            <a:ea typeface="+mn-ea"/>
            <a:cs typeface="+mn-cs"/>
          </a:endParaRPr>
        </a:p>
      </xdr:txBody>
    </xdr:sp>
    <xdr:clientData/>
  </xdr:twoCellAnchor>
  <xdr:twoCellAnchor>
    <xdr:from>
      <xdr:col>0</xdr:col>
      <xdr:colOff>163284</xdr:colOff>
      <xdr:row>1</xdr:row>
      <xdr:rowOff>12699</xdr:rowOff>
    </xdr:from>
    <xdr:to>
      <xdr:col>3</xdr:col>
      <xdr:colOff>289680</xdr:colOff>
      <xdr:row>3</xdr:row>
      <xdr:rowOff>0</xdr:rowOff>
    </xdr:to>
    <xdr:sp macro="" textlink="">
      <xdr:nvSpPr>
        <xdr:cNvPr id="11" name="TextBox 10">
          <a:extLst>
            <a:ext uri="{FF2B5EF4-FFF2-40B4-BE49-F238E27FC236}">
              <a16:creationId xmlns:a16="http://schemas.microsoft.com/office/drawing/2014/main" id="{0E5BB019-3A88-2E6B-DDF9-A9D1885C02ED}"/>
            </a:ext>
          </a:extLst>
        </xdr:cNvPr>
        <xdr:cNvSpPr txBox="1"/>
      </xdr:nvSpPr>
      <xdr:spPr>
        <a:xfrm>
          <a:off x="163284" y="194128"/>
          <a:ext cx="2122110" cy="350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i="0" u="none" strike="noStrike">
              <a:gradFill>
                <a:gsLst>
                  <a:gs pos="48000">
                    <a:srgbClr val="A0B3A8"/>
                  </a:gs>
                  <a:gs pos="0">
                    <a:schemeClr val="accent1">
                      <a:lumMod val="5000"/>
                      <a:lumOff val="95000"/>
                    </a:schemeClr>
                  </a:gs>
                  <a:gs pos="98000">
                    <a:schemeClr val="accent1">
                      <a:lumMod val="50000"/>
                    </a:schemeClr>
                  </a:gs>
                </a:gsLst>
                <a:lin ang="5400000" scaled="1"/>
              </a:gradFill>
              <a:latin typeface="Aptos Narrow"/>
              <a:ea typeface="+mn-ea"/>
              <a:cs typeface="+mn-cs"/>
            </a:rPr>
            <a:t>Total</a:t>
          </a:r>
          <a:r>
            <a:rPr lang="en-US" sz="2000" b="1" i="0" u="none" strike="noStrike" baseline="0">
              <a:gradFill>
                <a:gsLst>
                  <a:gs pos="48000">
                    <a:srgbClr val="A0B3A8"/>
                  </a:gs>
                  <a:gs pos="0">
                    <a:schemeClr val="accent1">
                      <a:lumMod val="5000"/>
                      <a:lumOff val="95000"/>
                    </a:schemeClr>
                  </a:gs>
                  <a:gs pos="98000">
                    <a:schemeClr val="accent1">
                      <a:lumMod val="50000"/>
                    </a:schemeClr>
                  </a:gs>
                </a:gsLst>
                <a:lin ang="5400000" scaled="1"/>
              </a:gradFill>
              <a:latin typeface="Aptos Narrow"/>
              <a:ea typeface="+mn-ea"/>
              <a:cs typeface="+mn-cs"/>
            </a:rPr>
            <a:t> </a:t>
          </a:r>
          <a:r>
            <a:rPr lang="en-US" sz="2000" b="1" i="0" u="none" strike="noStrike">
              <a:gradFill>
                <a:gsLst>
                  <a:gs pos="48000">
                    <a:srgbClr val="A0B3A8"/>
                  </a:gs>
                  <a:gs pos="0">
                    <a:schemeClr val="accent1">
                      <a:lumMod val="5000"/>
                      <a:lumOff val="95000"/>
                    </a:schemeClr>
                  </a:gs>
                  <a:gs pos="98000">
                    <a:schemeClr val="accent1">
                      <a:lumMod val="50000"/>
                    </a:schemeClr>
                  </a:gs>
                </a:gsLst>
                <a:lin ang="5400000" scaled="1"/>
              </a:gradFill>
              <a:latin typeface="Aptos Narrow"/>
              <a:ea typeface="+mn-ea"/>
              <a:cs typeface="+mn-cs"/>
            </a:rPr>
            <a:t>Orders</a:t>
          </a:r>
        </a:p>
      </xdr:txBody>
    </xdr:sp>
    <xdr:clientData/>
  </xdr:twoCellAnchor>
  <xdr:twoCellAnchor>
    <xdr:from>
      <xdr:col>0</xdr:col>
      <xdr:colOff>163284</xdr:colOff>
      <xdr:row>4</xdr:row>
      <xdr:rowOff>1</xdr:rowOff>
    </xdr:from>
    <xdr:to>
      <xdr:col>3</xdr:col>
      <xdr:colOff>443491</xdr:colOff>
      <xdr:row>6</xdr:row>
      <xdr:rowOff>40318</xdr:rowOff>
    </xdr:to>
    <xdr:sp macro="" textlink="">
      <xdr:nvSpPr>
        <xdr:cNvPr id="13" name="TextBox 12">
          <a:extLst>
            <a:ext uri="{FF2B5EF4-FFF2-40B4-BE49-F238E27FC236}">
              <a16:creationId xmlns:a16="http://schemas.microsoft.com/office/drawing/2014/main" id="{B0332435-24C9-5A43-976C-A07DEC10C7E7}"/>
            </a:ext>
          </a:extLst>
        </xdr:cNvPr>
        <xdr:cNvSpPr txBox="1"/>
      </xdr:nvSpPr>
      <xdr:spPr>
        <a:xfrm>
          <a:off x="163284" y="725715"/>
          <a:ext cx="2275921" cy="403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i="0" u="none" strike="noStrike">
              <a:gradFill>
                <a:gsLst>
                  <a:gs pos="48000">
                    <a:srgbClr val="A0B3A8"/>
                  </a:gs>
                  <a:gs pos="0">
                    <a:schemeClr val="accent1">
                      <a:lumMod val="5000"/>
                      <a:lumOff val="95000"/>
                    </a:schemeClr>
                  </a:gs>
                  <a:gs pos="98000">
                    <a:schemeClr val="accent1">
                      <a:lumMod val="50000"/>
                    </a:schemeClr>
                  </a:gs>
                </a:gsLst>
                <a:lin ang="5400000" scaled="1"/>
              </a:gradFill>
              <a:latin typeface="Aptos Narrow"/>
              <a:ea typeface="+mn-ea"/>
              <a:cs typeface="+mn-cs"/>
            </a:rPr>
            <a:t>Total</a:t>
          </a:r>
          <a:r>
            <a:rPr lang="en-US" sz="2000" b="1" i="0" u="none" strike="noStrike" baseline="0">
              <a:gradFill>
                <a:gsLst>
                  <a:gs pos="48000">
                    <a:srgbClr val="A0B3A8"/>
                  </a:gs>
                  <a:gs pos="0">
                    <a:schemeClr val="accent1">
                      <a:lumMod val="5000"/>
                      <a:lumOff val="95000"/>
                    </a:schemeClr>
                  </a:gs>
                  <a:gs pos="98000">
                    <a:schemeClr val="accent1">
                      <a:lumMod val="50000"/>
                    </a:schemeClr>
                  </a:gs>
                </a:gsLst>
                <a:lin ang="5400000" scaled="1"/>
              </a:gradFill>
              <a:latin typeface="Aptos Narrow"/>
              <a:ea typeface="+mn-ea"/>
              <a:cs typeface="+mn-cs"/>
            </a:rPr>
            <a:t> </a:t>
          </a:r>
          <a:r>
            <a:rPr lang="en-US" sz="2000" b="1" i="0" u="none" strike="noStrike">
              <a:gradFill>
                <a:gsLst>
                  <a:gs pos="48000">
                    <a:srgbClr val="A0B3A8"/>
                  </a:gs>
                  <a:gs pos="0">
                    <a:schemeClr val="accent1">
                      <a:lumMod val="5000"/>
                      <a:lumOff val="95000"/>
                    </a:schemeClr>
                  </a:gs>
                  <a:gs pos="98000">
                    <a:schemeClr val="accent1">
                      <a:lumMod val="50000"/>
                    </a:schemeClr>
                  </a:gs>
                </a:gsLst>
                <a:lin ang="5400000" scaled="1"/>
              </a:gradFill>
              <a:latin typeface="Aptos Narrow"/>
              <a:ea typeface="+mn-ea"/>
              <a:cs typeface="+mn-cs"/>
            </a:rPr>
            <a:t>Quantity</a:t>
          </a:r>
        </a:p>
      </xdr:txBody>
    </xdr:sp>
    <xdr:clientData/>
  </xdr:twoCellAnchor>
  <xdr:twoCellAnchor>
    <xdr:from>
      <xdr:col>0</xdr:col>
      <xdr:colOff>163284</xdr:colOff>
      <xdr:row>6</xdr:row>
      <xdr:rowOff>134257</xdr:rowOff>
    </xdr:from>
    <xdr:to>
      <xdr:col>4</xdr:col>
      <xdr:colOff>88093</xdr:colOff>
      <xdr:row>9</xdr:row>
      <xdr:rowOff>20159</xdr:rowOff>
    </xdr:to>
    <xdr:sp macro="" textlink="">
      <xdr:nvSpPr>
        <xdr:cNvPr id="14" name="TextBox 13">
          <a:extLst>
            <a:ext uri="{FF2B5EF4-FFF2-40B4-BE49-F238E27FC236}">
              <a16:creationId xmlns:a16="http://schemas.microsoft.com/office/drawing/2014/main" id="{0E2DEDAE-2B66-0046-A42B-C535366EE56C}"/>
            </a:ext>
          </a:extLst>
        </xdr:cNvPr>
        <xdr:cNvSpPr txBox="1"/>
      </xdr:nvSpPr>
      <xdr:spPr>
        <a:xfrm>
          <a:off x="163284" y="1222828"/>
          <a:ext cx="2585761" cy="430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i="0" u="none" strike="noStrike">
              <a:gradFill>
                <a:gsLst>
                  <a:gs pos="48000">
                    <a:srgbClr val="A0B3A8"/>
                  </a:gs>
                  <a:gs pos="0">
                    <a:schemeClr val="accent1">
                      <a:lumMod val="5000"/>
                      <a:lumOff val="95000"/>
                    </a:schemeClr>
                  </a:gs>
                  <a:gs pos="98000">
                    <a:schemeClr val="accent1">
                      <a:lumMod val="50000"/>
                    </a:schemeClr>
                  </a:gs>
                </a:gsLst>
                <a:lin ang="5400000" scaled="1"/>
              </a:gradFill>
              <a:latin typeface="Aptos Narrow"/>
              <a:ea typeface="+mn-ea"/>
              <a:cs typeface="+mn-cs"/>
            </a:rPr>
            <a:t>Total</a:t>
          </a:r>
          <a:r>
            <a:rPr lang="en-US" sz="2000" b="1" i="0" u="none" strike="noStrike" baseline="0">
              <a:gradFill>
                <a:gsLst>
                  <a:gs pos="48000">
                    <a:srgbClr val="A0B3A8"/>
                  </a:gs>
                  <a:gs pos="0">
                    <a:schemeClr val="accent1">
                      <a:lumMod val="5000"/>
                      <a:lumOff val="95000"/>
                    </a:schemeClr>
                  </a:gs>
                  <a:gs pos="98000">
                    <a:schemeClr val="accent1">
                      <a:lumMod val="50000"/>
                    </a:schemeClr>
                  </a:gs>
                </a:gsLst>
                <a:lin ang="5400000" scaled="1"/>
              </a:gradFill>
              <a:latin typeface="Aptos Narrow"/>
              <a:ea typeface="+mn-ea"/>
              <a:cs typeface="+mn-cs"/>
            </a:rPr>
            <a:t> </a:t>
          </a:r>
          <a:r>
            <a:rPr lang="en-US" sz="2000" b="1" i="0" u="none" strike="noStrike">
              <a:gradFill>
                <a:gsLst>
                  <a:gs pos="48000">
                    <a:srgbClr val="A0B3A8"/>
                  </a:gs>
                  <a:gs pos="0">
                    <a:schemeClr val="accent1">
                      <a:lumMod val="5000"/>
                      <a:lumOff val="95000"/>
                    </a:schemeClr>
                  </a:gs>
                  <a:gs pos="98000">
                    <a:schemeClr val="accent1">
                      <a:lumMod val="50000"/>
                    </a:schemeClr>
                  </a:gs>
                </a:gsLst>
                <a:lin ang="5400000" scaled="1"/>
              </a:gradFill>
              <a:latin typeface="Aptos Narrow"/>
              <a:ea typeface="+mn-ea"/>
              <a:cs typeface="+mn-cs"/>
            </a:rPr>
            <a:t>Amount</a:t>
          </a:r>
        </a:p>
      </xdr:txBody>
    </xdr:sp>
    <xdr:clientData/>
  </xdr:twoCellAnchor>
  <xdr:twoCellAnchor>
    <xdr:from>
      <xdr:col>0</xdr:col>
      <xdr:colOff>163284</xdr:colOff>
      <xdr:row>9</xdr:row>
      <xdr:rowOff>108857</xdr:rowOff>
    </xdr:from>
    <xdr:to>
      <xdr:col>3</xdr:col>
      <xdr:colOff>9676</xdr:colOff>
      <xdr:row>12</xdr:row>
      <xdr:rowOff>0</xdr:rowOff>
    </xdr:to>
    <xdr:sp macro="" textlink="">
      <xdr:nvSpPr>
        <xdr:cNvPr id="15" name="TextBox 14">
          <a:extLst>
            <a:ext uri="{FF2B5EF4-FFF2-40B4-BE49-F238E27FC236}">
              <a16:creationId xmlns:a16="http://schemas.microsoft.com/office/drawing/2014/main" id="{FA1156CB-F909-8642-92BC-05517FB94F60}"/>
            </a:ext>
          </a:extLst>
        </xdr:cNvPr>
        <xdr:cNvSpPr txBox="1"/>
      </xdr:nvSpPr>
      <xdr:spPr>
        <a:xfrm>
          <a:off x="163284" y="1741714"/>
          <a:ext cx="1842106" cy="435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000" b="1" i="0" u="none" strike="noStrike">
              <a:gradFill>
                <a:gsLst>
                  <a:gs pos="48000">
                    <a:srgbClr val="A0B3A8"/>
                  </a:gs>
                  <a:gs pos="0">
                    <a:schemeClr val="accent1">
                      <a:lumMod val="5000"/>
                      <a:lumOff val="95000"/>
                    </a:schemeClr>
                  </a:gs>
                  <a:gs pos="98000">
                    <a:schemeClr val="accent1">
                      <a:lumMod val="50000"/>
                    </a:schemeClr>
                  </a:gs>
                </a:gsLst>
                <a:lin ang="5400000" scaled="1"/>
              </a:gradFill>
              <a:latin typeface="Aptos Narrow"/>
              <a:ea typeface="+mn-ea"/>
              <a:cs typeface="+mn-cs"/>
            </a:rPr>
            <a:t>AVG</a:t>
          </a:r>
          <a:r>
            <a:rPr lang="en-US" sz="2000" b="1" i="0" u="none" strike="noStrike" baseline="0">
              <a:gradFill>
                <a:gsLst>
                  <a:gs pos="48000">
                    <a:srgbClr val="A0B3A8"/>
                  </a:gs>
                  <a:gs pos="0">
                    <a:schemeClr val="accent1">
                      <a:lumMod val="5000"/>
                      <a:lumOff val="95000"/>
                    </a:schemeClr>
                  </a:gs>
                  <a:gs pos="98000">
                    <a:schemeClr val="accent1">
                      <a:lumMod val="50000"/>
                    </a:schemeClr>
                  </a:gs>
                </a:gsLst>
                <a:lin ang="5400000" scaled="1"/>
              </a:gradFill>
              <a:latin typeface="Aptos Narrow"/>
              <a:ea typeface="+mn-ea"/>
              <a:cs typeface="+mn-cs"/>
            </a:rPr>
            <a:t> </a:t>
          </a:r>
          <a:r>
            <a:rPr lang="en-US" sz="2000" b="1" i="0" u="none" strike="noStrike">
              <a:gradFill>
                <a:gsLst>
                  <a:gs pos="48000">
                    <a:srgbClr val="A0B3A8"/>
                  </a:gs>
                  <a:gs pos="0">
                    <a:schemeClr val="accent1">
                      <a:lumMod val="5000"/>
                      <a:lumOff val="95000"/>
                    </a:schemeClr>
                  </a:gs>
                  <a:gs pos="98000">
                    <a:schemeClr val="accent1">
                      <a:lumMod val="50000"/>
                    </a:schemeClr>
                  </a:gs>
                </a:gsLst>
                <a:lin ang="5400000" scaled="1"/>
              </a:gradFill>
              <a:latin typeface="Aptos Narrow"/>
              <a:ea typeface="+mn-ea"/>
              <a:cs typeface="+mn-cs"/>
            </a:rPr>
            <a:t>Rattings</a:t>
          </a:r>
        </a:p>
      </xdr:txBody>
    </xdr:sp>
    <xdr:clientData/>
  </xdr:twoCellAnchor>
  <xdr:twoCellAnchor>
    <xdr:from>
      <xdr:col>0</xdr:col>
      <xdr:colOff>163284</xdr:colOff>
      <xdr:row>12</xdr:row>
      <xdr:rowOff>96157</xdr:rowOff>
    </xdr:from>
    <xdr:to>
      <xdr:col>4</xdr:col>
      <xdr:colOff>35076</xdr:colOff>
      <xdr:row>14</xdr:row>
      <xdr:rowOff>100794</xdr:rowOff>
    </xdr:to>
    <xdr:sp macro="" textlink="">
      <xdr:nvSpPr>
        <xdr:cNvPr id="16" name="TextBox 15">
          <a:extLst>
            <a:ext uri="{FF2B5EF4-FFF2-40B4-BE49-F238E27FC236}">
              <a16:creationId xmlns:a16="http://schemas.microsoft.com/office/drawing/2014/main" id="{772B0E93-EFED-2C44-8808-CBE300DD6FE3}"/>
            </a:ext>
          </a:extLst>
        </xdr:cNvPr>
        <xdr:cNvSpPr txBox="1"/>
      </xdr:nvSpPr>
      <xdr:spPr>
        <a:xfrm>
          <a:off x="163284" y="2273300"/>
          <a:ext cx="2532744" cy="3674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000" b="1" i="0" u="none" strike="noStrike">
              <a:gradFill>
                <a:gsLst>
                  <a:gs pos="48000">
                    <a:srgbClr val="A0B3A8"/>
                  </a:gs>
                  <a:gs pos="0">
                    <a:schemeClr val="accent1">
                      <a:lumMod val="5000"/>
                      <a:lumOff val="95000"/>
                    </a:schemeClr>
                  </a:gs>
                  <a:gs pos="98000">
                    <a:schemeClr val="accent1">
                      <a:lumMod val="50000"/>
                    </a:schemeClr>
                  </a:gs>
                </a:gsLst>
                <a:lin ang="5400000" scaled="1"/>
              </a:gradFill>
              <a:latin typeface="Aptos Narrow"/>
              <a:ea typeface="+mn-ea"/>
              <a:cs typeface="+mn-cs"/>
            </a:rPr>
            <a:t>Avg days to deliver </a:t>
          </a:r>
        </a:p>
        <a:p>
          <a:pPr marL="0" indent="0"/>
          <a:endParaRPr lang="en-US" sz="2000" b="1" i="0" u="none" strike="noStrike">
            <a:gradFill>
              <a:gsLst>
                <a:gs pos="48000">
                  <a:srgbClr val="A0B3A8"/>
                </a:gs>
                <a:gs pos="0">
                  <a:schemeClr val="accent1">
                    <a:lumMod val="5000"/>
                    <a:lumOff val="95000"/>
                  </a:schemeClr>
                </a:gs>
                <a:gs pos="98000">
                  <a:schemeClr val="accent1">
                    <a:lumMod val="50000"/>
                  </a:schemeClr>
                </a:gs>
              </a:gsLst>
              <a:lin ang="5400000" scaled="1"/>
            </a:gradFill>
            <a:latin typeface="Aptos Narrow"/>
            <a:ea typeface="+mn-ea"/>
            <a:cs typeface="+mn-cs"/>
          </a:endParaRPr>
        </a:p>
      </xdr:txBody>
    </xdr:sp>
    <xdr:clientData/>
  </xdr:twoCellAnchor>
  <xdr:twoCellAnchor>
    <xdr:from>
      <xdr:col>6</xdr:col>
      <xdr:colOff>43541</xdr:colOff>
      <xdr:row>0</xdr:row>
      <xdr:rowOff>125187</xdr:rowOff>
    </xdr:from>
    <xdr:to>
      <xdr:col>15</xdr:col>
      <xdr:colOff>361242</xdr:colOff>
      <xdr:row>16</xdr:row>
      <xdr:rowOff>60476</xdr:rowOff>
    </xdr:to>
    <xdr:graphicFrame macro="">
      <xdr:nvGraphicFramePr>
        <xdr:cNvPr id="17" name="Chart 16">
          <a:extLst>
            <a:ext uri="{FF2B5EF4-FFF2-40B4-BE49-F238E27FC236}">
              <a16:creationId xmlns:a16="http://schemas.microsoft.com/office/drawing/2014/main" id="{7EDD0F5F-93B7-984A-8026-051E5997AA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511024</xdr:colOff>
      <xdr:row>0</xdr:row>
      <xdr:rowOff>128613</xdr:rowOff>
    </xdr:from>
    <xdr:to>
      <xdr:col>28</xdr:col>
      <xdr:colOff>631975</xdr:colOff>
      <xdr:row>16</xdr:row>
      <xdr:rowOff>40318</xdr:rowOff>
    </xdr:to>
    <xdr:sp macro="" textlink="">
      <xdr:nvSpPr>
        <xdr:cNvPr id="20" name="Rectangle 19">
          <a:extLst>
            <a:ext uri="{FF2B5EF4-FFF2-40B4-BE49-F238E27FC236}">
              <a16:creationId xmlns:a16="http://schemas.microsoft.com/office/drawing/2014/main" id="{14803104-B44D-1E7F-5393-AC06692328D4}"/>
            </a:ext>
          </a:extLst>
        </xdr:cNvPr>
        <xdr:cNvSpPr/>
      </xdr:nvSpPr>
      <xdr:spPr>
        <a:xfrm>
          <a:off x="10580310" y="128613"/>
          <a:ext cx="8847665" cy="310484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17</xdr:col>
          <xdr:colOff>102807</xdr:colOff>
          <xdr:row>1</xdr:row>
          <xdr:rowOff>167921</xdr:rowOff>
        </xdr:from>
        <xdr:to>
          <xdr:col>27</xdr:col>
          <xdr:colOff>80634</xdr:colOff>
          <xdr:row>14</xdr:row>
          <xdr:rowOff>0</xdr:rowOff>
        </xdr:to>
        <xdr:pic>
          <xdr:nvPicPr>
            <xdr:cNvPr id="18" name="Picture 17">
              <a:extLst>
                <a:ext uri="{FF2B5EF4-FFF2-40B4-BE49-F238E27FC236}">
                  <a16:creationId xmlns:a16="http://schemas.microsoft.com/office/drawing/2014/main" id="{9240AEA7-CCEF-EE43-426A-A6022256748E}"/>
                </a:ext>
              </a:extLst>
            </xdr:cNvPr>
            <xdr:cNvPicPr>
              <a:picLocks noChangeAspect="1" noChangeArrowheads="1"/>
              <a:extLst>
                <a:ext uri="{84589F7E-364E-4C9E-8A38-B11213B215E9}">
                  <a14:cameraTool cellRange="Sheet1!$H$32:$L$37" spid="_x0000_s1205"/>
                </a:ext>
              </a:extLst>
            </xdr:cNvPicPr>
          </xdr:nvPicPr>
          <xdr:blipFill>
            <a:blip xmlns:r="http://schemas.openxmlformats.org/officeDocument/2006/relationships" r:embed="rId2"/>
            <a:srcRect/>
            <a:stretch>
              <a:fillRect/>
            </a:stretch>
          </xdr:blipFill>
          <xdr:spPr bwMode="auto">
            <a:xfrm>
              <a:off x="11411855" y="349350"/>
              <a:ext cx="6630208" cy="21906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29</xdr:col>
      <xdr:colOff>80636</xdr:colOff>
      <xdr:row>0</xdr:row>
      <xdr:rowOff>97367</xdr:rowOff>
    </xdr:from>
    <xdr:to>
      <xdr:col>39</xdr:col>
      <xdr:colOff>604762</xdr:colOff>
      <xdr:row>16</xdr:row>
      <xdr:rowOff>40318</xdr:rowOff>
    </xdr:to>
    <xdr:graphicFrame macro="">
      <xdr:nvGraphicFramePr>
        <xdr:cNvPr id="22" name="Chart 21">
          <a:extLst>
            <a:ext uri="{FF2B5EF4-FFF2-40B4-BE49-F238E27FC236}">
              <a16:creationId xmlns:a16="http://schemas.microsoft.com/office/drawing/2014/main" id="{221626A1-5943-8C40-92FA-E2AD5C6D9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43541</xdr:colOff>
      <xdr:row>16</xdr:row>
      <xdr:rowOff>133651</xdr:rowOff>
    </xdr:from>
    <xdr:to>
      <xdr:col>15</xdr:col>
      <xdr:colOff>362856</xdr:colOff>
      <xdr:row>44</xdr:row>
      <xdr:rowOff>141110</xdr:rowOff>
    </xdr:to>
    <xdr:graphicFrame macro="">
      <xdr:nvGraphicFramePr>
        <xdr:cNvPr id="23" name="Chart 22">
          <a:extLst>
            <a:ext uri="{FF2B5EF4-FFF2-40B4-BE49-F238E27FC236}">
              <a16:creationId xmlns:a16="http://schemas.microsoft.com/office/drawing/2014/main" id="{EB443C39-00EA-AB4D-A5E6-A4BEFC35A2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464255</xdr:colOff>
      <xdr:row>16</xdr:row>
      <xdr:rowOff>135669</xdr:rowOff>
    </xdr:from>
    <xdr:to>
      <xdr:col>29</xdr:col>
      <xdr:colOff>7458</xdr:colOff>
      <xdr:row>44</xdr:row>
      <xdr:rowOff>181429</xdr:rowOff>
    </xdr:to>
    <mc:AlternateContent xmlns:mc="http://schemas.openxmlformats.org/markup-compatibility/2006">
      <mc:Choice xmlns:cx4="http://schemas.microsoft.com/office/drawing/2016/5/10/chartex" Requires="cx4">
        <xdr:graphicFrame macro="">
          <xdr:nvGraphicFramePr>
            <xdr:cNvPr id="24" name="Chart 23">
              <a:extLst>
                <a:ext uri="{FF2B5EF4-FFF2-40B4-BE49-F238E27FC236}">
                  <a16:creationId xmlns:a16="http://schemas.microsoft.com/office/drawing/2014/main" id="{3A4E1E66-5426-954B-AC98-235DDF566C7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533541" y="3328812"/>
              <a:ext cx="8941203" cy="56337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199570</xdr:colOff>
      <xdr:row>17</xdr:row>
      <xdr:rowOff>154214</xdr:rowOff>
    </xdr:from>
    <xdr:to>
      <xdr:col>28</xdr:col>
      <xdr:colOff>526140</xdr:colOff>
      <xdr:row>32</xdr:row>
      <xdr:rowOff>90714</xdr:rowOff>
    </xdr:to>
    <mc:AlternateContent xmlns:mc="http://schemas.openxmlformats.org/markup-compatibility/2006">
      <mc:Choice xmlns:cx4="http://schemas.microsoft.com/office/drawing/2016/5/10/chartex" Requires="cx4">
        <xdr:graphicFrame macro="">
          <xdr:nvGraphicFramePr>
            <xdr:cNvPr id="25" name="Chart 24">
              <a:extLst>
                <a:ext uri="{FF2B5EF4-FFF2-40B4-BE49-F238E27FC236}">
                  <a16:creationId xmlns:a16="http://schemas.microsoft.com/office/drawing/2014/main" id="{1546A44A-EF7C-C64B-9D5B-F0A00B8CCE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6310427" y="3546928"/>
              <a:ext cx="3011713" cy="293007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29</xdr:col>
      <xdr:colOff>60474</xdr:colOff>
      <xdr:row>16</xdr:row>
      <xdr:rowOff>161269</xdr:rowOff>
    </xdr:from>
    <xdr:to>
      <xdr:col>39</xdr:col>
      <xdr:colOff>604762</xdr:colOff>
      <xdr:row>44</xdr:row>
      <xdr:rowOff>120952</xdr:rowOff>
    </xdr:to>
    <xdr:graphicFrame macro="">
      <xdr:nvGraphicFramePr>
        <xdr:cNvPr id="26" name="Chart 25">
          <a:extLst>
            <a:ext uri="{FF2B5EF4-FFF2-40B4-BE49-F238E27FC236}">
              <a16:creationId xmlns:a16="http://schemas.microsoft.com/office/drawing/2014/main" id="{C1454F41-B1BD-2E47-A32E-CA10B55D51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162127</xdr:colOff>
      <xdr:row>15</xdr:row>
      <xdr:rowOff>162129</xdr:rowOff>
    </xdr:from>
    <xdr:to>
      <xdr:col>5</xdr:col>
      <xdr:colOff>378297</xdr:colOff>
      <xdr:row>25</xdr:row>
      <xdr:rowOff>135108</xdr:rowOff>
    </xdr:to>
    <mc:AlternateContent xmlns:mc="http://schemas.openxmlformats.org/markup-compatibility/2006">
      <mc:Choice xmlns:a14="http://schemas.microsoft.com/office/drawing/2010/main" Requires="a14">
        <xdr:graphicFrame macro="">
          <xdr:nvGraphicFramePr>
            <xdr:cNvPr id="27" name="Order Mode 1">
              <a:extLst>
                <a:ext uri="{FF2B5EF4-FFF2-40B4-BE49-F238E27FC236}">
                  <a16:creationId xmlns:a16="http://schemas.microsoft.com/office/drawing/2014/main" id="{98B1F83A-46FB-7D43-AD8C-EDF0DED06D7F}"/>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dr:sp macro="" textlink="">
          <xdr:nvSpPr>
            <xdr:cNvPr id="0" name=""/>
            <xdr:cNvSpPr>
              <a:spLocks noTextEdit="1"/>
            </xdr:cNvSpPr>
          </xdr:nvSpPr>
          <xdr:spPr>
            <a:xfrm>
              <a:off x="162127" y="3155700"/>
              <a:ext cx="3572599" cy="19686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108084</xdr:colOff>
      <xdr:row>27</xdr:row>
      <xdr:rowOff>108086</xdr:rowOff>
    </xdr:from>
    <xdr:to>
      <xdr:col>5</xdr:col>
      <xdr:colOff>432339</xdr:colOff>
      <xdr:row>38</xdr:row>
      <xdr:rowOff>54043</xdr:rowOff>
    </xdr:to>
    <mc:AlternateContent xmlns:mc="http://schemas.openxmlformats.org/markup-compatibility/2006">
      <mc:Choice xmlns:a14="http://schemas.microsoft.com/office/drawing/2010/main" Requires="a14">
        <xdr:graphicFrame macro="">
          <xdr:nvGraphicFramePr>
            <xdr:cNvPr id="28" name="Gender Value 1">
              <a:extLst>
                <a:ext uri="{FF2B5EF4-FFF2-40B4-BE49-F238E27FC236}">
                  <a16:creationId xmlns:a16="http://schemas.microsoft.com/office/drawing/2014/main" id="{70F5B18E-9F74-C944-91E6-23E4DD167473}"/>
                </a:ext>
              </a:extLst>
            </xdr:cNvPr>
            <xdr:cNvGraphicFramePr/>
          </xdr:nvGraphicFramePr>
          <xdr:xfrm>
            <a:off x="0" y="0"/>
            <a:ext cx="0" cy="0"/>
          </xdr:xfrm>
          <a:graphic>
            <a:graphicData uri="http://schemas.microsoft.com/office/drawing/2010/slicer">
              <sle:slicer xmlns:sle="http://schemas.microsoft.com/office/drawing/2010/slicer" name="Gender Value 1"/>
            </a:graphicData>
          </a:graphic>
        </xdr:graphicFrame>
      </mc:Choice>
      <mc:Fallback>
        <xdr:sp macro="" textlink="">
          <xdr:nvSpPr>
            <xdr:cNvPr id="0" name=""/>
            <xdr:cNvSpPr>
              <a:spLocks noTextEdit="1"/>
            </xdr:cNvSpPr>
          </xdr:nvSpPr>
          <xdr:spPr>
            <a:xfrm>
              <a:off x="108084" y="5496515"/>
              <a:ext cx="3680684" cy="21412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tin Mistry" refreshedDate="46314.850445254633" createdVersion="8" refreshedVersion="8" minRefreshableVersion="3" recordCount="2400" xr:uid="{0F9822BF-6141-AD4A-9815-52614A95FAE6}">
  <cacheSource type="worksheet">
    <worksheetSource name="orders"/>
  </cacheSource>
  <cacheFields count="16">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ount="1764">
        <n v="10.9"/>
        <n v="61.2"/>
        <n v="328.20000000000005"/>
        <n v="263.90000000000003"/>
        <n v="170.10000000000002"/>
        <n v="1002"/>
        <n v="55.3"/>
        <n v="80.599999999999994"/>
        <n v="392.70000000000005"/>
        <n v="156.79999999999998"/>
        <n v="108.8"/>
        <n v="98"/>
        <n v="830.19999999999993"/>
        <n v="2386.8000000000002"/>
        <n v="66.7"/>
        <n v="309"/>
        <n v="93.300000000000011"/>
        <n v="109.80000000000001"/>
        <n v="408.8"/>
        <n v="25.2"/>
        <n v="219"/>
        <n v="560.40000000000009"/>
        <n v="1518.1000000000001"/>
        <n v="211.2"/>
        <n v="710.4"/>
        <n v="175"/>
        <n v="348.3"/>
        <n v="228.8"/>
        <n v="254.5"/>
        <n v="287"/>
        <n v="133.70000000000002"/>
        <n v="830.5"/>
        <n v="89.699999999999989"/>
        <n v="130.19999999999999"/>
        <n v="64"/>
        <n v="31.6"/>
        <n v="3452.7"/>
        <n v="507"/>
        <n v="26.5"/>
        <n v="43.1"/>
        <n v="417"/>
        <n v="80.7"/>
        <n v="109"/>
        <n v="205.79999999999998"/>
        <n v="543.6"/>
        <n v="283.60000000000002"/>
        <n v="318.5"/>
        <n v="29.7"/>
        <n v="80.400000000000006"/>
        <n v="27"/>
        <n v="41.4"/>
        <n v="48.6"/>
        <n v="125.10000000000001"/>
        <n v="36"/>
        <n v="273.89999999999998"/>
        <n v="154.4"/>
        <n v="821.6"/>
        <n v="299.7"/>
        <n v="128.4"/>
        <n v="69.300000000000011"/>
        <n v="142.19999999999999"/>
        <n v="23"/>
        <n v="1314.8"/>
        <n v="26.8"/>
        <n v="93.6"/>
        <n v="226.4"/>
        <n v="168"/>
        <n v="178.2"/>
        <n v="97.7"/>
        <n v="390.8"/>
        <n v="89.6"/>
        <n v="511.2"/>
        <n v="35.799999999999997"/>
        <n v="96.8"/>
        <n v="177.6"/>
        <n v="829.6"/>
        <n v="234.4"/>
        <n v="219.2"/>
        <n v="236.39999999999998"/>
        <n v="184"/>
        <n v="303.60000000000002"/>
        <n v="110.39999999999999"/>
        <n v="376.2"/>
        <n v="77.3"/>
        <n v="79.2"/>
        <n v="62"/>
        <n v="46.8"/>
        <n v="257.40000000000003"/>
        <n v="273.5"/>
        <n v="783"/>
        <n v="100.8"/>
        <n v="799.5"/>
        <n v="120.4"/>
        <n v="374"/>
        <n v="194.70000000000002"/>
        <n v="101"/>
        <n v="441"/>
        <n v="280.79999999999995"/>
        <n v="1242"/>
        <n v="320"/>
        <n v="115.5"/>
        <n v="106"/>
        <n v="55.5"/>
        <n v="253.5"/>
        <n v="218.4"/>
        <n v="586.80000000000007"/>
        <n v="181.6"/>
        <n v="1440"/>
        <n v="75.599999999999994"/>
        <n v="32"/>
        <n v="74.599999999999994"/>
        <n v="119.8"/>
        <n v="52.8"/>
        <n v="459"/>
        <n v="457"/>
        <n v="1111.1999999999998"/>
        <n v="360.6"/>
        <n v="132.89999999999998"/>
        <n v="189.89999999999998"/>
        <n v="66.8"/>
        <n v="119.4"/>
        <n v="552"/>
        <n v="175.2"/>
        <n v="232.6"/>
        <n v="263.5"/>
        <n v="102.60000000000001"/>
        <n v="23.3"/>
        <n v="673.4"/>
        <n v="1592.1"/>
        <n v="227.39999999999998"/>
        <n v="404.09999999999997"/>
        <n v="97.6"/>
        <n v="20.3"/>
        <n v="254.79999999999998"/>
        <n v="19"/>
        <n v="17.8"/>
        <n v="837.59999999999991"/>
        <n v="31.7"/>
        <n v="210.4"/>
        <n v="95.6"/>
        <n v="208.20000000000002"/>
        <n v="309.60000000000002"/>
        <n v="105.6"/>
        <n v="62.8"/>
        <n v="39.700000000000003"/>
        <n v="124.4"/>
        <n v="351"/>
        <n v="228.4"/>
        <n v="449.5"/>
        <n v="336.7"/>
        <n v="58.6"/>
        <n v="115.2"/>
        <n v="202.5"/>
        <n v="911.39999999999986"/>
        <n v="161.19999999999999"/>
        <n v="259"/>
        <n v="183.89999999999998"/>
        <n v="490"/>
        <n v="112.5"/>
        <n v="300"/>
        <n v="120"/>
        <n v="308"/>
        <n v="172.8"/>
        <n v="50.7"/>
        <n v="122"/>
        <n v="39.799999999999997"/>
        <n v="78.3"/>
        <n v="197.6"/>
        <n v="36.1"/>
        <n v="34.6"/>
        <n v="61"/>
        <n v="4346.2"/>
        <n v="76.099999999999994"/>
        <n v="444.6"/>
        <n v="151.5"/>
        <n v="262.5"/>
        <n v="315.7"/>
        <n v="364"/>
        <n v="13.3"/>
        <n v="47.099999999999994"/>
        <n v="51.2"/>
        <n v="43.4"/>
        <n v="300.59999999999997"/>
        <n v="1045"/>
        <n v="70.800000000000011"/>
        <n v="936"/>
        <n v="103.6"/>
        <n v="172.5"/>
        <n v="5654.5"/>
        <n v="334.59999999999997"/>
        <n v="20.399999999999999"/>
        <n v="328"/>
        <n v="355.59999999999997"/>
        <n v="118.80000000000001"/>
        <n v="139"/>
        <n v="260.8"/>
        <n v="98.2"/>
        <n v="98.8"/>
        <n v="455.69999999999993"/>
        <n v="104.2"/>
        <n v="516.79999999999995"/>
        <n v="1554.2"/>
        <n v="24.9"/>
        <n v="148.19999999999999"/>
        <n v="45.4"/>
        <n v="545.5"/>
        <n v="215.6"/>
        <n v="551.19999999999993"/>
        <n v="276"/>
        <n v="138.60000000000002"/>
        <n v="487"/>
        <n v="105"/>
        <n v="65.400000000000006"/>
        <n v="192"/>
        <n v="204.60000000000002"/>
        <n v="107.8"/>
        <n v="248.4"/>
        <n v="231.70000000000002"/>
        <n v="176"/>
        <n v="96.300000000000011"/>
        <n v="38.1"/>
        <n v="65.2"/>
        <n v="386.40000000000003"/>
        <n v="137.69999999999999"/>
        <n v="174.89999999999998"/>
        <n v="44.6"/>
        <n v="213"/>
        <n v="2369.7999999999997"/>
        <n v="202.79999999999998"/>
        <n v="400.20000000000005"/>
        <n v="212.4"/>
        <n v="172.2"/>
        <n v="290.5"/>
        <n v="95.4"/>
        <n v="94.5"/>
        <n v="391.3"/>
        <n v="72.8"/>
        <n v="236.5"/>
        <n v="247.5"/>
        <n v="14.3"/>
        <n v="345.6"/>
        <n v="427.20000000000005"/>
        <n v="30.2"/>
        <n v="195.89999999999998"/>
        <n v="90.2"/>
        <n v="431.90000000000003"/>
        <n v="135.30000000000001"/>
        <n v="113.5"/>
        <n v="17.600000000000001"/>
        <n v="22.6"/>
        <n v="160.19999999999999"/>
        <n v="562.1"/>
        <n v="55"/>
        <n v="33.5"/>
        <n v="59.5"/>
        <n v="94"/>
        <n v="49.7"/>
        <n v="176.8"/>
        <n v="22.1"/>
        <n v="272.70000000000005"/>
        <n v="133.5"/>
        <n v="193.79999999999998"/>
        <n v="243.5"/>
        <n v="527.20000000000005"/>
        <n v="209.5"/>
        <n v="337.5"/>
        <n v="60.4"/>
        <n v="212.79999999999998"/>
        <n v="49"/>
        <n v="317.70000000000005"/>
        <n v="621.59999999999991"/>
        <n v="200.39999999999998"/>
        <n v="336.9"/>
        <n v="564.59999999999991"/>
        <n v="40.700000000000003"/>
        <n v="142.80000000000001"/>
        <n v="280.8"/>
        <n v="151.19999999999999"/>
        <n v="84.300000000000011"/>
        <n v="308.39999999999998"/>
        <n v="195.4"/>
        <n v="255.2"/>
        <n v="40.200000000000003"/>
        <n v="16.2"/>
        <n v="566.30000000000007"/>
        <n v="571.20000000000005"/>
        <n v="563.20000000000005"/>
        <n v="53.5"/>
        <n v="381.70000000000005"/>
        <n v="306.90000000000003"/>
        <n v="1435.7"/>
        <n v="55.2"/>
        <n v="78"/>
        <n v="28.4"/>
        <n v="204.29999999999998"/>
        <n v="297"/>
        <n v="95.1"/>
        <n v="121.6"/>
        <n v="102.4"/>
        <n v="69.8"/>
        <n v="256.20000000000005"/>
        <n v="23.9"/>
        <n v="124.3"/>
        <n v="215.39999999999998"/>
        <n v="138.19999999999999"/>
        <n v="58.4"/>
        <n v="555.90000000000009"/>
        <n v="170.79999999999998"/>
        <n v="200"/>
        <n v="129"/>
        <n v="322"/>
        <n v="114.8"/>
        <n v="165.3"/>
        <n v="279.89999999999998"/>
        <n v="3005.7999999999997"/>
        <n v="149.80000000000001"/>
        <n v="182"/>
        <n v="225"/>
        <n v="151.6"/>
        <n v="48.5"/>
        <n v="296.70000000000005"/>
        <n v="610.79999999999995"/>
        <n v="508.20000000000005"/>
        <n v="20.7"/>
        <n v="520.19999999999993"/>
        <n v="213.8"/>
        <n v="226"/>
        <n v="449.8"/>
        <n v="43.8"/>
        <n v="36.700000000000003"/>
        <n v="81.599999999999994"/>
        <n v="58.2"/>
        <n v="76.800000000000011"/>
        <n v="21.2"/>
        <n v="96.4"/>
        <n v="333.6"/>
        <n v="135.89999999999998"/>
        <n v="42"/>
        <n v="196.20000000000002"/>
        <n v="385.2"/>
        <n v="135"/>
        <n v="39.6"/>
        <n v="239.39999999999998"/>
        <n v="254.4"/>
        <n v="927"/>
        <n v="193.6"/>
        <n v="288"/>
        <n v="324"/>
        <n v="431.2"/>
        <n v="435.59999999999997"/>
        <n v="99.8"/>
        <n v="155.10000000000002"/>
        <n v="125.39999999999999"/>
        <n v="144.80000000000001"/>
        <n v="150.9"/>
        <n v="310.39999999999998"/>
        <n v="327.5"/>
        <n v="270.29999999999995"/>
        <n v="216.6"/>
        <n v="179.7"/>
        <n v="2363"/>
        <n v="261.89999999999998"/>
        <n v="169.2"/>
        <n v="828.8"/>
        <n v="181.8"/>
        <n v="1614.4"/>
        <n v="180"/>
        <n v="499.79999999999995"/>
        <n v="1025.0999999999999"/>
        <n v="721.8"/>
        <n v="340"/>
        <n v="948"/>
        <n v="74"/>
        <n v="302"/>
        <n v="138.6"/>
        <n v="405"/>
        <n v="124.5"/>
        <n v="139.4"/>
        <n v="418"/>
        <n v="150.5"/>
        <n v="112.80000000000001"/>
        <n v="140.4"/>
        <n v="25.4"/>
        <n v="137"/>
        <n v="122.6"/>
        <n v="129.4"/>
        <n v="365.6"/>
        <n v="66.2"/>
        <n v="139.19999999999999"/>
        <n v="494.19999999999993"/>
        <n v="32.200000000000003"/>
        <n v="55.8"/>
        <n v="47.1"/>
        <n v="170"/>
        <n v="178"/>
        <n v="304.5"/>
        <n v="579.5"/>
        <n v="215.4"/>
        <n v="1484.6000000000001"/>
        <n v="1117"/>
        <n v="310.09999999999997"/>
        <n v="766.4"/>
        <n v="158.20000000000002"/>
        <n v="204.8"/>
        <n v="868.8"/>
        <n v="666.9"/>
        <n v="31.2"/>
        <n v="90.9"/>
        <n v="60.6"/>
        <n v="159"/>
        <n v="1078.2"/>
        <n v="91.4"/>
        <n v="184.4"/>
        <n v="52.5"/>
        <n v="109.5"/>
        <n v="95"/>
        <n v="228"/>
        <n v="998"/>
        <n v="67.800000000000011"/>
        <n v="1903.5"/>
        <n v="200.6"/>
        <n v="442.8"/>
        <n v="94.6"/>
        <n v="285.59999999999997"/>
        <n v="393.6"/>
        <n v="28.5"/>
        <n v="73.599999999999994"/>
        <n v="100.5"/>
        <n v="375"/>
        <n v="1916"/>
        <n v="557.40000000000009"/>
        <n v="132.30000000000001"/>
        <n v="11.4"/>
        <n v="83.7"/>
        <n v="46.4"/>
        <n v="162.1"/>
        <n v="196.8"/>
        <n v="531"/>
        <n v="44.8"/>
        <n v="376.5"/>
        <n v="42.6"/>
        <n v="245"/>
        <n v="93.9"/>
        <n v="170.8"/>
        <n v="160"/>
        <n v="77"/>
        <n v="115.6"/>
        <n v="19.2"/>
        <n v="688.8"/>
        <n v="338.8"/>
        <n v="366"/>
        <n v="97.2"/>
        <n v="292.20000000000005"/>
        <n v="64.400000000000006"/>
        <n v="206.4"/>
        <n v="189.6"/>
        <n v="1420"/>
        <n v="292.8"/>
        <n v="50.400000000000006"/>
        <n v="393.79999999999995"/>
        <n v="64.900000000000006"/>
        <n v="207"/>
        <n v="82.4"/>
        <n v="37.799999999999997"/>
        <n v="85.2"/>
        <n v="152"/>
        <n v="55.4"/>
        <n v="249.60000000000002"/>
        <n v="145.4"/>
        <n v="42.4"/>
        <n v="83"/>
        <n v="530.1"/>
        <n v="57.1"/>
        <n v="57.2"/>
        <n v="70.2"/>
        <n v="52.1"/>
        <n v="179.39999999999998"/>
        <n v="333.2"/>
        <n v="495.59999999999997"/>
        <n v="80"/>
        <n v="41.6"/>
        <n v="758.80000000000007"/>
        <n v="77.8"/>
        <n v="21.6"/>
        <n v="629.19999999999993"/>
        <n v="87.6"/>
        <n v="50.2"/>
        <n v="196.79999999999998"/>
        <n v="114.6"/>
        <n v="411.3"/>
        <n v="1628"/>
        <n v="78.400000000000006"/>
        <n v="1065.9000000000001"/>
        <n v="120.2"/>
        <n v="45.8"/>
        <n v="75.2"/>
        <n v="39.200000000000003"/>
        <n v="90.5"/>
        <n v="372.9"/>
        <n v="65.599999999999994"/>
        <n v="49.9"/>
        <n v="396"/>
        <n v="312"/>
        <n v="72"/>
        <n v="41.2"/>
        <n v="1672"/>
        <n v="2235"/>
        <n v="157.19999999999999"/>
        <n v="68.5"/>
        <n v="67.5"/>
        <n v="48"/>
        <n v="65.699999999999989"/>
        <n v="454.30000000000007"/>
        <n v="52.9"/>
        <n v="76.5"/>
        <n v="155.69999999999999"/>
        <n v="46.3"/>
        <n v="136.4"/>
        <n v="40.299999999999997"/>
        <n v="35.700000000000003"/>
        <n v="127"/>
        <n v="54.2"/>
        <n v="164.2"/>
        <n v="214.5"/>
        <n v="416.9"/>
        <n v="22.4"/>
        <n v="1038.7"/>
        <n v="70.599999999999994"/>
        <n v="49.5"/>
        <n v="193.2"/>
        <n v="101.7"/>
        <n v="134.5"/>
        <n v="844"/>
        <n v="84.4"/>
        <n v="26.6"/>
        <n v="53"/>
        <n v="258.8"/>
        <n v="289.3"/>
        <n v="47.8"/>
        <n v="128.39999999999998"/>
        <n v="234"/>
        <n v="641"/>
        <n v="89.1"/>
        <n v="249.29999999999998"/>
        <n v="122.69999999999999"/>
        <n v="251.4"/>
        <n v="61.8"/>
        <n v="36.6"/>
        <n v="113"/>
        <n v="209.29999999999998"/>
        <n v="85.8"/>
        <n v="1065.5999999999999"/>
        <n v="281.2"/>
        <n v="124"/>
        <n v="489.59999999999997"/>
        <n v="1457.5"/>
        <n v="80.2"/>
        <n v="117.60000000000001"/>
        <n v="30.8"/>
        <n v="505.6"/>
        <n v="214.20000000000002"/>
        <n v="524"/>
        <n v="150.80000000000001"/>
        <n v="1482.4"/>
        <n v="69.2"/>
        <n v="116.4"/>
        <n v="532"/>
        <n v="306.60000000000002"/>
        <n v="105.4"/>
        <n v="57.7"/>
        <n v="125"/>
        <n v="55.800000000000004"/>
        <n v="58.8"/>
        <n v="44.2"/>
        <n v="114.9"/>
        <n v="379"/>
        <n v="103"/>
        <n v="203.70000000000002"/>
        <n v="50.6"/>
        <n v="110.5"/>
        <n v="128.69999999999999"/>
        <n v="686.4"/>
        <n v="327.59999999999997"/>
        <n v="45"/>
        <n v="283.2"/>
        <n v="283"/>
        <n v="95.8"/>
        <n v="627.20000000000005"/>
        <n v="1709.3999999999999"/>
        <n v="167.4"/>
        <n v="391.6"/>
        <n v="15"/>
        <n v="283.79999999999995"/>
        <n v="118.19999999999999"/>
        <n v="46.7"/>
        <n v="172"/>
        <n v="243"/>
        <n v="173.6"/>
        <n v="246.4"/>
        <n v="146.10000000000002"/>
        <n v="261.39999999999998"/>
        <n v="26"/>
        <n v="472"/>
        <n v="448.79999999999995"/>
        <n v="1987.2"/>
        <n v="513.9"/>
        <n v="167.29999999999998"/>
        <n v="34.1"/>
        <n v="154"/>
        <n v="210"/>
        <n v="74.400000000000006"/>
        <n v="75"/>
        <n v="169.9"/>
        <n v="144.4"/>
        <n v="20"/>
        <n v="232"/>
        <n v="86.2"/>
        <n v="672.30000000000007"/>
        <n v="128.19999999999999"/>
        <n v="106.8"/>
        <n v="189"/>
        <n v="452.90000000000003"/>
        <n v="111.2"/>
        <n v="72.400000000000006"/>
        <n v="126"/>
        <n v="144.30000000000001"/>
        <n v="86.8"/>
        <n v="31.8"/>
        <n v="126.4"/>
        <n v="259.2"/>
        <n v="54.4"/>
        <n v="87.3"/>
        <n v="129.6"/>
        <n v="177.4"/>
        <n v="140.19999999999999"/>
        <n v="399.5"/>
        <n v="57.6"/>
        <n v="597"/>
        <n v="150"/>
        <n v="138.4"/>
        <n v="87.2"/>
        <n v="122.2"/>
        <n v="223.2"/>
        <n v="99.2"/>
        <n v="359.70000000000005"/>
        <n v="90"/>
        <n v="102.2"/>
        <n v="97.5"/>
        <n v="78.099999999999994"/>
        <n v="661.2"/>
        <n v="258.89999999999998"/>
        <n v="441.59999999999997"/>
        <n v="880.1"/>
        <n v="853.19999999999993"/>
        <n v="412.2"/>
        <n v="48.4"/>
        <n v="434.70000000000005"/>
        <n v="164"/>
        <n v="357"/>
        <n v="109.2"/>
        <n v="71.400000000000006"/>
        <n v="104.8"/>
        <n v="226.79999999999998"/>
        <n v="2011.6"/>
        <n v="1299.6000000000001"/>
        <n v="1101.6000000000001"/>
        <n v="235"/>
        <n v="211.4"/>
        <n v="401.09999999999997"/>
        <n v="585.9"/>
        <n v="18.600000000000001"/>
        <n v="1015.3"/>
        <n v="245.10000000000002"/>
        <n v="81.8"/>
        <n v="283.8"/>
        <n v="145.6"/>
        <n v="59.1"/>
        <n v="1266.5"/>
        <n v="549.20000000000005"/>
        <n v="214.8"/>
        <n v="706.30000000000007"/>
        <n v="83.6"/>
        <n v="355.6"/>
        <n v="62.5"/>
        <n v="140.69999999999999"/>
        <n v="135.60000000000002"/>
        <n v="474.8"/>
        <n v="57.8"/>
        <n v="19.5"/>
        <n v="149.6"/>
        <n v="181.5"/>
        <n v="400.40000000000003"/>
        <n v="224"/>
        <n v="67.400000000000006"/>
        <n v="106.80000000000001"/>
        <n v="1064"/>
        <n v="602.40000000000009"/>
        <n v="87.4"/>
        <n v="33.299999999999997"/>
        <n v="591"/>
        <n v="86.699999999999989"/>
        <n v="166.8"/>
        <n v="66.300000000000011"/>
        <n v="1391.6000000000001"/>
        <n v="399.59999999999997"/>
        <n v="45.2"/>
        <n v="1202.3999999999999"/>
        <n v="83.2"/>
        <n v="717.5"/>
        <n v="446.40000000000003"/>
        <n v="973.4"/>
        <n v="296.5"/>
        <n v="591.59999999999991"/>
        <n v="389.2"/>
        <n v="76.8"/>
        <n v="379.79999999999995"/>
        <n v="46"/>
        <n v="114"/>
        <n v="797"/>
        <n v="244"/>
        <n v="339.5"/>
        <n v="247.2"/>
        <n v="46.1"/>
        <n v="264"/>
        <n v="191.4"/>
        <n v="94.4"/>
        <n v="117.2"/>
        <n v="171"/>
        <n v="303.5"/>
        <n v="304"/>
        <n v="323"/>
        <n v="21.9"/>
        <n v="400.79999999999995"/>
        <n v="51.7"/>
        <n v="339.6"/>
        <n v="685.3"/>
        <n v="39.5"/>
        <n v="92.699999999999989"/>
        <n v="844.8"/>
        <n v="157.80000000000001"/>
        <n v="1632"/>
        <n v="1382"/>
        <n v="90.6"/>
        <n v="230.2"/>
        <n v="316"/>
        <n v="68.2"/>
        <n v="539.5"/>
        <n v="630.5"/>
        <n v="104.10000000000001"/>
        <n v="16.8"/>
        <n v="167.7"/>
        <n v="266"/>
        <n v="312.60000000000002"/>
        <n v="38"/>
        <n v="254.39999999999998"/>
        <n v="255.6"/>
        <n v="196.5"/>
        <n v="232.4"/>
        <n v="91.6"/>
        <n v="161.10000000000002"/>
        <n v="216"/>
        <n v="568.20000000000005"/>
        <n v="167.2"/>
        <n v="201.60000000000002"/>
        <n v="296.39999999999998"/>
        <n v="222"/>
        <n v="175.5"/>
        <n v="592"/>
        <n v="1332"/>
        <n v="129.19999999999999"/>
        <n v="285.89999999999998"/>
        <n v="77.400000000000006"/>
        <n v="23.2"/>
        <n v="52.3"/>
        <n v="1122"/>
        <n v="173"/>
        <n v="225.6"/>
        <n v="497.7"/>
        <n v="2114"/>
        <n v="23.6"/>
        <n v="141.4"/>
        <n v="86.4"/>
        <n v="630"/>
        <n v="41"/>
        <n v="482.40000000000003"/>
        <n v="361.5"/>
        <n v="90.4"/>
        <n v="88.4"/>
        <n v="282.29999999999995"/>
        <n v="53.699999999999996"/>
        <n v="368.90000000000003"/>
        <n v="36.799999999999997"/>
        <n v="267.60000000000002"/>
        <n v="106.4"/>
        <n v="112.19999999999999"/>
        <n v="435.2"/>
        <n v="192.5"/>
        <n v="465"/>
        <n v="20.9"/>
        <n v="107.6"/>
        <n v="73.800000000000011"/>
        <n v="212.70000000000002"/>
        <n v="95.699999999999989"/>
        <n v="40.799999999999997"/>
        <n v="37.200000000000003"/>
        <n v="241.5"/>
        <n v="110.8"/>
        <n v="108"/>
        <n v="184.1"/>
        <n v="721"/>
        <n v="699"/>
        <n v="161"/>
        <n v="66"/>
        <n v="50.4"/>
        <n v="412.20000000000005"/>
        <n v="66.599999999999994"/>
        <n v="252"/>
        <n v="89.8"/>
        <n v="214.79999999999998"/>
        <n v="277.5"/>
        <n v="955.5"/>
        <n v="67.599999999999994"/>
        <n v="229.5"/>
        <n v="127.80000000000001"/>
        <n v="147.30000000000001"/>
        <n v="85.3"/>
        <n v="172.4"/>
        <n v="184.8"/>
        <n v="47.2"/>
        <n v="1101.5999999999999"/>
        <n v="24.7"/>
        <n v="154.70000000000002"/>
        <n v="18.100000000000001"/>
        <n v="117.6"/>
        <n v="61.6"/>
        <n v="24"/>
        <n v="17.899999999999999"/>
        <n v="77.2"/>
        <n v="163.5"/>
        <n v="222.8"/>
        <n v="481.79999999999995"/>
        <n v="117.8"/>
        <n v="150.89999999999998"/>
        <n v="270"/>
        <n v="268.20000000000005"/>
        <n v="495"/>
        <n v="224.5"/>
        <n v="329.7"/>
        <n v="130.5"/>
        <n v="334"/>
        <n v="335.8"/>
        <n v="311.40000000000003"/>
        <n v="105.30000000000001"/>
        <n v="37.9"/>
        <n v="96"/>
        <n v="101.2"/>
        <n v="408.5"/>
        <n v="101.4"/>
        <n v="1278.7"/>
        <n v="1348.6"/>
        <n v="32.9"/>
        <n v="201.6"/>
        <n v="100.4"/>
        <n v="67.2"/>
        <n v="39.299999999999997"/>
        <n v="488"/>
        <n v="582.4"/>
        <n v="369.6"/>
        <n v="2659.2"/>
        <n v="343.2"/>
        <n v="1515.8"/>
        <n v="377.3"/>
        <n v="106.2"/>
        <n v="224.8"/>
        <n v="773"/>
        <n v="751.4"/>
        <n v="631.5"/>
        <n v="205.20000000000002"/>
        <n v="513.29999999999995"/>
        <n v="28"/>
        <n v="351.40000000000003"/>
        <n v="112"/>
        <n v="76.599999999999994"/>
        <n v="111.5"/>
        <n v="66.900000000000006"/>
        <n v="188"/>
        <n v="61.4"/>
        <n v="452.5"/>
        <n v="126.5"/>
        <n v="174.3"/>
        <n v="224.70000000000002"/>
        <n v="65"/>
        <n v="310"/>
        <n v="173.39999999999998"/>
        <n v="342.4"/>
        <n v="315.2"/>
        <n v="199.20000000000002"/>
        <n v="143.6"/>
        <n v="55.1"/>
        <n v="274.3"/>
        <n v="169"/>
        <n v="224.4"/>
        <n v="58.5"/>
        <n v="84.2"/>
        <n v="208"/>
        <n v="157.5"/>
        <n v="810"/>
        <n v="276.60000000000002"/>
        <n v="396.90000000000003"/>
        <n v="297.7"/>
        <n v="1018.4"/>
        <n v="500.40000000000003"/>
        <n v="372.29999999999995"/>
        <n v="946.39999999999986"/>
        <n v="353.4"/>
        <n v="162"/>
        <n v="445"/>
        <n v="282"/>
        <n v="110.4"/>
        <n v="1398.6"/>
        <n v="443.6"/>
        <n v="403.79999999999995"/>
        <n v="209.10000000000002"/>
        <n v="39.1"/>
        <n v="625.79999999999995"/>
        <n v="83.4"/>
        <n v="147"/>
        <n v="132.5"/>
        <n v="30.3"/>
        <n v="476.40000000000003"/>
        <n v="589"/>
        <n v="348.2"/>
        <n v="141.6"/>
        <n v="57"/>
        <n v="2132"/>
        <n v="359.1"/>
        <n v="73.3"/>
        <n v="51.6"/>
        <n v="44.9"/>
        <n v="108.6"/>
        <n v="33"/>
        <n v="481.20000000000005"/>
        <n v="392"/>
        <n v="417.6"/>
        <n v="32.799999999999997"/>
        <n v="44"/>
        <n v="258"/>
        <n v="544"/>
        <n v="263.7"/>
        <n v="122.7"/>
        <n v="160.29999999999998"/>
        <n v="255"/>
        <n v="70.199999999999989"/>
        <n v="342"/>
        <n v="51.9"/>
        <n v="132"/>
        <n v="148.80000000000001"/>
        <n v="61.800000000000004"/>
        <n v="197.2"/>
        <n v="48.2"/>
        <n v="261.60000000000002"/>
        <n v="223.20000000000002"/>
        <n v="45.6"/>
        <n v="156.80000000000001"/>
        <n v="51.8"/>
        <n v="74.7"/>
        <n v="67.199999999999989"/>
        <n v="125.6"/>
        <n v="22.3"/>
        <n v="81"/>
        <n v="598.4"/>
        <n v="516.4"/>
        <n v="484.79999999999995"/>
        <n v="145.5"/>
        <n v="92.5"/>
        <n v="189.4"/>
        <n v="232.79999999999998"/>
        <n v="204"/>
        <n v="445.90000000000003"/>
        <n v="132.4"/>
        <n v="96.899999999999991"/>
        <n v="133.80000000000001"/>
        <n v="302.39999999999998"/>
        <n v="177"/>
        <n v="230"/>
        <n v="218.6"/>
        <n v="133.19999999999999"/>
        <n v="238.5"/>
        <n v="92"/>
        <n v="235.79999999999998"/>
        <n v="286"/>
        <n v="217"/>
        <n v="341"/>
        <n v="1129"/>
        <n v="303.3"/>
        <n v="353"/>
        <n v="136.80000000000001"/>
        <n v="319.39999999999998"/>
        <n v="76"/>
        <n v="546.59999999999991"/>
        <n v="470.5"/>
        <n v="189.9"/>
        <n v="107.10000000000001"/>
        <n v="77.099999999999994"/>
        <n v="284.40000000000003"/>
        <n v="64.2"/>
        <n v="111.6"/>
        <n v="56.2"/>
        <n v="289.79999999999995"/>
        <n v="225.40000000000003"/>
        <n v="1358"/>
        <n v="318.29999999999995"/>
        <n v="70.5"/>
        <n v="71.2"/>
        <n v="580.30000000000007"/>
        <n v="321.29999999999995"/>
        <n v="62.7"/>
        <n v="242.39999999999998"/>
        <n v="357.6"/>
        <n v="765.59999999999991"/>
        <n v="178.8"/>
        <n v="15.9"/>
        <n v="157.4"/>
        <n v="355.20000000000005"/>
        <n v="86"/>
        <n v="1288.5999999999999"/>
        <n v="169.8"/>
        <n v="1098.5"/>
        <n v="527"/>
        <n v="275.8"/>
        <n v="62.3"/>
        <n v="245.5"/>
        <n v="974.59999999999991"/>
        <n v="99.4"/>
        <n v="29"/>
        <n v="60.7"/>
        <n v="349.6"/>
        <n v="311.5"/>
        <n v="141"/>
        <n v="50.099999999999994"/>
        <n v="155"/>
        <n v="326"/>
        <n v="192.6"/>
        <n v="68.599999999999994"/>
        <n v="241"/>
        <n v="51.4"/>
        <n v="586"/>
        <n v="88.2"/>
        <n v="134.4"/>
        <n v="105.2"/>
        <n v="479.5"/>
        <n v="404.70000000000005"/>
        <n v="303"/>
        <n v="87"/>
        <n v="374.2"/>
        <n v="221.6"/>
        <n v="469.3"/>
        <n v="24.1"/>
        <n v="91.5"/>
        <n v="409.79999999999995"/>
        <n v="129.89999999999998"/>
        <n v="108.4"/>
        <n v="102"/>
        <n v="46.2"/>
        <n v="612.5"/>
        <n v="153"/>
        <n v="212"/>
        <n v="440.6"/>
        <n v="137.10000000000002"/>
        <n v="235.5"/>
        <n v="978"/>
        <n v="127.19999999999999"/>
        <n v="745"/>
        <n v="284.39999999999998"/>
        <n v="51.900000000000006"/>
        <n v="311.60000000000002"/>
        <n v="29.1"/>
        <n v="126.60000000000001"/>
        <n v="701.1"/>
        <n v="926"/>
        <n v="164.39999999999998"/>
        <n v="681.59999999999991"/>
        <n v="1557.6000000000001"/>
        <n v="270.60000000000002"/>
        <n v="22"/>
        <n v="61.5"/>
        <n v="190.4"/>
        <n v="121.9"/>
        <n v="895.19999999999993"/>
        <n v="54.1"/>
        <n v="54.8"/>
        <n v="395.2"/>
        <n v="628.79999999999995"/>
        <n v="134.80000000000001"/>
        <n v="215.5"/>
        <n v="161.4"/>
        <n v="144.20000000000002"/>
        <n v="111.30000000000001"/>
        <n v="118"/>
        <n v="64.599999999999994"/>
        <n v="59.2"/>
        <n v="81.2"/>
        <n v="26.2"/>
        <n v="1320"/>
        <n v="262.39999999999998"/>
        <n v="391.20000000000005"/>
        <n v="1824.9"/>
        <n v="54.5"/>
        <n v="344.5"/>
        <n v="124.8"/>
        <n v="488.40000000000003"/>
        <n v="49.6"/>
        <n v="2996.9999999999995"/>
        <n v="79.199999999999989"/>
        <n v="34.4"/>
        <n v="464.8"/>
        <n v="27.1"/>
        <n v="40.5"/>
        <n v="233.70000000000002"/>
        <n v="148.4"/>
        <n v="154.80000000000001"/>
        <n v="294"/>
        <n v="289.8"/>
        <n v="272"/>
        <n v="66.3"/>
        <n v="287.70000000000005"/>
        <n v="156.19999999999999"/>
        <n v="113.6"/>
        <n v="163.4"/>
        <n v="113.4"/>
        <n v="210.6"/>
        <n v="190.2"/>
        <n v="345.2"/>
        <n v="80.099999999999994"/>
        <n v="136.19999999999999"/>
        <n v="81.7"/>
        <n v="251"/>
        <n v="20.2"/>
        <n v="624"/>
        <n v="38.4"/>
        <n v="292.59999999999997"/>
        <n v="224.39999999999998"/>
        <n v="180.60000000000002"/>
        <n v="183"/>
        <n v="278.5"/>
        <n v="153.4"/>
        <n v="592.19999999999993"/>
        <n v="466"/>
        <n v="78.2"/>
        <n v="543.59999999999991"/>
        <n v="237.29999999999998"/>
        <n v="41.9"/>
        <n v="92.4"/>
        <n v="340.8"/>
        <n v="70"/>
        <n v="88"/>
        <n v="222.29999999999998"/>
        <n v="161.9"/>
        <n v="32.1"/>
        <n v="419.2"/>
        <n v="404.40000000000003"/>
        <n v="230.4"/>
        <n v="730.40000000000009"/>
        <n v="817.19999999999993"/>
        <n v="162.5"/>
        <n v="183.60000000000002"/>
        <n v="229.6"/>
        <n v="229.20000000000002"/>
        <n v="211.20000000000002"/>
        <n v="223.79999999999998"/>
        <n v="1089"/>
        <n v="101.39999999999999"/>
        <n v="85.7"/>
        <n v="184.2"/>
        <n v="195.29999999999998"/>
        <n v="142.1"/>
        <n v="59.6"/>
        <n v="57.3"/>
        <n v="108.9"/>
        <n v="594.9"/>
        <n v="183.5"/>
        <n v="328.1"/>
        <n v="82.8"/>
        <n v="164.10000000000002"/>
        <n v="41.1"/>
        <n v="348"/>
        <n v="205.6"/>
        <n v="79.599999999999994"/>
        <n v="305"/>
        <n v="166.1"/>
        <n v="499.09999999999997"/>
        <n v="25.8"/>
        <n v="198"/>
        <n v="128"/>
        <n v="1457.6"/>
        <n v="43.6"/>
        <n v="92.6"/>
        <n v="62.2"/>
        <n v="321.3"/>
        <n v="219.6"/>
        <n v="18.2"/>
        <n v="59.7"/>
        <n v="210.89999999999998"/>
        <n v="413.6"/>
        <n v="246"/>
        <n v="87.9"/>
        <n v="251.8"/>
        <n v="146.5"/>
        <n v="126.8"/>
        <n v="131.5"/>
        <n v="199"/>
        <n v="412.5"/>
        <n v="45.1"/>
        <n v="344"/>
        <n v="453.59999999999997"/>
        <n v="533.4"/>
        <n v="85.6"/>
        <n v="100"/>
        <n v="753.5"/>
        <n v="19.600000000000001"/>
        <n v="63.599999999999994"/>
        <n v="297.5"/>
        <n v="34"/>
        <n v="103.2"/>
        <n v="147.6"/>
        <n v="812.40000000000009"/>
        <n v="306.59999999999997"/>
        <n v="431.40000000000003"/>
        <n v="52.6"/>
        <n v="32.700000000000003"/>
        <n v="155.6"/>
        <n v="242"/>
        <n v="1339.8"/>
        <n v="77.7"/>
        <n v="241.2"/>
        <n v="248.2"/>
        <n v="462"/>
        <n v="7446.6"/>
        <n v="321.5"/>
        <n v="109.6"/>
        <n v="792.5"/>
        <n v="287.60000000000002"/>
        <n v="59"/>
        <n v="167.6"/>
        <n v="323.39999999999998"/>
        <n v="718.19999999999993"/>
        <n v="22.9"/>
        <n v="48.599999999999994"/>
        <n v="238"/>
        <n v="131"/>
        <n v="118.4"/>
        <n v="166"/>
        <n v="805.19999999999993"/>
        <n v="57.4"/>
        <n v="528.4"/>
        <n v="657.4"/>
        <n v="166.5"/>
        <n v="800.40000000000009"/>
        <n v="378.90000000000003"/>
        <n v="410.90000000000003"/>
        <n v="54"/>
        <n v="93.4"/>
        <n v="144.69999999999999"/>
        <n v="818.1"/>
        <n v="289.5"/>
        <n v="132.60000000000002"/>
        <n v="267.5"/>
        <n v="249.6"/>
        <n v="123.5"/>
        <n v="308.5"/>
        <n v="91"/>
        <n v="160.5"/>
        <n v="130.80000000000001"/>
        <n v="1350"/>
        <n v="84.6"/>
        <n v="181"/>
        <n v="63.900000000000006"/>
        <n v="36.299999999999997"/>
        <n v="331.5"/>
        <n v="228.20000000000002"/>
        <n v="626.40000000000009"/>
        <n v="57.300000000000004"/>
        <n v="218.2"/>
        <n v="42.2"/>
        <n v="170.4"/>
        <n v="72.900000000000006"/>
        <n v="43.3"/>
        <n v="123"/>
        <n v="162.30000000000001"/>
        <n v="72.300000000000011"/>
        <n v="261.5"/>
        <n v="275.2"/>
        <n v="257.60000000000002"/>
        <n v="48.3"/>
        <n v="136.5"/>
        <n v="1377"/>
        <n v="122.39999999999999"/>
        <n v="60.8"/>
        <n v="143"/>
        <n v="501.6"/>
        <n v="99.5"/>
        <n v="468.90000000000003"/>
        <n v="1159"/>
        <n v="774"/>
        <n v="515.19999999999993"/>
        <n v="326.2"/>
        <n v="253.79999999999998"/>
        <n v="581"/>
        <n v="326.90000000000003"/>
        <n v="53.7"/>
        <n v="247.8"/>
        <n v="107.69999999999999"/>
        <n v="1599.5"/>
        <n v="1301.3"/>
        <n v="74.2"/>
        <n v="606.4"/>
        <n v="243.2"/>
        <n v="267.40000000000003"/>
        <n v="462.8"/>
        <n v="596.40000000000009"/>
        <n v="38.700000000000003"/>
        <n v="71"/>
        <n v="373.2"/>
        <n v="31.4"/>
        <n v="85.9"/>
        <n v="72.599999999999994"/>
        <n v="100.19999999999999"/>
        <n v="195.60000000000002"/>
        <n v="589.5"/>
        <n v="158.39999999999998"/>
        <n v="153.60000000000002"/>
        <n v="84.9"/>
        <n v="126.89999999999999"/>
        <n v="1306.4000000000001"/>
        <n v="331.09999999999997"/>
        <n v="436.8"/>
        <n v="209.39999999999998"/>
        <n v="174.4"/>
        <n v="878.5"/>
        <n v="498.4"/>
        <n v="279.3"/>
        <n v="299.2"/>
        <n v="52.2"/>
        <n v="193"/>
        <n v="159.6"/>
        <n v="165.89999999999998"/>
        <n v="731.5"/>
        <n v="306.39999999999998"/>
        <n v="191.39999999999998"/>
        <n v="21.4"/>
        <n v="176.4"/>
        <n v="460.8"/>
        <n v="40.6"/>
        <n v="423.6"/>
        <n v="336.59999999999997"/>
        <n v="158"/>
        <n v="57.900000000000006"/>
        <n v="356.5"/>
        <n v="332.4"/>
        <n v="231"/>
        <n v="86.1"/>
        <n v="577"/>
        <n v="706"/>
        <n v="146.69999999999999"/>
        <n v="54.300000000000004"/>
        <n v="237"/>
        <n v="413.7"/>
        <n v="137.6"/>
        <n v="292.5"/>
        <n v="798"/>
        <n v="266.39999999999998"/>
        <n v="257.5"/>
        <n v="190.8"/>
        <n v="368"/>
        <n v="638.4"/>
        <n v="289.60000000000002"/>
        <n v="784"/>
        <n v="348.8"/>
        <n v="378"/>
        <n v="566.1"/>
        <n v="511"/>
        <n v="295.79999999999995"/>
        <n v="338.4"/>
        <n v="344.8"/>
        <n v="154.6"/>
        <n v="189.60000000000002"/>
        <n v="913.1"/>
        <n v="137.39999999999998"/>
        <n v="152.39999999999998"/>
        <n v="103.8"/>
        <n v="186.8"/>
        <n v="143.19999999999999"/>
        <n v="444.4"/>
        <n v="2498.5"/>
        <n v="64.3"/>
        <n v="174.60000000000002"/>
        <n v="236.8"/>
        <n v="296"/>
        <n v="1050.3999999999999"/>
        <n v="154.19999999999999"/>
        <n v="40.4"/>
        <n v="145.19999999999999"/>
        <n v="119.39999999999999"/>
        <n v="128.80000000000001"/>
        <n v="230.39999999999998"/>
        <n v="83.8"/>
        <n v="429.09999999999997"/>
        <n v="54.7"/>
        <n v="847"/>
        <n v="280.20000000000005"/>
        <n v="144"/>
        <n v="135.80000000000001"/>
        <n v="233.09999999999997"/>
        <n v="113.39999999999999"/>
        <n v="537.70000000000005"/>
        <n v="125.2"/>
        <n v="208.5"/>
        <n v="33.4"/>
        <n v="310.8"/>
        <n v="142.4"/>
        <n v="285"/>
        <n v="688.4"/>
        <n v="43.5"/>
        <n v="131.6"/>
        <n v="425.70000000000005"/>
        <n v="7264.5"/>
        <n v="15.5"/>
        <n v="140.80000000000001"/>
        <n v="207.60000000000002"/>
        <n v="21.3"/>
        <n v="273"/>
        <n v="214.9"/>
        <n v="123.2"/>
        <n v="217.2"/>
        <n v="174"/>
        <n v="144.60000000000002"/>
        <n v="13.7"/>
        <n v="221"/>
        <n v="1407"/>
        <n v="270.2"/>
        <n v="2101"/>
        <n v="25.5"/>
        <n v="486"/>
        <n v="80.8"/>
        <n v="299.5"/>
        <n v="165"/>
        <n v="543.9"/>
        <n v="46.6"/>
        <n v="62.099999999999994"/>
        <n v="114.60000000000001"/>
        <n v="1390"/>
        <n v="192.4"/>
        <n v="181.2"/>
        <n v="741.6"/>
        <n v="103.7"/>
        <n v="31.5"/>
        <n v="44.7"/>
        <n v="139.6"/>
        <n v="186.89999999999998"/>
        <n v="99.600000000000009"/>
        <n v="298"/>
        <n v="823.19999999999993"/>
        <n v="509.59999999999997"/>
        <n v="338"/>
        <n v="372.6"/>
        <n v="41.8"/>
        <n v="114.4"/>
        <n v="94.2"/>
        <n v="259.20000000000005"/>
        <n v="525"/>
        <n v="533"/>
        <n v="857.6"/>
        <n v="651"/>
        <n v="194.6"/>
        <n v="49.8"/>
        <n v="163"/>
        <n v="67.3"/>
        <n v="1222.0999999999999"/>
        <n v="59.099999999999994"/>
        <n v="217.6"/>
        <n v="314.10000000000002"/>
        <n v="65.5"/>
        <n v="12.5"/>
        <n v="111.4"/>
        <n v="115.4"/>
        <n v="514.20000000000005"/>
        <n v="260.70000000000005"/>
        <n v="92.8"/>
        <n v="76.199999999999989"/>
        <n v="143.39999999999998"/>
        <n v="349.59999999999997"/>
        <n v="345"/>
        <n v="18.7"/>
        <n v="30.1"/>
        <n v="16.3"/>
        <n v="517.30000000000007"/>
        <n v="324.5"/>
        <n v="265.3"/>
        <n v="56.5"/>
        <n v="259.5"/>
        <n v="20.6"/>
        <n v="149.10000000000002"/>
        <n v="480"/>
        <n v="693"/>
        <n v="502.79999999999995"/>
        <n v="309.2"/>
        <n v="153.80000000000001"/>
        <n v="548.6"/>
        <n v="304.39999999999998"/>
        <n v="1728"/>
        <n v="1630.7"/>
        <n v="107.4"/>
        <n v="171.6"/>
        <n v="752.5"/>
        <n v="426.5"/>
        <n v="404"/>
        <n v="369.29999999999995"/>
        <n v="73.8"/>
        <n v="82"/>
        <n v="200.4"/>
        <n v="35.9"/>
        <n v="360"/>
        <n v="171.89999999999998"/>
        <n v="81.400000000000006"/>
        <n v="73.400000000000006"/>
        <n v="176.39999999999998"/>
        <n v="292.79999999999995"/>
        <n v="117.4"/>
        <n v="359.5"/>
        <n v="860.8"/>
        <n v="160.80000000000001"/>
        <n v="168.6"/>
        <n v="1061.1000000000001"/>
        <n v="240"/>
        <n v="111.89999999999999"/>
        <n v="225.9"/>
        <n v="604.80000000000007"/>
        <n v="165.2"/>
        <n v="30.6"/>
        <n v="54.6"/>
        <n v="340.4"/>
        <n v="228.90000000000003"/>
        <n v="302.10000000000002"/>
        <n v="98.6"/>
        <n v="582"/>
        <n v="134.19999999999999"/>
        <n v="271.59999999999997"/>
        <n v="212.8"/>
        <n v="1057"/>
        <n v="70.400000000000006"/>
        <n v="455.40000000000003"/>
        <n v="236.10000000000002"/>
        <n v="429.8"/>
        <n v="35"/>
        <n v="75.900000000000006"/>
        <n v="126.30000000000001"/>
        <n v="362"/>
        <n v="53.2"/>
        <n v="2464"/>
        <n v="52.4"/>
        <n v="363"/>
        <n v="23.4"/>
        <n v="452.8"/>
        <n v="53.6"/>
        <n v="33.900000000000006"/>
        <n v="180.3"/>
        <n v="304.7"/>
        <n v="133.4"/>
        <n v="195.5"/>
        <n v="99.6"/>
        <n v="146"/>
        <n v="396.2"/>
        <n v="196.70000000000002"/>
        <n v="179.10000000000002"/>
        <n v="71.900000000000006"/>
        <n v="113.8"/>
        <n v="246.8"/>
        <n v="1052"/>
        <n v="252.29999999999998"/>
        <n v="115"/>
        <n v="34.299999999999997"/>
        <n v="55.6"/>
        <n v="190"/>
        <n v="130.4"/>
        <n v="345.9"/>
        <n v="1250.0999999999999"/>
        <n v="252.60000000000002"/>
        <n v="401.8"/>
        <n v="156.89999999999998"/>
        <n v="79.800000000000011"/>
        <n v="383.2"/>
        <n v="303.09999999999997"/>
        <n v="322.40000000000003"/>
        <n v="771.30000000000007"/>
        <n v="832"/>
        <n v="471"/>
        <n v="182.39999999999998"/>
        <n v="134.39999999999998"/>
        <n v="77.599999999999994"/>
        <n v="1216.6000000000001"/>
        <n v="18.3"/>
        <n v="47.5"/>
        <n v="349.2"/>
        <n v="168.5"/>
        <n v="322.20000000000005"/>
        <n v="88.8"/>
        <n v="828"/>
        <n v="355.2"/>
        <n v="78.599999999999994"/>
        <n v="17.399999999999999"/>
        <n v="433.79999999999995"/>
        <n v="267.3"/>
        <n v="2347"/>
        <n v="380.5"/>
        <n v="281.70000000000005"/>
        <n v="748"/>
        <n v="24.4"/>
        <n v="337.6"/>
        <n v="153.19999999999999"/>
        <n v="174.6"/>
        <n v="63"/>
        <n v="152.19999999999999"/>
        <n v="117"/>
        <n v="78.5"/>
        <n v="248.5"/>
        <n v="273.60000000000002"/>
        <n v="145.80000000000001"/>
        <n v="393.90000000000003"/>
        <n v="636.9"/>
        <n v="96.7"/>
        <n v="331.20000000000005"/>
        <n v="7420"/>
        <n v="384"/>
        <n v="276.39999999999998"/>
        <n v="152.80000000000001"/>
        <n v="58"/>
        <n v="818.4"/>
        <n v="27.6"/>
        <n v="99.899999999999991"/>
        <n v="27.4"/>
        <n v="56.8"/>
        <n v="136"/>
        <n v="30.7"/>
        <n v="670.80000000000007"/>
        <n v="24.8"/>
        <n v="78.399999999999991"/>
        <n v="543"/>
        <n v="84.8"/>
        <n v="76.400000000000006"/>
        <n v="1091.7"/>
        <n v="93.8"/>
        <n v="211.79999999999998"/>
        <n v="104.4"/>
        <n v="379.5"/>
        <n v="582.79999999999995"/>
        <n v="157"/>
        <n v="34.200000000000003"/>
        <n v="35.4"/>
        <n v="1282.5"/>
        <n v="824.19999999999993"/>
        <n v="156.6"/>
        <n v="43.9"/>
        <n v="380"/>
        <n v="555.5"/>
        <n v="70.8"/>
        <n v="412"/>
        <n v="636"/>
        <n v="41.3"/>
        <n v="35.299999999999997"/>
        <n v="173.5"/>
        <n v="78.300000000000011"/>
        <n v="308.8"/>
        <n v="25"/>
        <n v="633.59999999999991"/>
        <n v="476.8"/>
        <n v="226.20000000000002"/>
        <n v="2082"/>
        <n v="283.20000000000005"/>
        <n v="29.6"/>
        <n v="250.6"/>
        <n v="33.799999999999997"/>
        <n v="101.69999999999999"/>
        <n v="1099.5"/>
        <n v="140"/>
        <n v="32.4"/>
        <n v="265.20000000000005"/>
        <n v="228.60000000000002"/>
        <n v="80.699999999999989"/>
        <n v="352.79999999999995"/>
        <n v="729.2"/>
        <n v="785"/>
        <n v="170.5"/>
        <n v="52"/>
        <n v="135.79999999999998"/>
        <n v="304.20000000000005"/>
        <n v="23.1"/>
        <n v="1046.7"/>
        <n v="576.9"/>
        <n v="655.20000000000005"/>
        <n v="116"/>
        <n v="487.20000000000005"/>
        <n v="499.80000000000007"/>
        <n v="89"/>
        <n v="25.7"/>
        <n v="208.4"/>
        <n v="31"/>
        <n v="233.2"/>
        <n v="93"/>
        <n v="141.89999999999998"/>
        <n v="18.5"/>
        <n v="120.8"/>
        <n v="401"/>
        <n v="41.5"/>
        <n v="167.8"/>
        <n v="68.400000000000006"/>
        <n v="215.8"/>
        <n v="670.5"/>
        <n v="556.20000000000005"/>
        <n v="146.39999999999998"/>
        <n v="641.29999999999995"/>
        <n v="3509.7999999999997"/>
        <n v="76.900000000000006"/>
        <n v="216.60000000000002"/>
        <n v="240.79999999999998"/>
        <n v="1495.2"/>
        <n v="215.10000000000002"/>
        <n v="241.79999999999998"/>
        <n v="1050"/>
        <n v="163.80000000000001"/>
        <n v="526.4"/>
        <n v="137.4"/>
        <n v="362.59999999999997"/>
        <n v="38.799999999999997"/>
        <n v="156.30000000000001"/>
        <n v="74.900000000000006"/>
        <n v="347.2"/>
        <n v="331.2"/>
        <n v="117.5"/>
        <n v="60.300000000000004"/>
        <n v="768"/>
        <n v="64.7"/>
        <n v="483.2"/>
        <n v="459.90000000000003"/>
        <n v="295.2"/>
        <n v="658.69999999999993"/>
        <n v="36.9"/>
        <n v="381.6"/>
        <n v="314.39999999999998"/>
        <n v="786.5"/>
        <n v="485.6"/>
        <n v="159.5"/>
        <n v="79"/>
        <n v="876.30000000000007"/>
        <n v="148.5"/>
        <n v="263.2"/>
        <n v="313.60000000000002"/>
        <n v="414.4"/>
        <n v="97.199999999999989"/>
        <n v="53.8"/>
        <n v="164.8"/>
        <n v="235.6"/>
        <n v="146.80000000000001"/>
        <n v="140.39999999999998"/>
        <n v="168.4"/>
      </sharedItems>
    </cacheField>
    <cacheField name="Order Date" numFmtId="15">
      <sharedItems containsSemiMixedTypes="0" containsNonDate="0" containsDate="1" containsString="0" minDate="2025-01-01T00:00:00" maxDate="2025-03-30T00:00:00"/>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8"/>
          <x v="5"/>
          <x v="5"/>
          <x v="3"/>
          <x v="7"/>
          <x v="5"/>
          <x v="4"/>
          <x v="5"/>
          <x v="7"/>
          <x v="6"/>
          <x v="7"/>
          <x v="8"/>
          <x v="8"/>
          <x v="8"/>
          <x v="6"/>
          <x v="6"/>
          <x v="8"/>
          <x v="8"/>
          <x v="8"/>
          <x v="8"/>
          <x v="8"/>
          <x v="7"/>
          <x v="7"/>
          <x v="8"/>
          <x v="8"/>
          <x v="8"/>
          <x v="8"/>
          <x v="8"/>
          <x v="8"/>
          <x v="8"/>
          <x v="8"/>
          <x v="8"/>
          <x v="8"/>
          <x v="8"/>
          <x v="8"/>
          <x v="8"/>
          <x v="8"/>
          <x v="8"/>
          <x v="8"/>
          <x v="8"/>
          <x v="8"/>
          <x v="8"/>
        </discretePr>
        <groupItems count="9">
          <n v="1"/>
          <n v="2"/>
          <n v="3"/>
          <n v="5"/>
          <n v="4"/>
          <s v="Group1"/>
          <s v="Group2"/>
          <s v="Group3"/>
          <s v="Group4"/>
        </groupItems>
      </fieldGroup>
    </cacheField>
  </cacheFields>
  <extLst>
    <ext xmlns:x14="http://schemas.microsoft.com/office/spreadsheetml/2009/9/main" uri="{725AE2AE-9491-48be-B2B4-4EB974FC3084}">
      <x14:pivotCacheDefinition pivotCacheId="610079246"/>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x v="0"/>
    <d v="2025-01-01T00:00:00"/>
    <d v="2025-01-06T00:00:00"/>
    <x v="0"/>
    <x v="0"/>
    <x v="0"/>
    <x v="0"/>
    <x v="0"/>
    <x v="0"/>
    <x v="0"/>
    <x v="0"/>
  </r>
  <r>
    <x v="1"/>
    <x v="1"/>
    <x v="1"/>
    <n v="30.6"/>
    <x v="1"/>
    <d v="2025-01-01T00:00:00"/>
    <d v="2025-01-03T00:00:00"/>
    <x v="1"/>
    <x v="0"/>
    <x v="0"/>
    <x v="0"/>
    <x v="1"/>
    <x v="1"/>
    <x v="0"/>
    <x v="1"/>
  </r>
  <r>
    <x v="2"/>
    <x v="2"/>
    <x v="2"/>
    <n v="109.4"/>
    <x v="2"/>
    <d v="2025-01-01T00:00:00"/>
    <d v="2025-01-04T00:00:00"/>
    <x v="2"/>
    <x v="0"/>
    <x v="1"/>
    <x v="0"/>
    <x v="2"/>
    <x v="2"/>
    <x v="0"/>
    <x v="2"/>
  </r>
  <r>
    <x v="3"/>
    <x v="3"/>
    <x v="3"/>
    <n v="37.700000000000003"/>
    <x v="3"/>
    <d v="2025-01-01T00:00:00"/>
    <d v="2025-01-02T00:00:00"/>
    <x v="2"/>
    <x v="0"/>
    <x v="0"/>
    <x v="0"/>
    <x v="2"/>
    <x v="3"/>
    <x v="0"/>
    <x v="2"/>
  </r>
  <r>
    <x v="4"/>
    <x v="4"/>
    <x v="2"/>
    <n v="56.7"/>
    <x v="4"/>
    <d v="2025-01-01T00:00:00"/>
    <d v="2025-01-04T00:00:00"/>
    <x v="2"/>
    <x v="0"/>
    <x v="2"/>
    <x v="0"/>
    <x v="3"/>
    <x v="2"/>
    <x v="0"/>
    <x v="2"/>
  </r>
  <r>
    <x v="5"/>
    <x v="1"/>
    <x v="4"/>
    <n v="83.5"/>
    <x v="5"/>
    <d v="2025-01-01T00:00:00"/>
    <d v="2025-01-04T00:00:00"/>
    <x v="1"/>
    <x v="1"/>
    <x v="0"/>
    <x v="0"/>
    <x v="3"/>
    <x v="2"/>
    <x v="0"/>
    <x v="1"/>
  </r>
  <r>
    <x v="6"/>
    <x v="5"/>
    <x v="0"/>
    <n v="55.3"/>
    <x v="6"/>
    <d v="2025-01-01T00:00:00"/>
    <d v="2025-01-02T00:00:00"/>
    <x v="2"/>
    <x v="0"/>
    <x v="0"/>
    <x v="0"/>
    <x v="3"/>
    <x v="3"/>
    <x v="0"/>
    <x v="2"/>
  </r>
  <r>
    <x v="7"/>
    <x v="6"/>
    <x v="1"/>
    <n v="40.299999999999997"/>
    <x v="7"/>
    <d v="2025-01-01T00:00:00"/>
    <d v="2025-01-02T00:00:00"/>
    <x v="1"/>
    <x v="2"/>
    <x v="2"/>
    <x v="0"/>
    <x v="3"/>
    <x v="3"/>
    <x v="0"/>
    <x v="1"/>
  </r>
  <r>
    <x v="8"/>
    <x v="7"/>
    <x v="5"/>
    <n v="35.700000000000003"/>
    <x v="8"/>
    <d v="2025-01-01T00:00:00"/>
    <d v="2025-01-02T00:00:00"/>
    <x v="2"/>
    <x v="0"/>
    <x v="0"/>
    <x v="0"/>
    <x v="3"/>
    <x v="3"/>
    <x v="0"/>
    <x v="2"/>
  </r>
  <r>
    <x v="9"/>
    <x v="8"/>
    <x v="3"/>
    <n v="22.4"/>
    <x v="9"/>
    <d v="2025-01-01T00:00:00"/>
    <d v="2025-01-04T00:00:00"/>
    <x v="1"/>
    <x v="0"/>
    <x v="1"/>
    <x v="0"/>
    <x v="3"/>
    <x v="2"/>
    <x v="0"/>
    <x v="1"/>
  </r>
  <r>
    <x v="10"/>
    <x v="9"/>
    <x v="1"/>
    <n v="54.4"/>
    <x v="10"/>
    <d v="2025-01-01T00:00:00"/>
    <d v="2025-01-07T00:00:00"/>
    <x v="2"/>
    <x v="0"/>
    <x v="0"/>
    <x v="0"/>
    <x v="3"/>
    <x v="4"/>
    <x v="0"/>
    <x v="2"/>
  </r>
  <r>
    <x v="11"/>
    <x v="9"/>
    <x v="1"/>
    <n v="49"/>
    <x v="11"/>
    <d v="2025-01-01T00:00:00"/>
    <d v="2025-01-03T00:00:00"/>
    <x v="2"/>
    <x v="2"/>
    <x v="1"/>
    <x v="0"/>
    <x v="3"/>
    <x v="1"/>
    <x v="0"/>
    <x v="2"/>
  </r>
  <r>
    <x v="12"/>
    <x v="5"/>
    <x v="3"/>
    <n v="118.6"/>
    <x v="12"/>
    <d v="2025-01-01T00:00:00"/>
    <d v="2025-01-05T00:00:00"/>
    <x v="2"/>
    <x v="1"/>
    <x v="0"/>
    <x v="0"/>
    <x v="4"/>
    <x v="5"/>
    <x v="0"/>
    <x v="2"/>
  </r>
  <r>
    <x v="13"/>
    <x v="6"/>
    <x v="6"/>
    <n v="88.4"/>
    <x v="13"/>
    <d v="2025-01-01T00:00:00"/>
    <d v="2025-01-08T00:00:00"/>
    <x v="1"/>
    <x v="3"/>
    <x v="0"/>
    <x v="0"/>
    <x v="5"/>
    <x v="6"/>
    <x v="0"/>
    <x v="1"/>
  </r>
  <r>
    <x v="14"/>
    <x v="10"/>
    <x v="0"/>
    <n v="66.7"/>
    <x v="14"/>
    <d v="2025-01-01T00:00:00"/>
    <d v="2025-01-04T00:00:00"/>
    <x v="1"/>
    <x v="0"/>
    <x v="0"/>
    <x v="0"/>
    <x v="6"/>
    <x v="2"/>
    <x v="0"/>
    <x v="1"/>
  </r>
  <r>
    <x v="15"/>
    <x v="9"/>
    <x v="7"/>
    <n v="30.9"/>
    <x v="15"/>
    <d v="2025-01-01T00:00:00"/>
    <d v="2025-01-02T00:00:00"/>
    <x v="1"/>
    <x v="1"/>
    <x v="2"/>
    <x v="0"/>
    <x v="6"/>
    <x v="3"/>
    <x v="0"/>
    <x v="1"/>
  </r>
  <r>
    <x v="16"/>
    <x v="4"/>
    <x v="2"/>
    <n v="31.1"/>
    <x v="16"/>
    <d v="2025-01-01T00:00:00"/>
    <d v="2025-01-02T00:00:00"/>
    <x v="2"/>
    <x v="0"/>
    <x v="1"/>
    <x v="0"/>
    <x v="6"/>
    <x v="3"/>
    <x v="0"/>
    <x v="2"/>
  </r>
  <r>
    <x v="17"/>
    <x v="7"/>
    <x v="2"/>
    <n v="36.6"/>
    <x v="17"/>
    <d v="2025-01-01T00:00:00"/>
    <d v="2025-01-04T00:00:00"/>
    <x v="2"/>
    <x v="0"/>
    <x v="0"/>
    <x v="0"/>
    <x v="7"/>
    <x v="2"/>
    <x v="0"/>
    <x v="2"/>
  </r>
  <r>
    <x v="18"/>
    <x v="6"/>
    <x v="8"/>
    <n v="51.1"/>
    <x v="18"/>
    <d v="2025-01-01T00:00:00"/>
    <d v="2025-01-04T00:00:00"/>
    <x v="2"/>
    <x v="2"/>
    <x v="3"/>
    <x v="0"/>
    <x v="7"/>
    <x v="2"/>
    <x v="0"/>
    <x v="2"/>
  </r>
  <r>
    <x v="19"/>
    <x v="9"/>
    <x v="0"/>
    <n v="25.2"/>
    <x v="19"/>
    <d v="2025-01-01T00:00:00"/>
    <d v="2025-01-02T00:00:00"/>
    <x v="2"/>
    <x v="1"/>
    <x v="2"/>
    <x v="0"/>
    <x v="8"/>
    <x v="3"/>
    <x v="0"/>
    <x v="2"/>
  </r>
  <r>
    <x v="20"/>
    <x v="9"/>
    <x v="9"/>
    <n v="43.8"/>
    <x v="20"/>
    <d v="2025-01-01T00:00:00"/>
    <d v="2025-01-04T00:00:00"/>
    <x v="2"/>
    <x v="2"/>
    <x v="0"/>
    <x v="0"/>
    <x v="8"/>
    <x v="2"/>
    <x v="0"/>
    <x v="2"/>
  </r>
  <r>
    <x v="21"/>
    <x v="8"/>
    <x v="4"/>
    <n v="46.7"/>
    <x v="21"/>
    <d v="2025-01-01T00:00:00"/>
    <d v="2025-01-02T00:00:00"/>
    <x v="2"/>
    <x v="1"/>
    <x v="1"/>
    <x v="0"/>
    <x v="8"/>
    <x v="3"/>
    <x v="0"/>
    <x v="2"/>
  </r>
  <r>
    <x v="22"/>
    <x v="3"/>
    <x v="10"/>
    <n v="79.900000000000006"/>
    <x v="22"/>
    <d v="2025-01-01T00:00:00"/>
    <d v="2025-01-02T00:00:00"/>
    <x v="1"/>
    <x v="0"/>
    <x v="2"/>
    <x v="0"/>
    <x v="8"/>
    <x v="3"/>
    <x v="0"/>
    <x v="1"/>
  </r>
  <r>
    <x v="23"/>
    <x v="11"/>
    <x v="8"/>
    <n v="26.4"/>
    <x v="23"/>
    <d v="2025-01-01T00:00:00"/>
    <d v="2025-01-02T00:00:00"/>
    <x v="2"/>
    <x v="3"/>
    <x v="0"/>
    <x v="0"/>
    <x v="8"/>
    <x v="3"/>
    <x v="0"/>
    <x v="2"/>
  </r>
  <r>
    <x v="24"/>
    <x v="12"/>
    <x v="8"/>
    <n v="88.8"/>
    <x v="24"/>
    <d v="2025-01-01T00:00:00"/>
    <d v="2025-01-02T00:00:00"/>
    <x v="2"/>
    <x v="4"/>
    <x v="0"/>
    <x v="0"/>
    <x v="8"/>
    <x v="3"/>
    <x v="0"/>
    <x v="2"/>
  </r>
  <r>
    <x v="25"/>
    <x v="0"/>
    <x v="7"/>
    <n v="17.5"/>
    <x v="25"/>
    <d v="2025-01-01T00:00:00"/>
    <d v="2025-01-02T00:00:00"/>
    <x v="2"/>
    <x v="2"/>
    <x v="0"/>
    <x v="0"/>
    <x v="9"/>
    <x v="3"/>
    <x v="0"/>
    <x v="2"/>
  </r>
  <r>
    <x v="26"/>
    <x v="1"/>
    <x v="11"/>
    <n v="38.700000000000003"/>
    <x v="26"/>
    <d v="2025-01-01T00:00:00"/>
    <d v="2025-01-04T00:00:00"/>
    <x v="1"/>
    <x v="1"/>
    <x v="0"/>
    <x v="0"/>
    <x v="10"/>
    <x v="2"/>
    <x v="0"/>
    <x v="1"/>
  </r>
  <r>
    <x v="27"/>
    <x v="13"/>
    <x v="12"/>
    <n v="57.2"/>
    <x v="27"/>
    <d v="2025-01-01T00:00:00"/>
    <d v="2025-01-03T00:00:00"/>
    <x v="0"/>
    <x v="1"/>
    <x v="2"/>
    <x v="0"/>
    <x v="11"/>
    <x v="1"/>
    <x v="0"/>
    <x v="0"/>
  </r>
  <r>
    <x v="28"/>
    <x v="6"/>
    <x v="9"/>
    <n v="50.9"/>
    <x v="28"/>
    <d v="2025-01-01T00:00:00"/>
    <d v="2025-01-07T00:00:00"/>
    <x v="0"/>
    <x v="1"/>
    <x v="2"/>
    <x v="0"/>
    <x v="12"/>
    <x v="4"/>
    <x v="0"/>
    <x v="0"/>
  </r>
  <r>
    <x v="29"/>
    <x v="14"/>
    <x v="3"/>
    <n v="41"/>
    <x v="29"/>
    <d v="2025-01-01T00:00:00"/>
    <d v="2025-01-05T00:00:00"/>
    <x v="2"/>
    <x v="1"/>
    <x v="0"/>
    <x v="0"/>
    <x v="13"/>
    <x v="5"/>
    <x v="0"/>
    <x v="2"/>
  </r>
  <r>
    <x v="30"/>
    <x v="8"/>
    <x v="3"/>
    <n v="19.100000000000001"/>
    <x v="30"/>
    <d v="2025-01-01T00:00:00"/>
    <d v="2025-01-05T00:00:00"/>
    <x v="1"/>
    <x v="0"/>
    <x v="2"/>
    <x v="0"/>
    <x v="14"/>
    <x v="5"/>
    <x v="0"/>
    <x v="1"/>
  </r>
  <r>
    <x v="31"/>
    <x v="2"/>
    <x v="9"/>
    <n v="166.1"/>
    <x v="31"/>
    <d v="2025-01-01T00:00:00"/>
    <d v="2025-01-04T00:00:00"/>
    <x v="1"/>
    <x v="0"/>
    <x v="0"/>
    <x v="0"/>
    <x v="15"/>
    <x v="2"/>
    <x v="0"/>
    <x v="1"/>
  </r>
  <r>
    <x v="32"/>
    <x v="4"/>
    <x v="2"/>
    <n v="29.9"/>
    <x v="32"/>
    <d v="2025-01-01T00:00:00"/>
    <d v="2025-01-02T00:00:00"/>
    <x v="1"/>
    <x v="3"/>
    <x v="0"/>
    <x v="0"/>
    <x v="3"/>
    <x v="3"/>
    <x v="0"/>
    <x v="1"/>
  </r>
  <r>
    <x v="33"/>
    <x v="10"/>
    <x v="13"/>
    <n v="21.7"/>
    <x v="33"/>
    <d v="2025-01-01T00:00:00"/>
    <d v="2025-01-03T00:00:00"/>
    <x v="3"/>
    <x v="2"/>
    <x v="2"/>
    <x v="0"/>
    <x v="3"/>
    <x v="1"/>
    <x v="0"/>
    <x v="3"/>
  </r>
  <r>
    <x v="34"/>
    <x v="11"/>
    <x v="1"/>
    <n v="32"/>
    <x v="34"/>
    <d v="2025-01-01T00:00:00"/>
    <d v="2025-01-04T00:00:00"/>
    <x v="1"/>
    <x v="0"/>
    <x v="2"/>
    <x v="0"/>
    <x v="3"/>
    <x v="2"/>
    <x v="0"/>
    <x v="1"/>
  </r>
  <r>
    <x v="35"/>
    <x v="8"/>
    <x v="1"/>
    <n v="15.8"/>
    <x v="35"/>
    <d v="2025-01-01T00:00:00"/>
    <d v="2025-01-02T00:00:00"/>
    <x v="1"/>
    <x v="4"/>
    <x v="2"/>
    <x v="0"/>
    <x v="3"/>
    <x v="3"/>
    <x v="0"/>
    <x v="1"/>
  </r>
  <r>
    <x v="36"/>
    <x v="2"/>
    <x v="14"/>
    <n v="203.1"/>
    <x v="36"/>
    <d v="2025-01-01T00:00:00"/>
    <d v="2025-01-05T00:00:00"/>
    <x v="1"/>
    <x v="3"/>
    <x v="1"/>
    <x v="0"/>
    <x v="3"/>
    <x v="5"/>
    <x v="0"/>
    <x v="1"/>
  </r>
  <r>
    <x v="37"/>
    <x v="7"/>
    <x v="15"/>
    <n v="39"/>
    <x v="37"/>
    <d v="2025-01-01T00:00:00"/>
    <d v="2025-01-07T00:00:00"/>
    <x v="1"/>
    <x v="0"/>
    <x v="2"/>
    <x v="0"/>
    <x v="3"/>
    <x v="4"/>
    <x v="0"/>
    <x v="1"/>
  </r>
  <r>
    <x v="38"/>
    <x v="10"/>
    <x v="0"/>
    <n v="26.5"/>
    <x v="38"/>
    <d v="2025-01-02T00:00:00"/>
    <d v="2025-01-03T00:00:00"/>
    <x v="1"/>
    <x v="2"/>
    <x v="0"/>
    <x v="0"/>
    <x v="3"/>
    <x v="3"/>
    <x v="0"/>
    <x v="1"/>
  </r>
  <r>
    <x v="39"/>
    <x v="5"/>
    <x v="0"/>
    <n v="43.1"/>
    <x v="39"/>
    <d v="2025-01-02T00:00:00"/>
    <d v="2025-01-03T00:00:00"/>
    <x v="2"/>
    <x v="2"/>
    <x v="1"/>
    <x v="0"/>
    <x v="3"/>
    <x v="3"/>
    <x v="0"/>
    <x v="2"/>
  </r>
  <r>
    <x v="40"/>
    <x v="1"/>
    <x v="2"/>
    <n v="139"/>
    <x v="40"/>
    <d v="2025-01-02T00:00:00"/>
    <d v="2025-01-03T00:00:00"/>
    <x v="2"/>
    <x v="4"/>
    <x v="2"/>
    <x v="0"/>
    <x v="3"/>
    <x v="3"/>
    <x v="0"/>
    <x v="2"/>
  </r>
  <r>
    <x v="41"/>
    <x v="12"/>
    <x v="0"/>
    <n v="80.7"/>
    <x v="41"/>
    <d v="2025-01-02T00:00:00"/>
    <d v="2025-01-03T00:00:00"/>
    <x v="1"/>
    <x v="0"/>
    <x v="2"/>
    <x v="0"/>
    <x v="16"/>
    <x v="3"/>
    <x v="0"/>
    <x v="1"/>
  </r>
  <r>
    <x v="42"/>
    <x v="4"/>
    <x v="1"/>
    <n v="54.5"/>
    <x v="42"/>
    <d v="2025-01-02T00:00:00"/>
    <d v="2025-01-04T00:00:00"/>
    <x v="1"/>
    <x v="1"/>
    <x v="1"/>
    <x v="0"/>
    <x v="6"/>
    <x v="1"/>
    <x v="0"/>
    <x v="1"/>
  </r>
  <r>
    <x v="43"/>
    <x v="6"/>
    <x v="2"/>
    <n v="68.599999999999994"/>
    <x v="43"/>
    <d v="2025-01-02T00:00:00"/>
    <d v="2025-01-02T00:00:00"/>
    <x v="2"/>
    <x v="0"/>
    <x v="1"/>
    <x v="0"/>
    <x v="8"/>
    <x v="7"/>
    <x v="0"/>
    <x v="2"/>
  </r>
  <r>
    <x v="44"/>
    <x v="2"/>
    <x v="12"/>
    <n v="135.9"/>
    <x v="44"/>
    <d v="2025-01-02T00:00:00"/>
    <d v="2025-01-03T00:00:00"/>
    <x v="2"/>
    <x v="2"/>
    <x v="2"/>
    <x v="0"/>
    <x v="8"/>
    <x v="3"/>
    <x v="0"/>
    <x v="2"/>
  </r>
  <r>
    <x v="45"/>
    <x v="2"/>
    <x v="12"/>
    <n v="70.900000000000006"/>
    <x v="45"/>
    <d v="2025-01-02T00:00:00"/>
    <d v="2025-01-03T00:00:00"/>
    <x v="2"/>
    <x v="0"/>
    <x v="0"/>
    <x v="0"/>
    <x v="17"/>
    <x v="3"/>
    <x v="0"/>
    <x v="2"/>
  </r>
  <r>
    <x v="46"/>
    <x v="1"/>
    <x v="9"/>
    <n v="63.7"/>
    <x v="46"/>
    <d v="2025-01-02T00:00:00"/>
    <d v="2025-01-03T00:00:00"/>
    <x v="1"/>
    <x v="1"/>
    <x v="1"/>
    <x v="0"/>
    <x v="9"/>
    <x v="3"/>
    <x v="0"/>
    <x v="1"/>
  </r>
  <r>
    <x v="47"/>
    <x v="13"/>
    <x v="0"/>
    <n v="29.7"/>
    <x v="47"/>
    <d v="2025-01-02T00:00:00"/>
    <d v="2025-01-04T00:00:00"/>
    <x v="2"/>
    <x v="1"/>
    <x v="0"/>
    <x v="0"/>
    <x v="11"/>
    <x v="1"/>
    <x v="0"/>
    <x v="2"/>
  </r>
  <r>
    <x v="48"/>
    <x v="4"/>
    <x v="2"/>
    <n v="26.8"/>
    <x v="48"/>
    <d v="2025-01-02T00:00:00"/>
    <d v="2025-01-11T00:00:00"/>
    <x v="2"/>
    <x v="1"/>
    <x v="2"/>
    <x v="0"/>
    <x v="11"/>
    <x v="8"/>
    <x v="0"/>
    <x v="2"/>
  </r>
  <r>
    <x v="49"/>
    <x v="14"/>
    <x v="0"/>
    <n v="27"/>
    <x v="49"/>
    <d v="2025-01-02T00:00:00"/>
    <d v="2025-01-04T00:00:00"/>
    <x v="2"/>
    <x v="0"/>
    <x v="0"/>
    <x v="0"/>
    <x v="18"/>
    <x v="1"/>
    <x v="0"/>
    <x v="2"/>
  </r>
  <r>
    <x v="50"/>
    <x v="8"/>
    <x v="0"/>
    <n v="41.4"/>
    <x v="50"/>
    <d v="2025-01-02T00:00:00"/>
    <d v="2025-01-03T00:00:00"/>
    <x v="1"/>
    <x v="1"/>
    <x v="2"/>
    <x v="0"/>
    <x v="19"/>
    <x v="3"/>
    <x v="0"/>
    <x v="1"/>
  </r>
  <r>
    <x v="51"/>
    <x v="8"/>
    <x v="1"/>
    <n v="24.3"/>
    <x v="51"/>
    <d v="2025-01-02T00:00:00"/>
    <d v="2025-01-05T00:00:00"/>
    <x v="2"/>
    <x v="1"/>
    <x v="0"/>
    <x v="0"/>
    <x v="19"/>
    <x v="2"/>
    <x v="0"/>
    <x v="2"/>
  </r>
  <r>
    <x v="52"/>
    <x v="8"/>
    <x v="2"/>
    <n v="41.7"/>
    <x v="52"/>
    <d v="2025-01-02T00:00:00"/>
    <d v="2025-01-04T00:00:00"/>
    <x v="1"/>
    <x v="0"/>
    <x v="2"/>
    <x v="0"/>
    <x v="20"/>
    <x v="1"/>
    <x v="0"/>
    <x v="1"/>
  </r>
  <r>
    <x v="53"/>
    <x v="0"/>
    <x v="1"/>
    <n v="18"/>
    <x v="53"/>
    <d v="2025-01-02T00:00:00"/>
    <d v="2025-01-03T00:00:00"/>
    <x v="2"/>
    <x v="0"/>
    <x v="2"/>
    <x v="0"/>
    <x v="21"/>
    <x v="3"/>
    <x v="0"/>
    <x v="2"/>
  </r>
  <r>
    <x v="54"/>
    <x v="7"/>
    <x v="2"/>
    <n v="91.3"/>
    <x v="54"/>
    <d v="2025-01-02T00:00:00"/>
    <d v="2025-01-05T00:00:00"/>
    <x v="1"/>
    <x v="2"/>
    <x v="2"/>
    <x v="0"/>
    <x v="3"/>
    <x v="2"/>
    <x v="0"/>
    <x v="1"/>
  </r>
  <r>
    <x v="55"/>
    <x v="8"/>
    <x v="8"/>
    <n v="19.3"/>
    <x v="55"/>
    <d v="2025-01-02T00:00:00"/>
    <d v="2025-01-03T00:00:00"/>
    <x v="1"/>
    <x v="0"/>
    <x v="0"/>
    <x v="0"/>
    <x v="3"/>
    <x v="3"/>
    <x v="0"/>
    <x v="1"/>
  </r>
  <r>
    <x v="56"/>
    <x v="12"/>
    <x v="15"/>
    <n v="63.2"/>
    <x v="56"/>
    <d v="2025-01-02T00:00:00"/>
    <d v="2025-01-03T00:00:00"/>
    <x v="2"/>
    <x v="0"/>
    <x v="0"/>
    <x v="0"/>
    <x v="3"/>
    <x v="3"/>
    <x v="0"/>
    <x v="2"/>
  </r>
  <r>
    <x v="57"/>
    <x v="10"/>
    <x v="11"/>
    <n v="33.299999999999997"/>
    <x v="57"/>
    <d v="2025-01-03T00:00:00"/>
    <d v="2025-01-11T00:00:00"/>
    <x v="2"/>
    <x v="0"/>
    <x v="2"/>
    <x v="0"/>
    <x v="3"/>
    <x v="9"/>
    <x v="0"/>
    <x v="2"/>
  </r>
  <r>
    <x v="58"/>
    <x v="7"/>
    <x v="1"/>
    <n v="64.2"/>
    <x v="58"/>
    <d v="2025-01-03T00:00:00"/>
    <d v="2025-01-04T00:00:00"/>
    <x v="1"/>
    <x v="0"/>
    <x v="2"/>
    <x v="0"/>
    <x v="3"/>
    <x v="3"/>
    <x v="0"/>
    <x v="1"/>
  </r>
  <r>
    <x v="59"/>
    <x v="9"/>
    <x v="2"/>
    <n v="23.1"/>
    <x v="59"/>
    <d v="2025-01-03T00:00:00"/>
    <d v="2025-01-06T00:00:00"/>
    <x v="2"/>
    <x v="1"/>
    <x v="2"/>
    <x v="0"/>
    <x v="3"/>
    <x v="2"/>
    <x v="0"/>
    <x v="2"/>
  </r>
  <r>
    <x v="60"/>
    <x v="15"/>
    <x v="1"/>
    <n v="71.099999999999994"/>
    <x v="60"/>
    <d v="2025-01-03T00:00:00"/>
    <d v="2025-01-05T00:00:00"/>
    <x v="2"/>
    <x v="3"/>
    <x v="1"/>
    <x v="0"/>
    <x v="3"/>
    <x v="1"/>
    <x v="0"/>
    <x v="2"/>
  </r>
  <r>
    <x v="61"/>
    <x v="0"/>
    <x v="1"/>
    <n v="11.5"/>
    <x v="61"/>
    <d v="2025-01-03T00:00:00"/>
    <d v="2025-01-04T00:00:00"/>
    <x v="2"/>
    <x v="0"/>
    <x v="0"/>
    <x v="0"/>
    <x v="3"/>
    <x v="3"/>
    <x v="0"/>
    <x v="2"/>
  </r>
  <r>
    <x v="62"/>
    <x v="15"/>
    <x v="10"/>
    <n v="69.2"/>
    <x v="62"/>
    <d v="2025-01-03T00:00:00"/>
    <d v="2025-01-08T00:00:00"/>
    <x v="2"/>
    <x v="0"/>
    <x v="0"/>
    <x v="0"/>
    <x v="3"/>
    <x v="0"/>
    <x v="0"/>
    <x v="2"/>
  </r>
  <r>
    <x v="63"/>
    <x v="0"/>
    <x v="0"/>
    <n v="26.8"/>
    <x v="63"/>
    <d v="2025-01-03T00:00:00"/>
    <d v="2025-01-04T00:00:00"/>
    <x v="1"/>
    <x v="2"/>
    <x v="4"/>
    <x v="0"/>
    <x v="3"/>
    <x v="3"/>
    <x v="0"/>
    <x v="1"/>
  </r>
  <r>
    <x v="64"/>
    <x v="16"/>
    <x v="2"/>
    <n v="31.2"/>
    <x v="64"/>
    <d v="2025-01-03T00:00:00"/>
    <d v="2025-01-06T00:00:00"/>
    <x v="2"/>
    <x v="0"/>
    <x v="0"/>
    <x v="0"/>
    <x v="3"/>
    <x v="2"/>
    <x v="0"/>
    <x v="2"/>
  </r>
  <r>
    <x v="65"/>
    <x v="12"/>
    <x v="1"/>
    <n v="113.2"/>
    <x v="65"/>
    <d v="2025-01-03T00:00:00"/>
    <d v="2025-01-04T00:00:00"/>
    <x v="2"/>
    <x v="4"/>
    <x v="0"/>
    <x v="0"/>
    <x v="3"/>
    <x v="3"/>
    <x v="0"/>
    <x v="2"/>
  </r>
  <r>
    <x v="66"/>
    <x v="10"/>
    <x v="8"/>
    <n v="21"/>
    <x v="66"/>
    <d v="2025-01-03T00:00:00"/>
    <d v="2025-01-04T00:00:00"/>
    <x v="1"/>
    <x v="0"/>
    <x v="0"/>
    <x v="0"/>
    <x v="6"/>
    <x v="3"/>
    <x v="0"/>
    <x v="1"/>
  </r>
  <r>
    <x v="67"/>
    <x v="1"/>
    <x v="1"/>
    <n v="89.1"/>
    <x v="67"/>
    <d v="2025-01-03T00:00:00"/>
    <d v="2025-01-04T00:00:00"/>
    <x v="2"/>
    <x v="2"/>
    <x v="2"/>
    <x v="0"/>
    <x v="6"/>
    <x v="3"/>
    <x v="0"/>
    <x v="2"/>
  </r>
  <r>
    <x v="68"/>
    <x v="1"/>
    <x v="0"/>
    <n v="97.7"/>
    <x v="68"/>
    <d v="2025-01-03T00:00:00"/>
    <d v="2025-01-05T00:00:00"/>
    <x v="2"/>
    <x v="0"/>
    <x v="1"/>
    <x v="0"/>
    <x v="6"/>
    <x v="1"/>
    <x v="0"/>
    <x v="2"/>
  </r>
  <r>
    <x v="69"/>
    <x v="15"/>
    <x v="12"/>
    <n v="97.7"/>
    <x v="69"/>
    <d v="2025-01-03T00:00:00"/>
    <d v="2025-01-05T00:00:00"/>
    <x v="1"/>
    <x v="3"/>
    <x v="0"/>
    <x v="0"/>
    <x v="6"/>
    <x v="1"/>
    <x v="0"/>
    <x v="1"/>
  </r>
  <r>
    <x v="70"/>
    <x v="17"/>
    <x v="2"/>
    <n v="47.4"/>
    <x v="60"/>
    <d v="2025-01-03T00:00:00"/>
    <d v="2025-01-06T00:00:00"/>
    <x v="1"/>
    <x v="3"/>
    <x v="2"/>
    <x v="0"/>
    <x v="8"/>
    <x v="2"/>
    <x v="0"/>
    <x v="1"/>
  </r>
  <r>
    <x v="71"/>
    <x v="7"/>
    <x v="0"/>
    <n v="89.6"/>
    <x v="70"/>
    <d v="2025-01-03T00:00:00"/>
    <d v="2025-01-06T00:00:00"/>
    <x v="2"/>
    <x v="0"/>
    <x v="2"/>
    <x v="0"/>
    <x v="8"/>
    <x v="2"/>
    <x v="0"/>
    <x v="2"/>
  </r>
  <r>
    <x v="72"/>
    <x v="10"/>
    <x v="16"/>
    <n v="28.4"/>
    <x v="71"/>
    <d v="2025-01-03T00:00:00"/>
    <d v="2025-01-06T00:00:00"/>
    <x v="2"/>
    <x v="3"/>
    <x v="2"/>
    <x v="0"/>
    <x v="17"/>
    <x v="2"/>
    <x v="0"/>
    <x v="2"/>
  </r>
  <r>
    <x v="73"/>
    <x v="0"/>
    <x v="1"/>
    <n v="17.899999999999999"/>
    <x v="72"/>
    <d v="2025-01-03T00:00:00"/>
    <d v="2025-01-04T00:00:00"/>
    <x v="2"/>
    <x v="0"/>
    <x v="2"/>
    <x v="0"/>
    <x v="9"/>
    <x v="3"/>
    <x v="0"/>
    <x v="2"/>
  </r>
  <r>
    <x v="74"/>
    <x v="9"/>
    <x v="1"/>
    <n v="48.4"/>
    <x v="73"/>
    <d v="2025-01-03T00:00:00"/>
    <d v="2025-01-06T00:00:00"/>
    <x v="1"/>
    <x v="1"/>
    <x v="0"/>
    <x v="0"/>
    <x v="9"/>
    <x v="2"/>
    <x v="0"/>
    <x v="1"/>
  </r>
  <r>
    <x v="75"/>
    <x v="12"/>
    <x v="12"/>
    <n v="44.4"/>
    <x v="74"/>
    <d v="2025-01-03T00:00:00"/>
    <d v="2025-01-04T00:00:00"/>
    <x v="3"/>
    <x v="1"/>
    <x v="1"/>
    <x v="0"/>
    <x v="11"/>
    <x v="3"/>
    <x v="0"/>
    <x v="3"/>
  </r>
  <r>
    <x v="76"/>
    <x v="2"/>
    <x v="8"/>
    <n v="103.7"/>
    <x v="75"/>
    <d v="2025-01-03T00:00:00"/>
    <d v="2025-01-04T00:00:00"/>
    <x v="2"/>
    <x v="0"/>
    <x v="1"/>
    <x v="0"/>
    <x v="19"/>
    <x v="3"/>
    <x v="0"/>
    <x v="2"/>
  </r>
  <r>
    <x v="77"/>
    <x v="5"/>
    <x v="12"/>
    <n v="58.6"/>
    <x v="76"/>
    <d v="2025-01-03T00:00:00"/>
    <d v="2025-01-05T00:00:00"/>
    <x v="1"/>
    <x v="3"/>
    <x v="0"/>
    <x v="0"/>
    <x v="19"/>
    <x v="1"/>
    <x v="0"/>
    <x v="1"/>
  </r>
  <r>
    <x v="78"/>
    <x v="9"/>
    <x v="12"/>
    <n v="54.8"/>
    <x v="77"/>
    <d v="2025-01-03T00:00:00"/>
    <d v="2025-01-07T00:00:00"/>
    <x v="2"/>
    <x v="2"/>
    <x v="1"/>
    <x v="0"/>
    <x v="13"/>
    <x v="5"/>
    <x v="0"/>
    <x v="2"/>
  </r>
  <r>
    <x v="79"/>
    <x v="12"/>
    <x v="2"/>
    <n v="78.8"/>
    <x v="78"/>
    <d v="2025-01-03T00:00:00"/>
    <d v="2025-01-09T00:00:00"/>
    <x v="2"/>
    <x v="4"/>
    <x v="1"/>
    <x v="0"/>
    <x v="21"/>
    <x v="4"/>
    <x v="0"/>
    <x v="2"/>
  </r>
  <r>
    <x v="80"/>
    <x v="18"/>
    <x v="9"/>
    <n v="36.799999999999997"/>
    <x v="79"/>
    <d v="2025-01-03T00:00:00"/>
    <d v="2025-01-06T00:00:00"/>
    <x v="1"/>
    <x v="4"/>
    <x v="1"/>
    <x v="0"/>
    <x v="22"/>
    <x v="2"/>
    <x v="0"/>
    <x v="1"/>
  </r>
  <r>
    <x v="81"/>
    <x v="6"/>
    <x v="13"/>
    <n v="50.6"/>
    <x v="80"/>
    <d v="2025-01-03T00:00:00"/>
    <d v="2025-01-05T00:00:00"/>
    <x v="2"/>
    <x v="3"/>
    <x v="0"/>
    <x v="0"/>
    <x v="3"/>
    <x v="1"/>
    <x v="0"/>
    <x v="2"/>
  </r>
  <r>
    <x v="82"/>
    <x v="15"/>
    <x v="2"/>
    <n v="36.799999999999997"/>
    <x v="81"/>
    <d v="2025-01-03T00:00:00"/>
    <d v="2025-01-03T00:00:00"/>
    <x v="1"/>
    <x v="2"/>
    <x v="1"/>
    <x v="0"/>
    <x v="3"/>
    <x v="7"/>
    <x v="0"/>
    <x v="1"/>
  </r>
  <r>
    <x v="83"/>
    <x v="8"/>
    <x v="11"/>
    <n v="41.8"/>
    <x v="82"/>
    <d v="2025-01-04T00:00:00"/>
    <d v="2025-01-10T00:00:00"/>
    <x v="2"/>
    <x v="3"/>
    <x v="0"/>
    <x v="0"/>
    <x v="3"/>
    <x v="4"/>
    <x v="0"/>
    <x v="2"/>
  </r>
  <r>
    <x v="84"/>
    <x v="18"/>
    <x v="0"/>
    <n v="77.3"/>
    <x v="83"/>
    <d v="2025-01-04T00:00:00"/>
    <d v="2025-01-05T00:00:00"/>
    <x v="1"/>
    <x v="4"/>
    <x v="4"/>
    <x v="0"/>
    <x v="3"/>
    <x v="3"/>
    <x v="0"/>
    <x v="1"/>
  </r>
  <r>
    <x v="85"/>
    <x v="8"/>
    <x v="12"/>
    <n v="19.8"/>
    <x v="84"/>
    <d v="2025-01-04T00:00:00"/>
    <d v="2025-01-10T00:00:00"/>
    <x v="1"/>
    <x v="1"/>
    <x v="2"/>
    <x v="0"/>
    <x v="3"/>
    <x v="4"/>
    <x v="0"/>
    <x v="1"/>
  </r>
  <r>
    <x v="86"/>
    <x v="13"/>
    <x v="12"/>
    <n v="15.5"/>
    <x v="85"/>
    <d v="2025-01-04T00:00:00"/>
    <d v="2025-01-05T00:00:00"/>
    <x v="2"/>
    <x v="1"/>
    <x v="2"/>
    <x v="0"/>
    <x v="3"/>
    <x v="3"/>
    <x v="0"/>
    <x v="2"/>
  </r>
  <r>
    <x v="87"/>
    <x v="12"/>
    <x v="0"/>
    <n v="46.8"/>
    <x v="86"/>
    <d v="2025-01-04T00:00:00"/>
    <d v="2025-01-08T00:00:00"/>
    <x v="1"/>
    <x v="0"/>
    <x v="2"/>
    <x v="0"/>
    <x v="3"/>
    <x v="5"/>
    <x v="0"/>
    <x v="1"/>
  </r>
  <r>
    <x v="88"/>
    <x v="9"/>
    <x v="11"/>
    <n v="28.6"/>
    <x v="87"/>
    <d v="2025-01-04T00:00:00"/>
    <d v="2025-01-08T00:00:00"/>
    <x v="1"/>
    <x v="0"/>
    <x v="2"/>
    <x v="0"/>
    <x v="3"/>
    <x v="5"/>
    <x v="0"/>
    <x v="1"/>
  </r>
  <r>
    <x v="89"/>
    <x v="2"/>
    <x v="0"/>
    <n v="97.7"/>
    <x v="68"/>
    <d v="2025-01-04T00:00:00"/>
    <d v="2025-01-07T00:00:00"/>
    <x v="2"/>
    <x v="1"/>
    <x v="0"/>
    <x v="0"/>
    <x v="3"/>
    <x v="2"/>
    <x v="0"/>
    <x v="2"/>
  </r>
  <r>
    <x v="90"/>
    <x v="9"/>
    <x v="9"/>
    <n v="54.7"/>
    <x v="88"/>
    <d v="2025-01-04T00:00:00"/>
    <d v="2025-01-07T00:00:00"/>
    <x v="0"/>
    <x v="0"/>
    <x v="2"/>
    <x v="0"/>
    <x v="23"/>
    <x v="2"/>
    <x v="0"/>
    <x v="0"/>
  </r>
  <r>
    <x v="91"/>
    <x v="2"/>
    <x v="13"/>
    <n v="130.5"/>
    <x v="89"/>
    <d v="2025-01-04T00:00:00"/>
    <d v="2025-01-06T00:00:00"/>
    <x v="2"/>
    <x v="0"/>
    <x v="1"/>
    <x v="0"/>
    <x v="23"/>
    <x v="1"/>
    <x v="0"/>
    <x v="2"/>
  </r>
  <r>
    <x v="92"/>
    <x v="11"/>
    <x v="1"/>
    <n v="50.4"/>
    <x v="90"/>
    <d v="2025-01-04T00:00:00"/>
    <d v="2025-01-06T00:00:00"/>
    <x v="1"/>
    <x v="2"/>
    <x v="2"/>
    <x v="0"/>
    <x v="6"/>
    <x v="1"/>
    <x v="0"/>
    <x v="1"/>
  </r>
  <r>
    <x v="93"/>
    <x v="6"/>
    <x v="15"/>
    <n v="61.5"/>
    <x v="91"/>
    <d v="2025-01-04T00:00:00"/>
    <d v="2025-01-05T00:00:00"/>
    <x v="0"/>
    <x v="3"/>
    <x v="1"/>
    <x v="0"/>
    <x v="11"/>
    <x v="3"/>
    <x v="0"/>
    <x v="0"/>
  </r>
  <r>
    <x v="94"/>
    <x v="9"/>
    <x v="12"/>
    <n v="30.1"/>
    <x v="92"/>
    <d v="2025-01-04T00:00:00"/>
    <d v="2025-01-05T00:00:00"/>
    <x v="2"/>
    <x v="0"/>
    <x v="2"/>
    <x v="0"/>
    <x v="21"/>
    <x v="3"/>
    <x v="0"/>
    <x v="2"/>
  </r>
  <r>
    <x v="95"/>
    <x v="2"/>
    <x v="9"/>
    <n v="74.8"/>
    <x v="93"/>
    <d v="2025-01-04T00:00:00"/>
    <d v="2025-01-05T00:00:00"/>
    <x v="2"/>
    <x v="1"/>
    <x v="0"/>
    <x v="0"/>
    <x v="1"/>
    <x v="3"/>
    <x v="0"/>
    <x v="2"/>
  </r>
  <r>
    <x v="96"/>
    <x v="16"/>
    <x v="2"/>
    <n v="64.900000000000006"/>
    <x v="94"/>
    <d v="2025-01-04T00:00:00"/>
    <d v="2025-01-11T00:00:00"/>
    <x v="1"/>
    <x v="0"/>
    <x v="0"/>
    <x v="0"/>
    <x v="2"/>
    <x v="6"/>
    <x v="0"/>
    <x v="1"/>
  </r>
  <r>
    <x v="97"/>
    <x v="9"/>
    <x v="1"/>
    <n v="50.5"/>
    <x v="95"/>
    <d v="2025-01-04T00:00:00"/>
    <d v="2025-01-06T00:00:00"/>
    <x v="1"/>
    <x v="1"/>
    <x v="0"/>
    <x v="0"/>
    <x v="22"/>
    <x v="1"/>
    <x v="0"/>
    <x v="1"/>
  </r>
  <r>
    <x v="98"/>
    <x v="11"/>
    <x v="3"/>
    <n v="63"/>
    <x v="96"/>
    <d v="2025-01-04T00:00:00"/>
    <d v="2025-01-07T00:00:00"/>
    <x v="1"/>
    <x v="3"/>
    <x v="2"/>
    <x v="0"/>
    <x v="3"/>
    <x v="2"/>
    <x v="0"/>
    <x v="1"/>
  </r>
  <r>
    <x v="99"/>
    <x v="2"/>
    <x v="2"/>
    <n v="93.6"/>
    <x v="97"/>
    <d v="2025-01-04T00:00:00"/>
    <d v="2025-01-17T00:00:00"/>
    <x v="2"/>
    <x v="0"/>
    <x v="2"/>
    <x v="0"/>
    <x v="3"/>
    <x v="10"/>
    <x v="0"/>
    <x v="2"/>
  </r>
  <r>
    <x v="100"/>
    <x v="5"/>
    <x v="17"/>
    <n v="41.4"/>
    <x v="98"/>
    <d v="2025-01-04T00:00:00"/>
    <d v="2025-01-08T00:00:00"/>
    <x v="1"/>
    <x v="2"/>
    <x v="2"/>
    <x v="0"/>
    <x v="3"/>
    <x v="5"/>
    <x v="0"/>
    <x v="1"/>
  </r>
  <r>
    <x v="101"/>
    <x v="2"/>
    <x v="1"/>
    <n v="160"/>
    <x v="99"/>
    <d v="2025-01-05T00:00:00"/>
    <d v="2025-01-06T00:00:00"/>
    <x v="1"/>
    <x v="2"/>
    <x v="2"/>
    <x v="0"/>
    <x v="5"/>
    <x v="3"/>
    <x v="1"/>
    <x v="1"/>
  </r>
  <r>
    <x v="102"/>
    <x v="19"/>
    <x v="5"/>
    <n v="10.5"/>
    <x v="100"/>
    <d v="2025-01-05T00:00:00"/>
    <d v="2025-01-08T00:00:00"/>
    <x v="2"/>
    <x v="4"/>
    <x v="0"/>
    <x v="0"/>
    <x v="8"/>
    <x v="2"/>
    <x v="1"/>
    <x v="2"/>
  </r>
  <r>
    <x v="103"/>
    <x v="10"/>
    <x v="1"/>
    <n v="53"/>
    <x v="101"/>
    <d v="2025-01-05T00:00:00"/>
    <d v="2025-01-05T00:00:00"/>
    <x v="1"/>
    <x v="2"/>
    <x v="4"/>
    <x v="0"/>
    <x v="17"/>
    <x v="7"/>
    <x v="1"/>
    <x v="1"/>
  </r>
  <r>
    <x v="104"/>
    <x v="8"/>
    <x v="2"/>
    <n v="18.5"/>
    <x v="102"/>
    <d v="2025-01-05T00:00:00"/>
    <d v="2025-01-10T00:00:00"/>
    <x v="2"/>
    <x v="1"/>
    <x v="2"/>
    <x v="0"/>
    <x v="11"/>
    <x v="0"/>
    <x v="1"/>
    <x v="2"/>
  </r>
  <r>
    <x v="105"/>
    <x v="16"/>
    <x v="2"/>
    <n v="84.5"/>
    <x v="103"/>
    <d v="2025-01-05T00:00:00"/>
    <d v="2025-01-07T00:00:00"/>
    <x v="2"/>
    <x v="4"/>
    <x v="1"/>
    <x v="0"/>
    <x v="13"/>
    <x v="1"/>
    <x v="1"/>
    <x v="2"/>
  </r>
  <r>
    <x v="106"/>
    <x v="15"/>
    <x v="3"/>
    <n v="31.2"/>
    <x v="104"/>
    <d v="2025-01-05T00:00:00"/>
    <d v="2025-01-05T00:00:00"/>
    <x v="2"/>
    <x v="2"/>
    <x v="2"/>
    <x v="0"/>
    <x v="3"/>
    <x v="7"/>
    <x v="1"/>
    <x v="2"/>
  </r>
  <r>
    <x v="107"/>
    <x v="8"/>
    <x v="16"/>
    <n v="32.6"/>
    <x v="105"/>
    <d v="2025-01-05T00:00:00"/>
    <d v="2025-01-06T00:00:00"/>
    <x v="1"/>
    <x v="1"/>
    <x v="1"/>
    <x v="0"/>
    <x v="3"/>
    <x v="3"/>
    <x v="1"/>
    <x v="1"/>
  </r>
  <r>
    <x v="108"/>
    <x v="10"/>
    <x v="12"/>
    <n v="45.4"/>
    <x v="106"/>
    <d v="2025-01-05T00:00:00"/>
    <d v="2025-01-07T00:00:00"/>
    <x v="1"/>
    <x v="1"/>
    <x v="0"/>
    <x v="0"/>
    <x v="3"/>
    <x v="1"/>
    <x v="1"/>
    <x v="1"/>
  </r>
  <r>
    <x v="109"/>
    <x v="2"/>
    <x v="4"/>
    <n v="120"/>
    <x v="107"/>
    <d v="2025-01-05T00:00:00"/>
    <d v="2025-01-06T00:00:00"/>
    <x v="2"/>
    <x v="2"/>
    <x v="4"/>
    <x v="0"/>
    <x v="3"/>
    <x v="3"/>
    <x v="1"/>
    <x v="2"/>
  </r>
  <r>
    <x v="110"/>
    <x v="0"/>
    <x v="12"/>
    <n v="18.899999999999999"/>
    <x v="108"/>
    <d v="2025-01-05T00:00:00"/>
    <d v="2025-01-07T00:00:00"/>
    <x v="1"/>
    <x v="0"/>
    <x v="2"/>
    <x v="0"/>
    <x v="3"/>
    <x v="1"/>
    <x v="1"/>
    <x v="1"/>
  </r>
  <r>
    <x v="111"/>
    <x v="4"/>
    <x v="0"/>
    <n v="32"/>
    <x v="109"/>
    <d v="2025-01-05T00:00:00"/>
    <d v="2025-01-07T00:00:00"/>
    <x v="2"/>
    <x v="4"/>
    <x v="0"/>
    <x v="0"/>
    <x v="3"/>
    <x v="1"/>
    <x v="1"/>
    <x v="2"/>
  </r>
  <r>
    <x v="112"/>
    <x v="7"/>
    <x v="1"/>
    <n v="37.299999999999997"/>
    <x v="110"/>
    <d v="2025-01-05T00:00:00"/>
    <d v="2025-01-06T00:00:00"/>
    <x v="1"/>
    <x v="2"/>
    <x v="0"/>
    <x v="0"/>
    <x v="3"/>
    <x v="3"/>
    <x v="1"/>
    <x v="1"/>
  </r>
  <r>
    <x v="113"/>
    <x v="18"/>
    <x v="0"/>
    <n v="119.8"/>
    <x v="111"/>
    <d v="2025-01-05T00:00:00"/>
    <d v="2025-01-06T00:00:00"/>
    <x v="1"/>
    <x v="1"/>
    <x v="1"/>
    <x v="0"/>
    <x v="3"/>
    <x v="3"/>
    <x v="1"/>
    <x v="1"/>
  </r>
  <r>
    <x v="114"/>
    <x v="10"/>
    <x v="1"/>
    <n v="26.4"/>
    <x v="112"/>
    <d v="2025-01-05T00:00:00"/>
    <d v="2025-01-08T00:00:00"/>
    <x v="1"/>
    <x v="2"/>
    <x v="0"/>
    <x v="0"/>
    <x v="3"/>
    <x v="2"/>
    <x v="1"/>
    <x v="1"/>
  </r>
  <r>
    <x v="115"/>
    <x v="6"/>
    <x v="13"/>
    <n v="76.5"/>
    <x v="113"/>
    <d v="2025-01-05T00:00:00"/>
    <d v="2025-01-06T00:00:00"/>
    <x v="2"/>
    <x v="1"/>
    <x v="1"/>
    <x v="0"/>
    <x v="3"/>
    <x v="3"/>
    <x v="1"/>
    <x v="2"/>
  </r>
  <r>
    <x v="116"/>
    <x v="4"/>
    <x v="7"/>
    <n v="45.7"/>
    <x v="114"/>
    <d v="2025-01-05T00:00:00"/>
    <d v="2025-01-06T00:00:00"/>
    <x v="2"/>
    <x v="2"/>
    <x v="0"/>
    <x v="0"/>
    <x v="24"/>
    <x v="3"/>
    <x v="1"/>
    <x v="2"/>
  </r>
  <r>
    <x v="117"/>
    <x v="1"/>
    <x v="4"/>
    <n v="92.6"/>
    <x v="115"/>
    <d v="2025-01-05T00:00:00"/>
    <d v="2025-01-07T00:00:00"/>
    <x v="2"/>
    <x v="2"/>
    <x v="0"/>
    <x v="0"/>
    <x v="25"/>
    <x v="1"/>
    <x v="1"/>
    <x v="2"/>
  </r>
  <r>
    <x v="118"/>
    <x v="6"/>
    <x v="13"/>
    <n v="60.1"/>
    <x v="116"/>
    <d v="2025-01-05T00:00:00"/>
    <d v="2025-01-06T00:00:00"/>
    <x v="1"/>
    <x v="1"/>
    <x v="0"/>
    <x v="0"/>
    <x v="23"/>
    <x v="3"/>
    <x v="1"/>
    <x v="1"/>
  </r>
  <r>
    <x v="119"/>
    <x v="1"/>
    <x v="2"/>
    <n v="73"/>
    <x v="20"/>
    <d v="2025-01-05T00:00:00"/>
    <d v="2025-01-06T00:00:00"/>
    <x v="2"/>
    <x v="3"/>
    <x v="1"/>
    <x v="0"/>
    <x v="6"/>
    <x v="3"/>
    <x v="1"/>
    <x v="2"/>
  </r>
  <r>
    <x v="120"/>
    <x v="6"/>
    <x v="2"/>
    <n v="44.3"/>
    <x v="117"/>
    <d v="2025-01-05T00:00:00"/>
    <d v="2025-01-09T00:00:00"/>
    <x v="0"/>
    <x v="2"/>
    <x v="2"/>
    <x v="0"/>
    <x v="6"/>
    <x v="5"/>
    <x v="1"/>
    <x v="0"/>
  </r>
  <r>
    <x v="121"/>
    <x v="6"/>
    <x v="2"/>
    <n v="63.3"/>
    <x v="118"/>
    <d v="2025-01-05T00:00:00"/>
    <d v="2025-01-06T00:00:00"/>
    <x v="1"/>
    <x v="2"/>
    <x v="0"/>
    <x v="0"/>
    <x v="6"/>
    <x v="3"/>
    <x v="1"/>
    <x v="1"/>
  </r>
  <r>
    <x v="122"/>
    <x v="12"/>
    <x v="0"/>
    <n v="66.8"/>
    <x v="119"/>
    <d v="2025-01-05T00:00:00"/>
    <d v="2025-01-06T00:00:00"/>
    <x v="2"/>
    <x v="1"/>
    <x v="0"/>
    <x v="0"/>
    <x v="6"/>
    <x v="3"/>
    <x v="1"/>
    <x v="2"/>
  </r>
  <r>
    <x v="123"/>
    <x v="2"/>
    <x v="1"/>
    <n v="59.7"/>
    <x v="120"/>
    <d v="2025-01-05T00:00:00"/>
    <d v="2025-01-06T00:00:00"/>
    <x v="2"/>
    <x v="0"/>
    <x v="0"/>
    <x v="0"/>
    <x v="7"/>
    <x v="3"/>
    <x v="1"/>
    <x v="2"/>
  </r>
  <r>
    <x v="124"/>
    <x v="1"/>
    <x v="13"/>
    <n v="92"/>
    <x v="121"/>
    <d v="2025-01-05T00:00:00"/>
    <d v="2025-01-07T00:00:00"/>
    <x v="1"/>
    <x v="0"/>
    <x v="4"/>
    <x v="0"/>
    <x v="7"/>
    <x v="1"/>
    <x v="1"/>
    <x v="1"/>
  </r>
  <r>
    <x v="125"/>
    <x v="7"/>
    <x v="1"/>
    <n v="87.6"/>
    <x v="122"/>
    <d v="2025-01-05T00:00:00"/>
    <d v="2025-01-07T00:00:00"/>
    <x v="1"/>
    <x v="1"/>
    <x v="1"/>
    <x v="0"/>
    <x v="8"/>
    <x v="1"/>
    <x v="1"/>
    <x v="1"/>
  </r>
  <r>
    <x v="126"/>
    <x v="6"/>
    <x v="2"/>
    <n v="84.5"/>
    <x v="103"/>
    <d v="2025-01-05T00:00:00"/>
    <d v="2025-01-06T00:00:00"/>
    <x v="2"/>
    <x v="1"/>
    <x v="1"/>
    <x v="0"/>
    <x v="8"/>
    <x v="3"/>
    <x v="1"/>
    <x v="2"/>
  </r>
  <r>
    <x v="127"/>
    <x v="1"/>
    <x v="1"/>
    <n v="116.3"/>
    <x v="123"/>
    <d v="2025-01-06T00:00:00"/>
    <d v="2025-01-08T00:00:00"/>
    <x v="1"/>
    <x v="2"/>
    <x v="2"/>
    <x v="0"/>
    <x v="8"/>
    <x v="1"/>
    <x v="1"/>
    <x v="1"/>
  </r>
  <r>
    <x v="128"/>
    <x v="6"/>
    <x v="9"/>
    <n v="52.7"/>
    <x v="124"/>
    <d v="2025-01-06T00:00:00"/>
    <d v="2025-01-10T00:00:00"/>
    <x v="1"/>
    <x v="0"/>
    <x v="0"/>
    <x v="0"/>
    <x v="8"/>
    <x v="5"/>
    <x v="1"/>
    <x v="1"/>
  </r>
  <r>
    <x v="129"/>
    <x v="16"/>
    <x v="2"/>
    <n v="34.200000000000003"/>
    <x v="125"/>
    <d v="2025-01-06T00:00:00"/>
    <d v="2025-01-07T00:00:00"/>
    <x v="1"/>
    <x v="0"/>
    <x v="2"/>
    <x v="0"/>
    <x v="26"/>
    <x v="3"/>
    <x v="1"/>
    <x v="1"/>
  </r>
  <r>
    <x v="130"/>
    <x v="9"/>
    <x v="0"/>
    <n v="23.3"/>
    <x v="126"/>
    <d v="2025-01-06T00:00:00"/>
    <d v="2025-01-15T00:00:00"/>
    <x v="3"/>
    <x v="2"/>
    <x v="2"/>
    <x v="0"/>
    <x v="9"/>
    <x v="8"/>
    <x v="1"/>
    <x v="3"/>
  </r>
  <r>
    <x v="131"/>
    <x v="0"/>
    <x v="18"/>
    <n v="25.9"/>
    <x v="127"/>
    <d v="2025-01-06T00:00:00"/>
    <d v="2025-01-09T00:00:00"/>
    <x v="2"/>
    <x v="4"/>
    <x v="1"/>
    <x v="0"/>
    <x v="9"/>
    <x v="2"/>
    <x v="1"/>
    <x v="2"/>
  </r>
  <r>
    <x v="132"/>
    <x v="6"/>
    <x v="19"/>
    <n v="54.9"/>
    <x v="128"/>
    <d v="2025-01-06T00:00:00"/>
    <d v="2025-01-07T00:00:00"/>
    <x v="1"/>
    <x v="1"/>
    <x v="2"/>
    <x v="0"/>
    <x v="9"/>
    <x v="3"/>
    <x v="1"/>
    <x v="1"/>
  </r>
  <r>
    <x v="133"/>
    <x v="5"/>
    <x v="2"/>
    <n v="75.8"/>
    <x v="129"/>
    <d v="2025-01-06T00:00:00"/>
    <d v="2025-01-11T00:00:00"/>
    <x v="3"/>
    <x v="1"/>
    <x v="0"/>
    <x v="0"/>
    <x v="18"/>
    <x v="0"/>
    <x v="1"/>
    <x v="3"/>
  </r>
  <r>
    <x v="134"/>
    <x v="1"/>
    <x v="11"/>
    <n v="44.9"/>
    <x v="130"/>
    <d v="2025-01-06T00:00:00"/>
    <d v="2025-01-09T00:00:00"/>
    <x v="2"/>
    <x v="2"/>
    <x v="2"/>
    <x v="0"/>
    <x v="2"/>
    <x v="2"/>
    <x v="1"/>
    <x v="2"/>
  </r>
  <r>
    <x v="135"/>
    <x v="11"/>
    <x v="1"/>
    <n v="48.8"/>
    <x v="131"/>
    <d v="2025-01-06T00:00:00"/>
    <d v="2025-01-08T00:00:00"/>
    <x v="2"/>
    <x v="3"/>
    <x v="0"/>
    <x v="0"/>
    <x v="27"/>
    <x v="1"/>
    <x v="1"/>
    <x v="2"/>
  </r>
  <r>
    <x v="136"/>
    <x v="15"/>
    <x v="0"/>
    <n v="20.3"/>
    <x v="132"/>
    <d v="2025-01-06T00:00:00"/>
    <d v="2025-01-07T00:00:00"/>
    <x v="2"/>
    <x v="0"/>
    <x v="2"/>
    <x v="0"/>
    <x v="22"/>
    <x v="3"/>
    <x v="1"/>
    <x v="2"/>
  </r>
  <r>
    <x v="137"/>
    <x v="5"/>
    <x v="3"/>
    <n v="36.4"/>
    <x v="133"/>
    <d v="2025-01-06T00:00:00"/>
    <d v="2025-01-09T00:00:00"/>
    <x v="2"/>
    <x v="0"/>
    <x v="1"/>
    <x v="0"/>
    <x v="3"/>
    <x v="2"/>
    <x v="1"/>
    <x v="2"/>
  </r>
  <r>
    <x v="138"/>
    <x v="0"/>
    <x v="0"/>
    <n v="19"/>
    <x v="134"/>
    <d v="2025-01-06T00:00:00"/>
    <d v="2025-01-11T00:00:00"/>
    <x v="2"/>
    <x v="1"/>
    <x v="2"/>
    <x v="0"/>
    <x v="3"/>
    <x v="0"/>
    <x v="1"/>
    <x v="2"/>
  </r>
  <r>
    <x v="139"/>
    <x v="8"/>
    <x v="0"/>
    <n v="17.8"/>
    <x v="135"/>
    <d v="2025-01-06T00:00:00"/>
    <d v="2025-01-06T00:00:00"/>
    <x v="1"/>
    <x v="0"/>
    <x v="0"/>
    <x v="0"/>
    <x v="3"/>
    <x v="7"/>
    <x v="1"/>
    <x v="1"/>
  </r>
  <r>
    <x v="140"/>
    <x v="2"/>
    <x v="13"/>
    <n v="139.6"/>
    <x v="136"/>
    <d v="2025-01-06T00:00:00"/>
    <d v="2025-01-09T00:00:00"/>
    <x v="1"/>
    <x v="0"/>
    <x v="0"/>
    <x v="0"/>
    <x v="3"/>
    <x v="2"/>
    <x v="1"/>
    <x v="1"/>
  </r>
  <r>
    <x v="141"/>
    <x v="9"/>
    <x v="0"/>
    <n v="31.7"/>
    <x v="137"/>
    <d v="2025-01-06T00:00:00"/>
    <d v="2025-01-06T00:00:00"/>
    <x v="0"/>
    <x v="0"/>
    <x v="0"/>
    <x v="0"/>
    <x v="3"/>
    <x v="7"/>
    <x v="1"/>
    <x v="0"/>
  </r>
  <r>
    <x v="142"/>
    <x v="8"/>
    <x v="8"/>
    <n v="26.3"/>
    <x v="138"/>
    <d v="2025-01-06T00:00:00"/>
    <d v="2025-01-09T00:00:00"/>
    <x v="2"/>
    <x v="4"/>
    <x v="4"/>
    <x v="0"/>
    <x v="3"/>
    <x v="2"/>
    <x v="1"/>
    <x v="2"/>
  </r>
  <r>
    <x v="143"/>
    <x v="4"/>
    <x v="1"/>
    <n v="47.8"/>
    <x v="139"/>
    <d v="2025-01-06T00:00:00"/>
    <d v="2025-01-07T00:00:00"/>
    <x v="0"/>
    <x v="0"/>
    <x v="0"/>
    <x v="0"/>
    <x v="3"/>
    <x v="3"/>
    <x v="1"/>
    <x v="0"/>
  </r>
  <r>
    <x v="144"/>
    <x v="9"/>
    <x v="2"/>
    <n v="69.400000000000006"/>
    <x v="140"/>
    <d v="2025-01-06T00:00:00"/>
    <d v="2025-01-10T00:00:00"/>
    <x v="2"/>
    <x v="0"/>
    <x v="0"/>
    <x v="0"/>
    <x v="3"/>
    <x v="5"/>
    <x v="1"/>
    <x v="2"/>
  </r>
  <r>
    <x v="145"/>
    <x v="18"/>
    <x v="4"/>
    <n v="25.8"/>
    <x v="141"/>
    <d v="2025-01-06T00:00:00"/>
    <d v="2025-01-07T00:00:00"/>
    <x v="1"/>
    <x v="4"/>
    <x v="4"/>
    <x v="0"/>
    <x v="3"/>
    <x v="3"/>
    <x v="1"/>
    <x v="1"/>
  </r>
  <r>
    <x v="146"/>
    <x v="0"/>
    <x v="12"/>
    <n v="26.4"/>
    <x v="142"/>
    <d v="2025-01-06T00:00:00"/>
    <d v="2025-01-07T00:00:00"/>
    <x v="1"/>
    <x v="1"/>
    <x v="2"/>
    <x v="0"/>
    <x v="3"/>
    <x v="3"/>
    <x v="1"/>
    <x v="1"/>
  </r>
  <r>
    <x v="147"/>
    <x v="8"/>
    <x v="12"/>
    <n v="15.7"/>
    <x v="143"/>
    <d v="2025-01-06T00:00:00"/>
    <d v="2025-01-07T00:00:00"/>
    <x v="1"/>
    <x v="2"/>
    <x v="0"/>
    <x v="0"/>
    <x v="3"/>
    <x v="3"/>
    <x v="1"/>
    <x v="1"/>
  </r>
  <r>
    <x v="148"/>
    <x v="8"/>
    <x v="0"/>
    <n v="39.700000000000003"/>
    <x v="144"/>
    <d v="2025-01-06T00:00:00"/>
    <d v="2025-01-10T00:00:00"/>
    <x v="1"/>
    <x v="0"/>
    <x v="0"/>
    <x v="0"/>
    <x v="3"/>
    <x v="5"/>
    <x v="1"/>
    <x v="1"/>
  </r>
  <r>
    <x v="149"/>
    <x v="10"/>
    <x v="12"/>
    <n v="31.1"/>
    <x v="145"/>
    <d v="2025-01-06T00:00:00"/>
    <d v="2025-01-08T00:00:00"/>
    <x v="2"/>
    <x v="2"/>
    <x v="1"/>
    <x v="0"/>
    <x v="3"/>
    <x v="1"/>
    <x v="1"/>
    <x v="2"/>
  </r>
  <r>
    <x v="150"/>
    <x v="13"/>
    <x v="20"/>
    <n v="23.4"/>
    <x v="146"/>
    <d v="2025-01-06T00:00:00"/>
    <d v="2025-01-15T00:00:00"/>
    <x v="1"/>
    <x v="0"/>
    <x v="0"/>
    <x v="0"/>
    <x v="3"/>
    <x v="8"/>
    <x v="1"/>
    <x v="1"/>
  </r>
  <r>
    <x v="151"/>
    <x v="1"/>
    <x v="12"/>
    <n v="57.1"/>
    <x v="147"/>
    <d v="2025-01-07T00:00:00"/>
    <d v="2025-01-08T00:00:00"/>
    <x v="1"/>
    <x v="2"/>
    <x v="0"/>
    <x v="0"/>
    <x v="25"/>
    <x v="3"/>
    <x v="1"/>
    <x v="1"/>
  </r>
  <r>
    <x v="152"/>
    <x v="2"/>
    <x v="9"/>
    <n v="89.9"/>
    <x v="148"/>
    <d v="2025-01-07T00:00:00"/>
    <d v="2025-01-07T00:00:00"/>
    <x v="2"/>
    <x v="0"/>
    <x v="3"/>
    <x v="0"/>
    <x v="23"/>
    <x v="7"/>
    <x v="1"/>
    <x v="2"/>
  </r>
  <r>
    <x v="153"/>
    <x v="10"/>
    <x v="3"/>
    <n v="48.1"/>
    <x v="149"/>
    <d v="2025-01-07T00:00:00"/>
    <d v="2025-01-09T00:00:00"/>
    <x v="2"/>
    <x v="1"/>
    <x v="2"/>
    <x v="0"/>
    <x v="6"/>
    <x v="1"/>
    <x v="1"/>
    <x v="2"/>
  </r>
  <r>
    <x v="154"/>
    <x v="8"/>
    <x v="1"/>
    <n v="29.3"/>
    <x v="150"/>
    <d v="2025-01-07T00:00:00"/>
    <d v="2025-01-07T00:00:00"/>
    <x v="2"/>
    <x v="1"/>
    <x v="1"/>
    <x v="0"/>
    <x v="6"/>
    <x v="7"/>
    <x v="1"/>
    <x v="2"/>
  </r>
  <r>
    <x v="155"/>
    <x v="8"/>
    <x v="12"/>
    <n v="28.8"/>
    <x v="151"/>
    <d v="2025-01-07T00:00:00"/>
    <d v="2025-01-08T00:00:00"/>
    <x v="2"/>
    <x v="0"/>
    <x v="4"/>
    <x v="0"/>
    <x v="6"/>
    <x v="3"/>
    <x v="1"/>
    <x v="2"/>
  </r>
  <r>
    <x v="156"/>
    <x v="10"/>
    <x v="9"/>
    <n v="40.5"/>
    <x v="152"/>
    <d v="2025-01-07T00:00:00"/>
    <d v="2025-01-11T00:00:00"/>
    <x v="2"/>
    <x v="3"/>
    <x v="0"/>
    <x v="0"/>
    <x v="6"/>
    <x v="5"/>
    <x v="1"/>
    <x v="2"/>
  </r>
  <r>
    <x v="157"/>
    <x v="18"/>
    <x v="21"/>
    <n v="65.099999999999994"/>
    <x v="153"/>
    <d v="2025-01-07T00:00:00"/>
    <d v="2025-01-08T00:00:00"/>
    <x v="2"/>
    <x v="4"/>
    <x v="0"/>
    <x v="0"/>
    <x v="7"/>
    <x v="3"/>
    <x v="1"/>
    <x v="2"/>
  </r>
  <r>
    <x v="158"/>
    <x v="8"/>
    <x v="12"/>
    <n v="40.299999999999997"/>
    <x v="154"/>
    <d v="2025-01-07T00:00:00"/>
    <d v="2025-01-12T00:00:00"/>
    <x v="2"/>
    <x v="2"/>
    <x v="0"/>
    <x v="0"/>
    <x v="7"/>
    <x v="0"/>
    <x v="1"/>
    <x v="2"/>
  </r>
  <r>
    <x v="159"/>
    <x v="6"/>
    <x v="9"/>
    <n v="51.8"/>
    <x v="155"/>
    <d v="2025-01-07T00:00:00"/>
    <d v="2025-01-08T00:00:00"/>
    <x v="1"/>
    <x v="2"/>
    <x v="2"/>
    <x v="0"/>
    <x v="8"/>
    <x v="3"/>
    <x v="1"/>
    <x v="1"/>
  </r>
  <r>
    <x v="160"/>
    <x v="6"/>
    <x v="2"/>
    <n v="61.3"/>
    <x v="156"/>
    <d v="2025-01-07T00:00:00"/>
    <d v="2025-01-08T00:00:00"/>
    <x v="2"/>
    <x v="3"/>
    <x v="0"/>
    <x v="0"/>
    <x v="8"/>
    <x v="3"/>
    <x v="1"/>
    <x v="2"/>
  </r>
  <r>
    <x v="161"/>
    <x v="2"/>
    <x v="12"/>
    <n v="122.5"/>
    <x v="157"/>
    <d v="2025-01-07T00:00:00"/>
    <d v="2025-01-08T00:00:00"/>
    <x v="1"/>
    <x v="0"/>
    <x v="0"/>
    <x v="0"/>
    <x v="8"/>
    <x v="3"/>
    <x v="1"/>
    <x v="1"/>
  </r>
  <r>
    <x v="162"/>
    <x v="0"/>
    <x v="11"/>
    <n v="12.5"/>
    <x v="158"/>
    <d v="2025-01-07T00:00:00"/>
    <d v="2025-01-08T00:00:00"/>
    <x v="0"/>
    <x v="1"/>
    <x v="2"/>
    <x v="0"/>
    <x v="8"/>
    <x v="3"/>
    <x v="1"/>
    <x v="0"/>
  </r>
  <r>
    <x v="163"/>
    <x v="15"/>
    <x v="8"/>
    <n v="37.5"/>
    <x v="159"/>
    <d v="2025-01-07T00:00:00"/>
    <d v="2025-01-08T00:00:00"/>
    <x v="2"/>
    <x v="0"/>
    <x v="0"/>
    <x v="0"/>
    <x v="9"/>
    <x v="3"/>
    <x v="1"/>
    <x v="2"/>
  </r>
  <r>
    <x v="164"/>
    <x v="6"/>
    <x v="2"/>
    <n v="40"/>
    <x v="160"/>
    <d v="2025-01-07T00:00:00"/>
    <d v="2025-01-10T00:00:00"/>
    <x v="1"/>
    <x v="0"/>
    <x v="4"/>
    <x v="0"/>
    <x v="11"/>
    <x v="2"/>
    <x v="1"/>
    <x v="1"/>
  </r>
  <r>
    <x v="165"/>
    <x v="17"/>
    <x v="8"/>
    <n v="38.5"/>
    <x v="161"/>
    <d v="2025-01-07T00:00:00"/>
    <d v="2025-01-12T00:00:00"/>
    <x v="2"/>
    <x v="2"/>
    <x v="1"/>
    <x v="0"/>
    <x v="11"/>
    <x v="0"/>
    <x v="1"/>
    <x v="2"/>
  </r>
  <r>
    <x v="166"/>
    <x v="2"/>
    <x v="1"/>
    <n v="86.4"/>
    <x v="162"/>
    <d v="2025-01-07T00:00:00"/>
    <d v="2025-01-09T00:00:00"/>
    <x v="2"/>
    <x v="0"/>
    <x v="0"/>
    <x v="0"/>
    <x v="18"/>
    <x v="1"/>
    <x v="1"/>
    <x v="2"/>
  </r>
  <r>
    <x v="167"/>
    <x v="10"/>
    <x v="0"/>
    <n v="50.7"/>
    <x v="163"/>
    <d v="2025-01-07T00:00:00"/>
    <d v="2025-01-11T00:00:00"/>
    <x v="2"/>
    <x v="1"/>
    <x v="0"/>
    <x v="0"/>
    <x v="18"/>
    <x v="5"/>
    <x v="1"/>
    <x v="2"/>
  </r>
  <r>
    <x v="168"/>
    <x v="10"/>
    <x v="1"/>
    <n v="61"/>
    <x v="164"/>
    <d v="2025-01-07T00:00:00"/>
    <d v="2025-01-18T00:00:00"/>
    <x v="2"/>
    <x v="4"/>
    <x v="1"/>
    <x v="0"/>
    <x v="18"/>
    <x v="11"/>
    <x v="1"/>
    <x v="2"/>
  </r>
  <r>
    <x v="169"/>
    <x v="4"/>
    <x v="1"/>
    <n v="19.899999999999999"/>
    <x v="165"/>
    <d v="2025-01-07T00:00:00"/>
    <d v="2025-01-10T00:00:00"/>
    <x v="2"/>
    <x v="1"/>
    <x v="0"/>
    <x v="0"/>
    <x v="28"/>
    <x v="2"/>
    <x v="1"/>
    <x v="2"/>
  </r>
  <r>
    <x v="170"/>
    <x v="5"/>
    <x v="0"/>
    <n v="78.3"/>
    <x v="166"/>
    <d v="2025-01-07T00:00:00"/>
    <d v="2025-01-07T00:00:00"/>
    <x v="2"/>
    <x v="0"/>
    <x v="2"/>
    <x v="0"/>
    <x v="1"/>
    <x v="7"/>
    <x v="1"/>
    <x v="2"/>
  </r>
  <r>
    <x v="171"/>
    <x v="0"/>
    <x v="10"/>
    <n v="10.4"/>
    <x v="167"/>
    <d v="2025-01-07T00:00:00"/>
    <d v="2025-01-09T00:00:00"/>
    <x v="1"/>
    <x v="0"/>
    <x v="2"/>
    <x v="0"/>
    <x v="2"/>
    <x v="1"/>
    <x v="1"/>
    <x v="1"/>
  </r>
  <r>
    <x v="172"/>
    <x v="10"/>
    <x v="0"/>
    <n v="36.1"/>
    <x v="168"/>
    <d v="2025-01-07T00:00:00"/>
    <d v="2025-01-10T00:00:00"/>
    <x v="1"/>
    <x v="3"/>
    <x v="2"/>
    <x v="0"/>
    <x v="3"/>
    <x v="2"/>
    <x v="1"/>
    <x v="1"/>
  </r>
  <r>
    <x v="173"/>
    <x v="14"/>
    <x v="1"/>
    <n v="17.3"/>
    <x v="169"/>
    <d v="2025-01-07T00:00:00"/>
    <d v="2025-01-09T00:00:00"/>
    <x v="2"/>
    <x v="1"/>
    <x v="2"/>
    <x v="0"/>
    <x v="3"/>
    <x v="1"/>
    <x v="1"/>
    <x v="2"/>
  </r>
  <r>
    <x v="174"/>
    <x v="10"/>
    <x v="1"/>
    <n v="30.5"/>
    <x v="170"/>
    <d v="2025-01-07T00:00:00"/>
    <d v="2025-01-08T00:00:00"/>
    <x v="2"/>
    <x v="1"/>
    <x v="2"/>
    <x v="0"/>
    <x v="3"/>
    <x v="3"/>
    <x v="1"/>
    <x v="2"/>
  </r>
  <r>
    <x v="175"/>
    <x v="18"/>
    <x v="22"/>
    <n v="70.099999999999994"/>
    <x v="171"/>
    <d v="2025-01-07T00:00:00"/>
    <d v="2025-01-07T00:00:00"/>
    <x v="2"/>
    <x v="2"/>
    <x v="0"/>
    <x v="0"/>
    <x v="3"/>
    <x v="7"/>
    <x v="1"/>
    <x v="2"/>
  </r>
  <r>
    <x v="176"/>
    <x v="3"/>
    <x v="0"/>
    <n v="76.099999999999994"/>
    <x v="172"/>
    <d v="2025-01-07T00:00:00"/>
    <d v="2025-01-07T00:00:00"/>
    <x v="2"/>
    <x v="2"/>
    <x v="1"/>
    <x v="0"/>
    <x v="3"/>
    <x v="7"/>
    <x v="1"/>
    <x v="2"/>
  </r>
  <r>
    <x v="177"/>
    <x v="15"/>
    <x v="15"/>
    <n v="34.200000000000003"/>
    <x v="173"/>
    <d v="2025-01-07T00:00:00"/>
    <d v="2025-01-08T00:00:00"/>
    <x v="1"/>
    <x v="0"/>
    <x v="0"/>
    <x v="0"/>
    <x v="3"/>
    <x v="3"/>
    <x v="1"/>
    <x v="1"/>
  </r>
  <r>
    <x v="178"/>
    <x v="8"/>
    <x v="9"/>
    <n v="30.3"/>
    <x v="174"/>
    <d v="2025-01-07T00:00:00"/>
    <d v="2025-01-12T00:00:00"/>
    <x v="2"/>
    <x v="4"/>
    <x v="0"/>
    <x v="0"/>
    <x v="3"/>
    <x v="0"/>
    <x v="1"/>
    <x v="2"/>
  </r>
  <r>
    <x v="179"/>
    <x v="6"/>
    <x v="9"/>
    <n v="52.5"/>
    <x v="175"/>
    <d v="2025-01-07T00:00:00"/>
    <d v="2025-01-11T00:00:00"/>
    <x v="0"/>
    <x v="3"/>
    <x v="0"/>
    <x v="0"/>
    <x v="3"/>
    <x v="5"/>
    <x v="1"/>
    <x v="0"/>
  </r>
  <r>
    <x v="180"/>
    <x v="9"/>
    <x v="5"/>
    <n v="28.7"/>
    <x v="176"/>
    <d v="2025-01-07T00:00:00"/>
    <d v="2025-01-08T00:00:00"/>
    <x v="2"/>
    <x v="2"/>
    <x v="0"/>
    <x v="0"/>
    <x v="3"/>
    <x v="3"/>
    <x v="1"/>
    <x v="2"/>
  </r>
  <r>
    <x v="181"/>
    <x v="7"/>
    <x v="3"/>
    <n v="52"/>
    <x v="177"/>
    <d v="2025-01-07T00:00:00"/>
    <d v="2025-01-08T00:00:00"/>
    <x v="1"/>
    <x v="1"/>
    <x v="4"/>
    <x v="0"/>
    <x v="3"/>
    <x v="3"/>
    <x v="1"/>
    <x v="1"/>
  </r>
  <r>
    <x v="182"/>
    <x v="0"/>
    <x v="0"/>
    <n v="13.3"/>
    <x v="178"/>
    <d v="2025-01-08T00:00:00"/>
    <d v="2025-01-12T00:00:00"/>
    <x v="2"/>
    <x v="2"/>
    <x v="1"/>
    <x v="0"/>
    <x v="3"/>
    <x v="5"/>
    <x v="1"/>
    <x v="2"/>
  </r>
  <r>
    <x v="183"/>
    <x v="0"/>
    <x v="2"/>
    <n v="15.7"/>
    <x v="179"/>
    <d v="2025-01-08T00:00:00"/>
    <d v="2025-01-09T00:00:00"/>
    <x v="2"/>
    <x v="1"/>
    <x v="0"/>
    <x v="0"/>
    <x v="29"/>
    <x v="3"/>
    <x v="1"/>
    <x v="2"/>
  </r>
  <r>
    <x v="184"/>
    <x v="8"/>
    <x v="1"/>
    <n v="25.6"/>
    <x v="180"/>
    <d v="2025-01-08T00:00:00"/>
    <d v="2025-01-09T00:00:00"/>
    <x v="1"/>
    <x v="0"/>
    <x v="2"/>
    <x v="0"/>
    <x v="23"/>
    <x v="3"/>
    <x v="1"/>
    <x v="1"/>
  </r>
  <r>
    <x v="185"/>
    <x v="8"/>
    <x v="0"/>
    <n v="43.4"/>
    <x v="181"/>
    <d v="2025-01-08T00:00:00"/>
    <d v="2025-01-13T00:00:00"/>
    <x v="1"/>
    <x v="0"/>
    <x v="0"/>
    <x v="0"/>
    <x v="6"/>
    <x v="0"/>
    <x v="1"/>
    <x v="1"/>
  </r>
  <r>
    <x v="186"/>
    <x v="11"/>
    <x v="11"/>
    <n v="33.4"/>
    <x v="182"/>
    <d v="2025-01-08T00:00:00"/>
    <d v="2025-01-08T00:00:00"/>
    <x v="2"/>
    <x v="0"/>
    <x v="0"/>
    <x v="0"/>
    <x v="8"/>
    <x v="7"/>
    <x v="1"/>
    <x v="2"/>
  </r>
  <r>
    <x v="187"/>
    <x v="8"/>
    <x v="10"/>
    <n v="55"/>
    <x v="183"/>
    <d v="2025-01-08T00:00:00"/>
    <d v="2025-01-09T00:00:00"/>
    <x v="2"/>
    <x v="1"/>
    <x v="2"/>
    <x v="0"/>
    <x v="8"/>
    <x v="3"/>
    <x v="1"/>
    <x v="2"/>
  </r>
  <r>
    <x v="188"/>
    <x v="8"/>
    <x v="2"/>
    <n v="23.6"/>
    <x v="184"/>
    <d v="2025-01-08T00:00:00"/>
    <d v="2025-01-09T00:00:00"/>
    <x v="1"/>
    <x v="0"/>
    <x v="2"/>
    <x v="0"/>
    <x v="8"/>
    <x v="3"/>
    <x v="1"/>
    <x v="1"/>
  </r>
  <r>
    <x v="189"/>
    <x v="12"/>
    <x v="11"/>
    <n v="104"/>
    <x v="185"/>
    <d v="2025-01-08T00:00:00"/>
    <d v="2025-01-10T00:00:00"/>
    <x v="2"/>
    <x v="2"/>
    <x v="2"/>
    <x v="0"/>
    <x v="17"/>
    <x v="1"/>
    <x v="1"/>
    <x v="2"/>
  </r>
  <r>
    <x v="190"/>
    <x v="6"/>
    <x v="1"/>
    <n v="51.8"/>
    <x v="186"/>
    <d v="2025-01-08T00:00:00"/>
    <d v="2025-01-12T00:00:00"/>
    <x v="0"/>
    <x v="0"/>
    <x v="2"/>
    <x v="0"/>
    <x v="10"/>
    <x v="5"/>
    <x v="1"/>
    <x v="0"/>
  </r>
  <r>
    <x v="191"/>
    <x v="10"/>
    <x v="9"/>
    <n v="34.5"/>
    <x v="187"/>
    <d v="2025-01-08T00:00:00"/>
    <d v="2025-01-10T00:00:00"/>
    <x v="0"/>
    <x v="2"/>
    <x v="2"/>
    <x v="0"/>
    <x v="11"/>
    <x v="1"/>
    <x v="1"/>
    <x v="0"/>
  </r>
  <r>
    <x v="192"/>
    <x v="6"/>
    <x v="1"/>
    <n v="51.8"/>
    <x v="186"/>
    <d v="2025-01-08T00:00:00"/>
    <d v="2025-01-10T00:00:00"/>
    <x v="1"/>
    <x v="1"/>
    <x v="2"/>
    <x v="0"/>
    <x v="30"/>
    <x v="1"/>
    <x v="1"/>
    <x v="1"/>
  </r>
  <r>
    <x v="193"/>
    <x v="18"/>
    <x v="23"/>
    <n v="131.5"/>
    <x v="188"/>
    <d v="2025-01-08T00:00:00"/>
    <d v="2025-01-09T00:00:00"/>
    <x v="2"/>
    <x v="0"/>
    <x v="2"/>
    <x v="0"/>
    <x v="18"/>
    <x v="3"/>
    <x v="1"/>
    <x v="2"/>
  </r>
  <r>
    <x v="194"/>
    <x v="8"/>
    <x v="3"/>
    <n v="47.8"/>
    <x v="189"/>
    <d v="2025-01-08T00:00:00"/>
    <d v="2025-01-08T00:00:00"/>
    <x v="2"/>
    <x v="0"/>
    <x v="0"/>
    <x v="0"/>
    <x v="19"/>
    <x v="7"/>
    <x v="1"/>
    <x v="2"/>
  </r>
  <r>
    <x v="195"/>
    <x v="0"/>
    <x v="1"/>
    <n v="10.199999999999999"/>
    <x v="190"/>
    <d v="2025-01-08T00:00:00"/>
    <d v="2025-01-10T00:00:00"/>
    <x v="2"/>
    <x v="0"/>
    <x v="0"/>
    <x v="0"/>
    <x v="19"/>
    <x v="1"/>
    <x v="1"/>
    <x v="2"/>
  </r>
  <r>
    <x v="196"/>
    <x v="8"/>
    <x v="8"/>
    <n v="41"/>
    <x v="191"/>
    <d v="2025-01-08T00:00:00"/>
    <d v="2025-01-08T00:00:00"/>
    <x v="2"/>
    <x v="1"/>
    <x v="2"/>
    <x v="0"/>
    <x v="19"/>
    <x v="7"/>
    <x v="1"/>
    <x v="2"/>
  </r>
  <r>
    <x v="197"/>
    <x v="10"/>
    <x v="3"/>
    <n v="50.8"/>
    <x v="192"/>
    <d v="2025-01-08T00:00:00"/>
    <d v="2025-01-11T00:00:00"/>
    <x v="2"/>
    <x v="1"/>
    <x v="0"/>
    <x v="0"/>
    <x v="21"/>
    <x v="2"/>
    <x v="1"/>
    <x v="2"/>
  </r>
  <r>
    <x v="198"/>
    <x v="18"/>
    <x v="2"/>
    <n v="39.6"/>
    <x v="193"/>
    <d v="2025-01-08T00:00:00"/>
    <d v="2025-01-09T00:00:00"/>
    <x v="1"/>
    <x v="2"/>
    <x v="2"/>
    <x v="0"/>
    <x v="1"/>
    <x v="3"/>
    <x v="1"/>
    <x v="1"/>
  </r>
  <r>
    <x v="199"/>
    <x v="5"/>
    <x v="1"/>
    <n v="69.5"/>
    <x v="194"/>
    <d v="2025-01-08T00:00:00"/>
    <d v="2025-01-10T00:00:00"/>
    <x v="1"/>
    <x v="0"/>
    <x v="2"/>
    <x v="0"/>
    <x v="2"/>
    <x v="1"/>
    <x v="1"/>
    <x v="1"/>
  </r>
  <r>
    <x v="200"/>
    <x v="8"/>
    <x v="8"/>
    <n v="32.6"/>
    <x v="195"/>
    <d v="2025-01-08T00:00:00"/>
    <d v="2025-01-11T00:00:00"/>
    <x v="1"/>
    <x v="1"/>
    <x v="0"/>
    <x v="0"/>
    <x v="3"/>
    <x v="2"/>
    <x v="1"/>
    <x v="1"/>
  </r>
  <r>
    <x v="201"/>
    <x v="7"/>
    <x v="1"/>
    <n v="49.1"/>
    <x v="196"/>
    <d v="2025-01-08T00:00:00"/>
    <d v="2025-01-16T00:00:00"/>
    <x v="1"/>
    <x v="3"/>
    <x v="2"/>
    <x v="0"/>
    <x v="3"/>
    <x v="9"/>
    <x v="1"/>
    <x v="1"/>
  </r>
  <r>
    <x v="202"/>
    <x v="6"/>
    <x v="1"/>
    <n v="49.4"/>
    <x v="197"/>
    <d v="2025-01-09T00:00:00"/>
    <d v="2025-01-10T00:00:00"/>
    <x v="2"/>
    <x v="2"/>
    <x v="0"/>
    <x v="0"/>
    <x v="3"/>
    <x v="3"/>
    <x v="1"/>
    <x v="2"/>
  </r>
  <r>
    <x v="203"/>
    <x v="7"/>
    <x v="3"/>
    <n v="65.099999999999994"/>
    <x v="198"/>
    <d v="2025-01-09T00:00:00"/>
    <d v="2025-01-12T00:00:00"/>
    <x v="2"/>
    <x v="2"/>
    <x v="2"/>
    <x v="0"/>
    <x v="3"/>
    <x v="2"/>
    <x v="1"/>
    <x v="2"/>
  </r>
  <r>
    <x v="204"/>
    <x v="3"/>
    <x v="1"/>
    <n v="52.1"/>
    <x v="199"/>
    <d v="2025-01-09T00:00:00"/>
    <d v="2025-01-13T00:00:00"/>
    <x v="2"/>
    <x v="2"/>
    <x v="0"/>
    <x v="0"/>
    <x v="3"/>
    <x v="5"/>
    <x v="1"/>
    <x v="2"/>
  </r>
  <r>
    <x v="205"/>
    <x v="2"/>
    <x v="12"/>
    <n v="129.19999999999999"/>
    <x v="200"/>
    <d v="2025-01-09T00:00:00"/>
    <d v="2025-01-10T00:00:00"/>
    <x v="2"/>
    <x v="1"/>
    <x v="0"/>
    <x v="0"/>
    <x v="3"/>
    <x v="3"/>
    <x v="1"/>
    <x v="2"/>
  </r>
  <r>
    <x v="206"/>
    <x v="1"/>
    <x v="10"/>
    <n v="81.8"/>
    <x v="201"/>
    <d v="2025-01-09T00:00:00"/>
    <d v="2025-01-09T00:00:00"/>
    <x v="2"/>
    <x v="1"/>
    <x v="1"/>
    <x v="0"/>
    <x v="3"/>
    <x v="7"/>
    <x v="1"/>
    <x v="2"/>
  </r>
  <r>
    <x v="207"/>
    <x v="17"/>
    <x v="0"/>
    <n v="24.9"/>
    <x v="202"/>
    <d v="2025-01-09T00:00:00"/>
    <d v="2025-01-13T00:00:00"/>
    <x v="2"/>
    <x v="1"/>
    <x v="0"/>
    <x v="0"/>
    <x v="3"/>
    <x v="5"/>
    <x v="1"/>
    <x v="2"/>
  </r>
  <r>
    <x v="208"/>
    <x v="0"/>
    <x v="2"/>
    <n v="49.4"/>
    <x v="203"/>
    <d v="2025-01-09T00:00:00"/>
    <d v="2025-01-12T00:00:00"/>
    <x v="2"/>
    <x v="4"/>
    <x v="4"/>
    <x v="0"/>
    <x v="3"/>
    <x v="2"/>
    <x v="1"/>
    <x v="2"/>
  </r>
  <r>
    <x v="209"/>
    <x v="8"/>
    <x v="1"/>
    <n v="22.7"/>
    <x v="204"/>
    <d v="2025-01-09T00:00:00"/>
    <d v="2025-01-10T00:00:00"/>
    <x v="1"/>
    <x v="3"/>
    <x v="2"/>
    <x v="0"/>
    <x v="3"/>
    <x v="3"/>
    <x v="1"/>
    <x v="1"/>
  </r>
  <r>
    <x v="210"/>
    <x v="1"/>
    <x v="0"/>
    <n v="77.3"/>
    <x v="83"/>
    <d v="2025-01-09T00:00:00"/>
    <d v="2025-01-09T00:00:00"/>
    <x v="2"/>
    <x v="0"/>
    <x v="2"/>
    <x v="0"/>
    <x v="6"/>
    <x v="7"/>
    <x v="1"/>
    <x v="2"/>
  </r>
  <r>
    <x v="211"/>
    <x v="1"/>
    <x v="9"/>
    <n v="109.1"/>
    <x v="205"/>
    <d v="2025-01-09T00:00:00"/>
    <d v="2025-01-12T00:00:00"/>
    <x v="2"/>
    <x v="0"/>
    <x v="0"/>
    <x v="0"/>
    <x v="6"/>
    <x v="2"/>
    <x v="1"/>
    <x v="2"/>
  </r>
  <r>
    <x v="212"/>
    <x v="2"/>
    <x v="12"/>
    <n v="53.9"/>
    <x v="206"/>
    <d v="2025-01-09T00:00:00"/>
    <d v="2025-01-10T00:00:00"/>
    <x v="1"/>
    <x v="0"/>
    <x v="1"/>
    <x v="0"/>
    <x v="8"/>
    <x v="3"/>
    <x v="1"/>
    <x v="1"/>
  </r>
  <r>
    <x v="213"/>
    <x v="9"/>
    <x v="18"/>
    <n v="21.2"/>
    <x v="207"/>
    <d v="2025-01-09T00:00:00"/>
    <d v="2025-01-09T00:00:00"/>
    <x v="2"/>
    <x v="0"/>
    <x v="0"/>
    <x v="0"/>
    <x v="9"/>
    <x v="7"/>
    <x v="1"/>
    <x v="2"/>
  </r>
  <r>
    <x v="214"/>
    <x v="16"/>
    <x v="12"/>
    <n v="69"/>
    <x v="208"/>
    <d v="2025-01-09T00:00:00"/>
    <d v="2025-01-11T00:00:00"/>
    <x v="2"/>
    <x v="1"/>
    <x v="1"/>
    <x v="0"/>
    <x v="18"/>
    <x v="1"/>
    <x v="1"/>
    <x v="2"/>
  </r>
  <r>
    <x v="215"/>
    <x v="6"/>
    <x v="2"/>
    <n v="46.2"/>
    <x v="209"/>
    <d v="2025-01-09T00:00:00"/>
    <d v="2025-01-11T00:00:00"/>
    <x v="2"/>
    <x v="0"/>
    <x v="2"/>
    <x v="0"/>
    <x v="31"/>
    <x v="1"/>
    <x v="1"/>
    <x v="2"/>
  </r>
  <r>
    <x v="216"/>
    <x v="1"/>
    <x v="9"/>
    <n v="97.4"/>
    <x v="210"/>
    <d v="2025-01-09T00:00:00"/>
    <d v="2025-01-13T00:00:00"/>
    <x v="2"/>
    <x v="4"/>
    <x v="2"/>
    <x v="0"/>
    <x v="21"/>
    <x v="5"/>
    <x v="1"/>
    <x v="2"/>
  </r>
  <r>
    <x v="217"/>
    <x v="8"/>
    <x v="9"/>
    <n v="21"/>
    <x v="211"/>
    <d v="2025-01-09T00:00:00"/>
    <d v="2025-01-10T00:00:00"/>
    <x v="1"/>
    <x v="0"/>
    <x v="1"/>
    <x v="0"/>
    <x v="21"/>
    <x v="3"/>
    <x v="1"/>
    <x v="1"/>
  </r>
  <r>
    <x v="218"/>
    <x v="5"/>
    <x v="1"/>
    <n v="32.700000000000003"/>
    <x v="212"/>
    <d v="2025-01-10T00:00:00"/>
    <d v="2025-01-13T00:00:00"/>
    <x v="2"/>
    <x v="1"/>
    <x v="0"/>
    <x v="0"/>
    <x v="2"/>
    <x v="2"/>
    <x v="1"/>
    <x v="2"/>
  </r>
  <r>
    <x v="219"/>
    <x v="6"/>
    <x v="12"/>
    <n v="48"/>
    <x v="213"/>
    <d v="2025-01-10T00:00:00"/>
    <d v="2025-01-11T00:00:00"/>
    <x v="1"/>
    <x v="3"/>
    <x v="0"/>
    <x v="0"/>
    <x v="3"/>
    <x v="3"/>
    <x v="1"/>
    <x v="1"/>
  </r>
  <r>
    <x v="220"/>
    <x v="6"/>
    <x v="2"/>
    <n v="68.2"/>
    <x v="214"/>
    <d v="2025-01-10T00:00:00"/>
    <d v="2025-01-14T00:00:00"/>
    <x v="0"/>
    <x v="0"/>
    <x v="2"/>
    <x v="0"/>
    <x v="3"/>
    <x v="5"/>
    <x v="1"/>
    <x v="0"/>
  </r>
  <r>
    <x v="221"/>
    <x v="5"/>
    <x v="0"/>
    <n v="45.4"/>
    <x v="204"/>
    <d v="2025-01-10T00:00:00"/>
    <d v="2025-01-12T00:00:00"/>
    <x v="1"/>
    <x v="1"/>
    <x v="0"/>
    <x v="0"/>
    <x v="3"/>
    <x v="1"/>
    <x v="1"/>
    <x v="1"/>
  </r>
  <r>
    <x v="222"/>
    <x v="12"/>
    <x v="1"/>
    <n v="53.9"/>
    <x v="215"/>
    <d v="2025-01-10T00:00:00"/>
    <d v="2025-01-11T00:00:00"/>
    <x v="2"/>
    <x v="2"/>
    <x v="0"/>
    <x v="0"/>
    <x v="3"/>
    <x v="3"/>
    <x v="1"/>
    <x v="2"/>
  </r>
  <r>
    <x v="223"/>
    <x v="2"/>
    <x v="12"/>
    <n v="62.1"/>
    <x v="216"/>
    <d v="2025-01-10T00:00:00"/>
    <d v="2025-01-14T00:00:00"/>
    <x v="2"/>
    <x v="0"/>
    <x v="0"/>
    <x v="0"/>
    <x v="4"/>
    <x v="5"/>
    <x v="1"/>
    <x v="2"/>
  </r>
  <r>
    <x v="224"/>
    <x v="13"/>
    <x v="3"/>
    <n v="33.1"/>
    <x v="217"/>
    <d v="2025-01-10T00:00:00"/>
    <d v="2025-01-15T00:00:00"/>
    <x v="1"/>
    <x v="1"/>
    <x v="0"/>
    <x v="0"/>
    <x v="6"/>
    <x v="0"/>
    <x v="1"/>
    <x v="1"/>
  </r>
  <r>
    <x v="225"/>
    <x v="18"/>
    <x v="9"/>
    <n v="35.200000000000003"/>
    <x v="218"/>
    <d v="2025-01-10T00:00:00"/>
    <d v="2025-01-10T00:00:00"/>
    <x v="2"/>
    <x v="1"/>
    <x v="0"/>
    <x v="0"/>
    <x v="6"/>
    <x v="7"/>
    <x v="1"/>
    <x v="2"/>
  </r>
  <r>
    <x v="226"/>
    <x v="9"/>
    <x v="2"/>
    <n v="32.1"/>
    <x v="219"/>
    <d v="2025-01-10T00:00:00"/>
    <d v="2025-01-15T00:00:00"/>
    <x v="1"/>
    <x v="3"/>
    <x v="0"/>
    <x v="0"/>
    <x v="8"/>
    <x v="0"/>
    <x v="1"/>
    <x v="1"/>
  </r>
  <r>
    <x v="227"/>
    <x v="11"/>
    <x v="0"/>
    <n v="38.1"/>
    <x v="220"/>
    <d v="2025-01-10T00:00:00"/>
    <d v="2025-01-15T00:00:00"/>
    <x v="2"/>
    <x v="0"/>
    <x v="2"/>
    <x v="0"/>
    <x v="8"/>
    <x v="0"/>
    <x v="1"/>
    <x v="2"/>
  </r>
  <r>
    <x v="228"/>
    <x v="8"/>
    <x v="0"/>
    <n v="65.2"/>
    <x v="221"/>
    <d v="2025-01-10T00:00:00"/>
    <d v="2025-01-15T00:00:00"/>
    <x v="2"/>
    <x v="3"/>
    <x v="1"/>
    <x v="0"/>
    <x v="8"/>
    <x v="0"/>
    <x v="1"/>
    <x v="2"/>
  </r>
  <r>
    <x v="229"/>
    <x v="10"/>
    <x v="3"/>
    <n v="55.2"/>
    <x v="222"/>
    <d v="2025-01-10T00:00:00"/>
    <d v="2025-01-11T00:00:00"/>
    <x v="1"/>
    <x v="2"/>
    <x v="0"/>
    <x v="0"/>
    <x v="11"/>
    <x v="3"/>
    <x v="1"/>
    <x v="1"/>
  </r>
  <r>
    <x v="230"/>
    <x v="6"/>
    <x v="0"/>
    <n v="62"/>
    <x v="85"/>
    <d v="2025-01-10T00:00:00"/>
    <d v="2025-01-14T00:00:00"/>
    <x v="2"/>
    <x v="0"/>
    <x v="0"/>
    <x v="0"/>
    <x v="11"/>
    <x v="5"/>
    <x v="1"/>
    <x v="2"/>
  </r>
  <r>
    <x v="231"/>
    <x v="7"/>
    <x v="2"/>
    <n v="45.9"/>
    <x v="223"/>
    <d v="2025-01-10T00:00:00"/>
    <d v="2025-01-11T00:00:00"/>
    <x v="2"/>
    <x v="2"/>
    <x v="0"/>
    <x v="0"/>
    <x v="32"/>
    <x v="3"/>
    <x v="1"/>
    <x v="2"/>
  </r>
  <r>
    <x v="232"/>
    <x v="18"/>
    <x v="2"/>
    <n v="58.3"/>
    <x v="224"/>
    <d v="2025-01-10T00:00:00"/>
    <d v="2025-01-10T00:00:00"/>
    <x v="1"/>
    <x v="1"/>
    <x v="1"/>
    <x v="0"/>
    <x v="18"/>
    <x v="7"/>
    <x v="1"/>
    <x v="1"/>
  </r>
  <r>
    <x v="233"/>
    <x v="8"/>
    <x v="1"/>
    <n v="22.3"/>
    <x v="225"/>
    <d v="2025-01-10T00:00:00"/>
    <d v="2025-01-13T00:00:00"/>
    <x v="2"/>
    <x v="0"/>
    <x v="2"/>
    <x v="0"/>
    <x v="20"/>
    <x v="2"/>
    <x v="1"/>
    <x v="2"/>
  </r>
  <r>
    <x v="234"/>
    <x v="19"/>
    <x v="9"/>
    <n v="24"/>
    <x v="160"/>
    <d v="2025-01-10T00:00:00"/>
    <d v="2025-01-11T00:00:00"/>
    <x v="1"/>
    <x v="4"/>
    <x v="0"/>
    <x v="0"/>
    <x v="1"/>
    <x v="3"/>
    <x v="1"/>
    <x v="1"/>
  </r>
  <r>
    <x v="235"/>
    <x v="0"/>
    <x v="7"/>
    <n v="21.3"/>
    <x v="226"/>
    <d v="2025-01-10T00:00:00"/>
    <d v="2025-01-10T00:00:00"/>
    <x v="2"/>
    <x v="1"/>
    <x v="2"/>
    <x v="0"/>
    <x v="22"/>
    <x v="7"/>
    <x v="1"/>
    <x v="2"/>
  </r>
  <r>
    <x v="236"/>
    <x v="6"/>
    <x v="24"/>
    <n v="57.8"/>
    <x v="227"/>
    <d v="2025-01-10T00:00:00"/>
    <d v="2025-01-12T00:00:00"/>
    <x v="2"/>
    <x v="0"/>
    <x v="2"/>
    <x v="0"/>
    <x v="3"/>
    <x v="1"/>
    <x v="1"/>
    <x v="2"/>
  </r>
  <r>
    <x v="237"/>
    <x v="10"/>
    <x v="2"/>
    <n v="67.599999999999994"/>
    <x v="228"/>
    <d v="2025-01-10T00:00:00"/>
    <d v="2025-01-11T00:00:00"/>
    <x v="2"/>
    <x v="0"/>
    <x v="0"/>
    <x v="0"/>
    <x v="3"/>
    <x v="3"/>
    <x v="1"/>
    <x v="2"/>
  </r>
  <r>
    <x v="238"/>
    <x v="6"/>
    <x v="13"/>
    <n v="66.7"/>
    <x v="229"/>
    <d v="2025-01-10T00:00:00"/>
    <d v="2025-01-14T00:00:00"/>
    <x v="1"/>
    <x v="4"/>
    <x v="1"/>
    <x v="0"/>
    <x v="3"/>
    <x v="5"/>
    <x v="1"/>
    <x v="1"/>
  </r>
  <r>
    <x v="239"/>
    <x v="1"/>
    <x v="12"/>
    <n v="53.1"/>
    <x v="230"/>
    <d v="2025-01-10T00:00:00"/>
    <d v="2025-01-12T00:00:00"/>
    <x v="2"/>
    <x v="1"/>
    <x v="0"/>
    <x v="0"/>
    <x v="3"/>
    <x v="1"/>
    <x v="1"/>
    <x v="2"/>
  </r>
  <r>
    <x v="240"/>
    <x v="12"/>
    <x v="2"/>
    <n v="57.4"/>
    <x v="231"/>
    <d v="2025-01-10T00:00:00"/>
    <d v="2025-01-13T00:00:00"/>
    <x v="2"/>
    <x v="0"/>
    <x v="2"/>
    <x v="0"/>
    <x v="29"/>
    <x v="2"/>
    <x v="1"/>
    <x v="2"/>
  </r>
  <r>
    <x v="241"/>
    <x v="2"/>
    <x v="9"/>
    <n v="58.1"/>
    <x v="232"/>
    <d v="2025-01-10T00:00:00"/>
    <d v="2025-01-10T00:00:00"/>
    <x v="1"/>
    <x v="2"/>
    <x v="2"/>
    <x v="0"/>
    <x v="6"/>
    <x v="7"/>
    <x v="1"/>
    <x v="1"/>
  </r>
  <r>
    <x v="242"/>
    <x v="5"/>
    <x v="2"/>
    <n v="31.8"/>
    <x v="233"/>
    <d v="2025-01-11T00:00:00"/>
    <d v="2025-01-13T00:00:00"/>
    <x v="1"/>
    <x v="3"/>
    <x v="0"/>
    <x v="0"/>
    <x v="6"/>
    <x v="1"/>
    <x v="1"/>
    <x v="1"/>
  </r>
  <r>
    <x v="243"/>
    <x v="4"/>
    <x v="2"/>
    <n v="31.5"/>
    <x v="234"/>
    <d v="2025-01-11T00:00:00"/>
    <d v="2025-01-14T00:00:00"/>
    <x v="1"/>
    <x v="0"/>
    <x v="1"/>
    <x v="0"/>
    <x v="8"/>
    <x v="2"/>
    <x v="1"/>
    <x v="1"/>
  </r>
  <r>
    <x v="244"/>
    <x v="6"/>
    <x v="3"/>
    <n v="55.9"/>
    <x v="235"/>
    <d v="2025-01-11T00:00:00"/>
    <d v="2025-01-15T00:00:00"/>
    <x v="2"/>
    <x v="1"/>
    <x v="2"/>
    <x v="0"/>
    <x v="8"/>
    <x v="5"/>
    <x v="1"/>
    <x v="2"/>
  </r>
  <r>
    <x v="245"/>
    <x v="8"/>
    <x v="1"/>
    <n v="36.4"/>
    <x v="236"/>
    <d v="2025-01-11T00:00:00"/>
    <d v="2025-01-12T00:00:00"/>
    <x v="1"/>
    <x v="1"/>
    <x v="1"/>
    <x v="0"/>
    <x v="9"/>
    <x v="3"/>
    <x v="1"/>
    <x v="1"/>
  </r>
  <r>
    <x v="246"/>
    <x v="1"/>
    <x v="9"/>
    <n v="47.3"/>
    <x v="237"/>
    <d v="2025-01-11T00:00:00"/>
    <d v="2025-01-14T00:00:00"/>
    <x v="1"/>
    <x v="2"/>
    <x v="0"/>
    <x v="0"/>
    <x v="10"/>
    <x v="2"/>
    <x v="1"/>
    <x v="1"/>
  </r>
  <r>
    <x v="247"/>
    <x v="6"/>
    <x v="2"/>
    <n v="82.5"/>
    <x v="238"/>
    <d v="2025-01-11T00:00:00"/>
    <d v="2025-01-12T00:00:00"/>
    <x v="1"/>
    <x v="0"/>
    <x v="0"/>
    <x v="0"/>
    <x v="11"/>
    <x v="3"/>
    <x v="1"/>
    <x v="1"/>
  </r>
  <r>
    <x v="248"/>
    <x v="0"/>
    <x v="0"/>
    <n v="14.3"/>
    <x v="239"/>
    <d v="2025-01-11T00:00:00"/>
    <d v="2025-01-12T00:00:00"/>
    <x v="2"/>
    <x v="0"/>
    <x v="0"/>
    <x v="0"/>
    <x v="21"/>
    <x v="3"/>
    <x v="1"/>
    <x v="2"/>
  </r>
  <r>
    <x v="249"/>
    <x v="2"/>
    <x v="13"/>
    <n v="57.6"/>
    <x v="240"/>
    <d v="2025-01-11T00:00:00"/>
    <d v="2025-01-25T00:00:00"/>
    <x v="2"/>
    <x v="0"/>
    <x v="0"/>
    <x v="0"/>
    <x v="21"/>
    <x v="12"/>
    <x v="1"/>
    <x v="2"/>
  </r>
  <r>
    <x v="250"/>
    <x v="2"/>
    <x v="2"/>
    <n v="142.4"/>
    <x v="241"/>
    <d v="2025-01-11T00:00:00"/>
    <d v="2025-01-13T00:00:00"/>
    <x v="1"/>
    <x v="4"/>
    <x v="1"/>
    <x v="0"/>
    <x v="21"/>
    <x v="1"/>
    <x v="1"/>
    <x v="1"/>
  </r>
  <r>
    <x v="251"/>
    <x v="12"/>
    <x v="0"/>
    <n v="30.2"/>
    <x v="242"/>
    <d v="2025-01-11T00:00:00"/>
    <d v="2025-01-15T00:00:00"/>
    <x v="1"/>
    <x v="1"/>
    <x v="2"/>
    <x v="0"/>
    <x v="2"/>
    <x v="5"/>
    <x v="1"/>
    <x v="1"/>
  </r>
  <r>
    <x v="252"/>
    <x v="18"/>
    <x v="2"/>
    <n v="65.3"/>
    <x v="243"/>
    <d v="2025-01-11T00:00:00"/>
    <d v="2025-01-12T00:00:00"/>
    <x v="3"/>
    <x v="1"/>
    <x v="0"/>
    <x v="0"/>
    <x v="33"/>
    <x v="3"/>
    <x v="1"/>
    <x v="3"/>
  </r>
  <r>
    <x v="253"/>
    <x v="0"/>
    <x v="1"/>
    <n v="33.4"/>
    <x v="119"/>
    <d v="2025-01-11T00:00:00"/>
    <d v="2025-01-12T00:00:00"/>
    <x v="1"/>
    <x v="1"/>
    <x v="1"/>
    <x v="0"/>
    <x v="22"/>
    <x v="3"/>
    <x v="1"/>
    <x v="1"/>
  </r>
  <r>
    <x v="254"/>
    <x v="7"/>
    <x v="1"/>
    <n v="45.1"/>
    <x v="244"/>
    <d v="2025-01-11T00:00:00"/>
    <d v="2025-01-19T00:00:00"/>
    <x v="1"/>
    <x v="0"/>
    <x v="0"/>
    <x v="0"/>
    <x v="34"/>
    <x v="9"/>
    <x v="1"/>
    <x v="1"/>
  </r>
  <r>
    <x v="255"/>
    <x v="2"/>
    <x v="3"/>
    <n v="61.7"/>
    <x v="245"/>
    <d v="2025-01-11T00:00:00"/>
    <d v="2025-01-13T00:00:00"/>
    <x v="2"/>
    <x v="4"/>
    <x v="0"/>
    <x v="0"/>
    <x v="3"/>
    <x v="1"/>
    <x v="1"/>
    <x v="2"/>
  </r>
  <r>
    <x v="256"/>
    <x v="9"/>
    <x v="2"/>
    <n v="45.1"/>
    <x v="246"/>
    <d v="2025-01-12T00:00:00"/>
    <d v="2025-01-13T00:00:00"/>
    <x v="1"/>
    <x v="4"/>
    <x v="1"/>
    <x v="0"/>
    <x v="3"/>
    <x v="3"/>
    <x v="2"/>
    <x v="1"/>
  </r>
  <r>
    <x v="257"/>
    <x v="15"/>
    <x v="9"/>
    <n v="22.7"/>
    <x v="247"/>
    <d v="2025-01-12T00:00:00"/>
    <d v="2025-01-17T00:00:00"/>
    <x v="1"/>
    <x v="0"/>
    <x v="2"/>
    <x v="0"/>
    <x v="35"/>
    <x v="0"/>
    <x v="2"/>
    <x v="1"/>
  </r>
  <r>
    <x v="258"/>
    <x v="8"/>
    <x v="0"/>
    <n v="17.600000000000001"/>
    <x v="248"/>
    <d v="2025-01-12T00:00:00"/>
    <d v="2025-01-13T00:00:00"/>
    <x v="2"/>
    <x v="0"/>
    <x v="2"/>
    <x v="0"/>
    <x v="23"/>
    <x v="3"/>
    <x v="2"/>
    <x v="2"/>
  </r>
  <r>
    <x v="259"/>
    <x v="14"/>
    <x v="1"/>
    <n v="11.3"/>
    <x v="249"/>
    <d v="2025-01-12T00:00:00"/>
    <d v="2025-01-15T00:00:00"/>
    <x v="2"/>
    <x v="3"/>
    <x v="2"/>
    <x v="0"/>
    <x v="23"/>
    <x v="2"/>
    <x v="2"/>
    <x v="2"/>
  </r>
  <r>
    <x v="260"/>
    <x v="6"/>
    <x v="2"/>
    <n v="53.4"/>
    <x v="250"/>
    <d v="2025-01-12T00:00:00"/>
    <d v="2025-01-15T00:00:00"/>
    <x v="1"/>
    <x v="3"/>
    <x v="2"/>
    <x v="0"/>
    <x v="36"/>
    <x v="2"/>
    <x v="2"/>
    <x v="1"/>
  </r>
  <r>
    <x v="261"/>
    <x v="6"/>
    <x v="5"/>
    <n v="51.1"/>
    <x v="251"/>
    <d v="2025-01-12T00:00:00"/>
    <d v="2025-01-14T00:00:00"/>
    <x v="2"/>
    <x v="2"/>
    <x v="2"/>
    <x v="0"/>
    <x v="8"/>
    <x v="1"/>
    <x v="2"/>
    <x v="2"/>
  </r>
  <r>
    <x v="262"/>
    <x v="8"/>
    <x v="1"/>
    <n v="27.5"/>
    <x v="252"/>
    <d v="2025-01-12T00:00:00"/>
    <d v="2025-01-13T00:00:00"/>
    <x v="1"/>
    <x v="4"/>
    <x v="1"/>
    <x v="0"/>
    <x v="8"/>
    <x v="3"/>
    <x v="2"/>
    <x v="1"/>
  </r>
  <r>
    <x v="263"/>
    <x v="9"/>
    <x v="0"/>
    <n v="33.5"/>
    <x v="253"/>
    <d v="2025-01-12T00:00:00"/>
    <d v="2025-01-14T00:00:00"/>
    <x v="2"/>
    <x v="0"/>
    <x v="4"/>
    <x v="0"/>
    <x v="8"/>
    <x v="1"/>
    <x v="2"/>
    <x v="2"/>
  </r>
  <r>
    <x v="264"/>
    <x v="4"/>
    <x v="0"/>
    <n v="59.5"/>
    <x v="254"/>
    <d v="2025-01-12T00:00:00"/>
    <d v="2025-01-12T00:00:00"/>
    <x v="1"/>
    <x v="0"/>
    <x v="2"/>
    <x v="0"/>
    <x v="18"/>
    <x v="7"/>
    <x v="2"/>
    <x v="1"/>
  </r>
  <r>
    <x v="265"/>
    <x v="17"/>
    <x v="12"/>
    <n v="23.5"/>
    <x v="255"/>
    <d v="2025-01-12T00:00:00"/>
    <d v="2025-01-13T00:00:00"/>
    <x v="2"/>
    <x v="3"/>
    <x v="3"/>
    <x v="0"/>
    <x v="19"/>
    <x v="3"/>
    <x v="2"/>
    <x v="2"/>
  </r>
  <r>
    <x v="266"/>
    <x v="6"/>
    <x v="0"/>
    <n v="49.7"/>
    <x v="256"/>
    <d v="2025-01-12T00:00:00"/>
    <d v="2025-01-13T00:00:00"/>
    <x v="0"/>
    <x v="1"/>
    <x v="2"/>
    <x v="0"/>
    <x v="20"/>
    <x v="3"/>
    <x v="2"/>
    <x v="0"/>
  </r>
  <r>
    <x v="267"/>
    <x v="6"/>
    <x v="12"/>
    <n v="44.2"/>
    <x v="257"/>
    <d v="2025-01-12T00:00:00"/>
    <d v="2025-01-15T00:00:00"/>
    <x v="2"/>
    <x v="0"/>
    <x v="2"/>
    <x v="0"/>
    <x v="21"/>
    <x v="2"/>
    <x v="2"/>
    <x v="2"/>
  </r>
  <r>
    <x v="268"/>
    <x v="8"/>
    <x v="0"/>
    <n v="22.1"/>
    <x v="258"/>
    <d v="2025-01-12T00:00:00"/>
    <d v="2025-01-16T00:00:00"/>
    <x v="2"/>
    <x v="1"/>
    <x v="1"/>
    <x v="0"/>
    <x v="33"/>
    <x v="5"/>
    <x v="2"/>
    <x v="2"/>
  </r>
  <r>
    <x v="269"/>
    <x v="6"/>
    <x v="2"/>
    <n v="90.9"/>
    <x v="259"/>
    <d v="2025-01-12T00:00:00"/>
    <d v="2025-01-13T00:00:00"/>
    <x v="2"/>
    <x v="2"/>
    <x v="4"/>
    <x v="0"/>
    <x v="3"/>
    <x v="3"/>
    <x v="2"/>
    <x v="2"/>
  </r>
  <r>
    <x v="270"/>
    <x v="8"/>
    <x v="2"/>
    <n v="44.5"/>
    <x v="260"/>
    <d v="2025-01-12T00:00:00"/>
    <d v="2025-01-13T00:00:00"/>
    <x v="2"/>
    <x v="1"/>
    <x v="0"/>
    <x v="0"/>
    <x v="3"/>
    <x v="3"/>
    <x v="2"/>
    <x v="2"/>
  </r>
  <r>
    <x v="271"/>
    <x v="9"/>
    <x v="13"/>
    <n v="32.299999999999997"/>
    <x v="261"/>
    <d v="2025-01-12T00:00:00"/>
    <d v="2025-01-16T00:00:00"/>
    <x v="2"/>
    <x v="0"/>
    <x v="0"/>
    <x v="0"/>
    <x v="3"/>
    <x v="5"/>
    <x v="2"/>
    <x v="2"/>
  </r>
  <r>
    <x v="272"/>
    <x v="17"/>
    <x v="2"/>
    <n v="87.5"/>
    <x v="175"/>
    <d v="2025-01-12T00:00:00"/>
    <d v="2025-01-13T00:00:00"/>
    <x v="2"/>
    <x v="1"/>
    <x v="1"/>
    <x v="0"/>
    <x v="3"/>
    <x v="3"/>
    <x v="2"/>
    <x v="2"/>
  </r>
  <r>
    <x v="273"/>
    <x v="16"/>
    <x v="9"/>
    <n v="48.7"/>
    <x v="262"/>
    <d v="2025-01-12T00:00:00"/>
    <d v="2025-01-13T00:00:00"/>
    <x v="1"/>
    <x v="2"/>
    <x v="0"/>
    <x v="0"/>
    <x v="3"/>
    <x v="3"/>
    <x v="2"/>
    <x v="1"/>
  </r>
  <r>
    <x v="274"/>
    <x v="0"/>
    <x v="9"/>
    <n v="22.5"/>
    <x v="158"/>
    <d v="2025-01-12T00:00:00"/>
    <d v="2025-01-13T00:00:00"/>
    <x v="1"/>
    <x v="0"/>
    <x v="0"/>
    <x v="0"/>
    <x v="3"/>
    <x v="3"/>
    <x v="2"/>
    <x v="1"/>
  </r>
  <r>
    <x v="275"/>
    <x v="1"/>
    <x v="8"/>
    <n v="65.900000000000006"/>
    <x v="263"/>
    <d v="2025-01-12T00:00:00"/>
    <d v="2025-01-15T00:00:00"/>
    <x v="2"/>
    <x v="1"/>
    <x v="2"/>
    <x v="0"/>
    <x v="3"/>
    <x v="2"/>
    <x v="2"/>
    <x v="2"/>
  </r>
  <r>
    <x v="276"/>
    <x v="6"/>
    <x v="9"/>
    <n v="41.9"/>
    <x v="264"/>
    <d v="2025-01-12T00:00:00"/>
    <d v="2025-01-19T00:00:00"/>
    <x v="0"/>
    <x v="0"/>
    <x v="0"/>
    <x v="0"/>
    <x v="3"/>
    <x v="6"/>
    <x v="2"/>
    <x v="0"/>
  </r>
  <r>
    <x v="277"/>
    <x v="1"/>
    <x v="9"/>
    <n v="67.5"/>
    <x v="265"/>
    <d v="2025-01-12T00:00:00"/>
    <d v="2025-01-13T00:00:00"/>
    <x v="2"/>
    <x v="0"/>
    <x v="2"/>
    <x v="0"/>
    <x v="3"/>
    <x v="3"/>
    <x v="2"/>
    <x v="2"/>
  </r>
  <r>
    <x v="278"/>
    <x v="9"/>
    <x v="0"/>
    <n v="60.4"/>
    <x v="266"/>
    <d v="2025-01-13T00:00:00"/>
    <d v="2025-01-15T00:00:00"/>
    <x v="2"/>
    <x v="1"/>
    <x v="1"/>
    <x v="0"/>
    <x v="3"/>
    <x v="1"/>
    <x v="2"/>
    <x v="2"/>
  </r>
  <r>
    <x v="279"/>
    <x v="1"/>
    <x v="3"/>
    <n v="30.4"/>
    <x v="267"/>
    <d v="2025-01-13T00:00:00"/>
    <d v="2025-01-16T00:00:00"/>
    <x v="2"/>
    <x v="4"/>
    <x v="0"/>
    <x v="0"/>
    <x v="3"/>
    <x v="2"/>
    <x v="2"/>
    <x v="2"/>
  </r>
  <r>
    <x v="280"/>
    <x v="14"/>
    <x v="1"/>
    <n v="24.5"/>
    <x v="268"/>
    <d v="2025-01-13T00:00:00"/>
    <d v="2025-01-14T00:00:00"/>
    <x v="1"/>
    <x v="3"/>
    <x v="2"/>
    <x v="0"/>
    <x v="3"/>
    <x v="3"/>
    <x v="2"/>
    <x v="1"/>
  </r>
  <r>
    <x v="281"/>
    <x v="2"/>
    <x v="2"/>
    <n v="105.9"/>
    <x v="269"/>
    <d v="2025-01-13T00:00:00"/>
    <d v="2025-01-18T00:00:00"/>
    <x v="1"/>
    <x v="0"/>
    <x v="0"/>
    <x v="0"/>
    <x v="37"/>
    <x v="0"/>
    <x v="2"/>
    <x v="1"/>
  </r>
  <r>
    <x v="282"/>
    <x v="10"/>
    <x v="25"/>
    <n v="25.9"/>
    <x v="270"/>
    <d v="2025-01-13T00:00:00"/>
    <d v="2025-01-14T00:00:00"/>
    <x v="2"/>
    <x v="4"/>
    <x v="0"/>
    <x v="0"/>
    <x v="23"/>
    <x v="3"/>
    <x v="2"/>
    <x v="2"/>
  </r>
  <r>
    <x v="283"/>
    <x v="6"/>
    <x v="2"/>
    <n v="66.8"/>
    <x v="271"/>
    <d v="2025-01-13T00:00:00"/>
    <d v="2025-01-13T00:00:00"/>
    <x v="1"/>
    <x v="0"/>
    <x v="0"/>
    <x v="0"/>
    <x v="23"/>
    <x v="7"/>
    <x v="2"/>
    <x v="1"/>
  </r>
  <r>
    <x v="284"/>
    <x v="6"/>
    <x v="2"/>
    <n v="112.3"/>
    <x v="272"/>
    <d v="2025-01-13T00:00:00"/>
    <d v="2025-01-14T00:00:00"/>
    <x v="1"/>
    <x v="2"/>
    <x v="4"/>
    <x v="0"/>
    <x v="6"/>
    <x v="3"/>
    <x v="2"/>
    <x v="1"/>
  </r>
  <r>
    <x v="285"/>
    <x v="1"/>
    <x v="13"/>
    <n v="94.1"/>
    <x v="273"/>
    <d v="2025-01-13T00:00:00"/>
    <d v="2025-01-14T00:00:00"/>
    <x v="2"/>
    <x v="0"/>
    <x v="4"/>
    <x v="0"/>
    <x v="6"/>
    <x v="3"/>
    <x v="2"/>
    <x v="2"/>
  </r>
  <r>
    <x v="286"/>
    <x v="5"/>
    <x v="0"/>
    <n v="40.700000000000003"/>
    <x v="274"/>
    <d v="2025-01-13T00:00:00"/>
    <d v="2025-01-16T00:00:00"/>
    <x v="2"/>
    <x v="2"/>
    <x v="0"/>
    <x v="0"/>
    <x v="6"/>
    <x v="2"/>
    <x v="2"/>
    <x v="2"/>
  </r>
  <r>
    <x v="287"/>
    <x v="3"/>
    <x v="1"/>
    <n v="71.400000000000006"/>
    <x v="275"/>
    <d v="2025-01-13T00:00:00"/>
    <d v="2025-01-14T00:00:00"/>
    <x v="1"/>
    <x v="0"/>
    <x v="0"/>
    <x v="0"/>
    <x v="7"/>
    <x v="3"/>
    <x v="2"/>
    <x v="1"/>
  </r>
  <r>
    <x v="288"/>
    <x v="0"/>
    <x v="16"/>
    <n v="15.6"/>
    <x v="276"/>
    <d v="2025-01-13T00:00:00"/>
    <d v="2025-01-14T00:00:00"/>
    <x v="1"/>
    <x v="1"/>
    <x v="3"/>
    <x v="0"/>
    <x v="8"/>
    <x v="3"/>
    <x v="2"/>
    <x v="1"/>
  </r>
  <r>
    <x v="289"/>
    <x v="10"/>
    <x v="12"/>
    <n v="37.799999999999997"/>
    <x v="277"/>
    <d v="2025-01-13T00:00:00"/>
    <d v="2025-01-14T00:00:00"/>
    <x v="1"/>
    <x v="2"/>
    <x v="2"/>
    <x v="0"/>
    <x v="8"/>
    <x v="3"/>
    <x v="2"/>
    <x v="1"/>
  </r>
  <r>
    <x v="290"/>
    <x v="4"/>
    <x v="2"/>
    <n v="28.1"/>
    <x v="278"/>
    <d v="2025-01-13T00:00:00"/>
    <d v="2025-01-17T00:00:00"/>
    <x v="1"/>
    <x v="0"/>
    <x v="0"/>
    <x v="0"/>
    <x v="8"/>
    <x v="5"/>
    <x v="2"/>
    <x v="1"/>
  </r>
  <r>
    <x v="291"/>
    <x v="7"/>
    <x v="13"/>
    <n v="51.4"/>
    <x v="279"/>
    <d v="2025-01-13T00:00:00"/>
    <d v="2025-01-17T00:00:00"/>
    <x v="1"/>
    <x v="0"/>
    <x v="0"/>
    <x v="0"/>
    <x v="8"/>
    <x v="5"/>
    <x v="2"/>
    <x v="1"/>
  </r>
  <r>
    <x v="292"/>
    <x v="7"/>
    <x v="1"/>
    <n v="97.7"/>
    <x v="280"/>
    <d v="2025-01-13T00:00:00"/>
    <d v="2025-01-15T00:00:00"/>
    <x v="2"/>
    <x v="4"/>
    <x v="2"/>
    <x v="0"/>
    <x v="17"/>
    <x v="1"/>
    <x v="2"/>
    <x v="2"/>
  </r>
  <r>
    <x v="293"/>
    <x v="1"/>
    <x v="12"/>
    <n v="63.8"/>
    <x v="281"/>
    <d v="2025-01-13T00:00:00"/>
    <d v="2025-01-14T00:00:00"/>
    <x v="1"/>
    <x v="2"/>
    <x v="0"/>
    <x v="0"/>
    <x v="38"/>
    <x v="3"/>
    <x v="2"/>
    <x v="1"/>
  </r>
  <r>
    <x v="294"/>
    <x v="13"/>
    <x v="1"/>
    <n v="20.100000000000001"/>
    <x v="282"/>
    <d v="2025-01-13T00:00:00"/>
    <d v="2025-01-15T00:00:00"/>
    <x v="1"/>
    <x v="0"/>
    <x v="2"/>
    <x v="0"/>
    <x v="20"/>
    <x v="1"/>
    <x v="2"/>
    <x v="1"/>
  </r>
  <r>
    <x v="295"/>
    <x v="11"/>
    <x v="2"/>
    <n v="50.4"/>
    <x v="277"/>
    <d v="2025-01-13T00:00:00"/>
    <d v="2025-01-16T00:00:00"/>
    <x v="2"/>
    <x v="3"/>
    <x v="0"/>
    <x v="0"/>
    <x v="13"/>
    <x v="2"/>
    <x v="2"/>
    <x v="2"/>
  </r>
  <r>
    <x v="296"/>
    <x v="0"/>
    <x v="0"/>
    <n v="16.2"/>
    <x v="283"/>
    <d v="2025-01-13T00:00:00"/>
    <d v="2025-01-26T00:00:00"/>
    <x v="2"/>
    <x v="1"/>
    <x v="0"/>
    <x v="0"/>
    <x v="1"/>
    <x v="10"/>
    <x v="2"/>
    <x v="2"/>
  </r>
  <r>
    <x v="297"/>
    <x v="6"/>
    <x v="3"/>
    <n v="80.900000000000006"/>
    <x v="284"/>
    <d v="2025-01-13T00:00:00"/>
    <d v="2025-01-15T00:00:00"/>
    <x v="1"/>
    <x v="4"/>
    <x v="4"/>
    <x v="0"/>
    <x v="2"/>
    <x v="1"/>
    <x v="2"/>
    <x v="1"/>
  </r>
  <r>
    <x v="298"/>
    <x v="9"/>
    <x v="13"/>
    <n v="95.2"/>
    <x v="285"/>
    <d v="2025-01-13T00:00:00"/>
    <d v="2025-01-15T00:00:00"/>
    <x v="2"/>
    <x v="0"/>
    <x v="2"/>
    <x v="0"/>
    <x v="2"/>
    <x v="1"/>
    <x v="2"/>
    <x v="2"/>
  </r>
  <r>
    <x v="299"/>
    <x v="5"/>
    <x v="8"/>
    <n v="70.400000000000006"/>
    <x v="286"/>
    <d v="2025-01-13T00:00:00"/>
    <d v="2025-01-14T00:00:00"/>
    <x v="1"/>
    <x v="1"/>
    <x v="1"/>
    <x v="0"/>
    <x v="3"/>
    <x v="3"/>
    <x v="2"/>
    <x v="1"/>
  </r>
  <r>
    <x v="300"/>
    <x v="0"/>
    <x v="9"/>
    <n v="10.7"/>
    <x v="287"/>
    <d v="2025-01-13T00:00:00"/>
    <d v="2025-01-17T00:00:00"/>
    <x v="2"/>
    <x v="2"/>
    <x v="0"/>
    <x v="0"/>
    <x v="3"/>
    <x v="5"/>
    <x v="2"/>
    <x v="2"/>
  </r>
  <r>
    <x v="301"/>
    <x v="8"/>
    <x v="9"/>
    <n v="19.600000000000001"/>
    <x v="11"/>
    <d v="2025-01-13T00:00:00"/>
    <d v="2025-01-15T00:00:00"/>
    <x v="2"/>
    <x v="0"/>
    <x v="3"/>
    <x v="0"/>
    <x v="3"/>
    <x v="1"/>
    <x v="2"/>
    <x v="2"/>
  </r>
  <r>
    <x v="302"/>
    <x v="8"/>
    <x v="5"/>
    <n v="34.700000000000003"/>
    <x v="288"/>
    <d v="2025-01-13T00:00:00"/>
    <d v="2025-01-15T00:00:00"/>
    <x v="2"/>
    <x v="0"/>
    <x v="2"/>
    <x v="0"/>
    <x v="3"/>
    <x v="1"/>
    <x v="2"/>
    <x v="2"/>
  </r>
  <r>
    <x v="303"/>
    <x v="10"/>
    <x v="11"/>
    <n v="34.1"/>
    <x v="289"/>
    <d v="2025-01-13T00:00:00"/>
    <d v="2025-01-14T00:00:00"/>
    <x v="2"/>
    <x v="4"/>
    <x v="1"/>
    <x v="0"/>
    <x v="3"/>
    <x v="3"/>
    <x v="2"/>
    <x v="2"/>
  </r>
  <r>
    <x v="304"/>
    <x v="0"/>
    <x v="26"/>
    <n v="29.3"/>
    <x v="290"/>
    <d v="2025-01-13T00:00:00"/>
    <d v="2025-01-13T00:00:00"/>
    <x v="1"/>
    <x v="0"/>
    <x v="1"/>
    <x v="0"/>
    <x v="3"/>
    <x v="7"/>
    <x v="2"/>
    <x v="1"/>
  </r>
  <r>
    <x v="305"/>
    <x v="1"/>
    <x v="0"/>
    <n v="55.2"/>
    <x v="291"/>
    <d v="2025-01-13T00:00:00"/>
    <d v="2025-01-14T00:00:00"/>
    <x v="2"/>
    <x v="0"/>
    <x v="1"/>
    <x v="0"/>
    <x v="3"/>
    <x v="3"/>
    <x v="2"/>
    <x v="2"/>
  </r>
  <r>
    <x v="306"/>
    <x v="18"/>
    <x v="2"/>
    <n v="26"/>
    <x v="292"/>
    <d v="2025-01-13T00:00:00"/>
    <d v="2025-01-16T00:00:00"/>
    <x v="2"/>
    <x v="0"/>
    <x v="2"/>
    <x v="0"/>
    <x v="3"/>
    <x v="2"/>
    <x v="2"/>
    <x v="2"/>
  </r>
  <r>
    <x v="307"/>
    <x v="14"/>
    <x v="1"/>
    <n v="14.2"/>
    <x v="293"/>
    <d v="2025-01-13T00:00:00"/>
    <d v="2025-01-18T00:00:00"/>
    <x v="2"/>
    <x v="3"/>
    <x v="0"/>
    <x v="0"/>
    <x v="39"/>
    <x v="0"/>
    <x v="2"/>
    <x v="2"/>
  </r>
  <r>
    <x v="308"/>
    <x v="8"/>
    <x v="11"/>
    <n v="22.7"/>
    <x v="294"/>
    <d v="2025-01-14T00:00:00"/>
    <d v="2025-01-15T00:00:00"/>
    <x v="1"/>
    <x v="1"/>
    <x v="0"/>
    <x v="0"/>
    <x v="6"/>
    <x v="3"/>
    <x v="2"/>
    <x v="1"/>
  </r>
  <r>
    <x v="309"/>
    <x v="0"/>
    <x v="20"/>
    <n v="19.8"/>
    <x v="295"/>
    <d v="2025-01-14T00:00:00"/>
    <d v="2025-01-14T00:00:00"/>
    <x v="2"/>
    <x v="0"/>
    <x v="2"/>
    <x v="0"/>
    <x v="6"/>
    <x v="7"/>
    <x v="2"/>
    <x v="2"/>
  </r>
  <r>
    <x v="310"/>
    <x v="0"/>
    <x v="2"/>
    <n v="31.7"/>
    <x v="296"/>
    <d v="2025-01-14T00:00:00"/>
    <d v="2025-01-15T00:00:00"/>
    <x v="1"/>
    <x v="2"/>
    <x v="0"/>
    <x v="0"/>
    <x v="6"/>
    <x v="3"/>
    <x v="2"/>
    <x v="1"/>
  </r>
  <r>
    <x v="311"/>
    <x v="8"/>
    <x v="12"/>
    <n v="30.4"/>
    <x v="297"/>
    <d v="2025-01-14T00:00:00"/>
    <d v="2025-01-18T00:00:00"/>
    <x v="1"/>
    <x v="0"/>
    <x v="0"/>
    <x v="0"/>
    <x v="6"/>
    <x v="5"/>
    <x v="2"/>
    <x v="1"/>
  </r>
  <r>
    <x v="312"/>
    <x v="0"/>
    <x v="12"/>
    <n v="25.6"/>
    <x v="298"/>
    <d v="2025-01-14T00:00:00"/>
    <d v="2025-01-15T00:00:00"/>
    <x v="1"/>
    <x v="3"/>
    <x v="0"/>
    <x v="0"/>
    <x v="8"/>
    <x v="3"/>
    <x v="2"/>
    <x v="1"/>
  </r>
  <r>
    <x v="313"/>
    <x v="5"/>
    <x v="1"/>
    <n v="34.9"/>
    <x v="299"/>
    <d v="2025-01-14T00:00:00"/>
    <d v="2025-01-15T00:00:00"/>
    <x v="2"/>
    <x v="2"/>
    <x v="0"/>
    <x v="0"/>
    <x v="9"/>
    <x v="3"/>
    <x v="2"/>
    <x v="2"/>
  </r>
  <r>
    <x v="314"/>
    <x v="7"/>
    <x v="13"/>
    <n v="42.7"/>
    <x v="300"/>
    <d v="2025-01-14T00:00:00"/>
    <d v="2025-01-17T00:00:00"/>
    <x v="1"/>
    <x v="2"/>
    <x v="1"/>
    <x v="0"/>
    <x v="11"/>
    <x v="2"/>
    <x v="2"/>
    <x v="1"/>
  </r>
  <r>
    <x v="315"/>
    <x v="8"/>
    <x v="0"/>
    <n v="23.9"/>
    <x v="301"/>
    <d v="2025-01-14T00:00:00"/>
    <d v="2025-01-16T00:00:00"/>
    <x v="2"/>
    <x v="3"/>
    <x v="0"/>
    <x v="0"/>
    <x v="11"/>
    <x v="1"/>
    <x v="2"/>
    <x v="2"/>
  </r>
  <r>
    <x v="316"/>
    <x v="6"/>
    <x v="0"/>
    <n v="124.3"/>
    <x v="302"/>
    <d v="2025-01-14T00:00:00"/>
    <d v="2025-01-15T00:00:00"/>
    <x v="0"/>
    <x v="2"/>
    <x v="1"/>
    <x v="0"/>
    <x v="21"/>
    <x v="3"/>
    <x v="2"/>
    <x v="0"/>
  </r>
  <r>
    <x v="317"/>
    <x v="8"/>
    <x v="13"/>
    <n v="35.9"/>
    <x v="303"/>
    <d v="2025-01-14T00:00:00"/>
    <d v="2025-01-15T00:00:00"/>
    <x v="2"/>
    <x v="0"/>
    <x v="1"/>
    <x v="0"/>
    <x v="1"/>
    <x v="3"/>
    <x v="2"/>
    <x v="2"/>
  </r>
  <r>
    <x v="318"/>
    <x v="2"/>
    <x v="1"/>
    <n v="69.099999999999994"/>
    <x v="304"/>
    <d v="2025-01-14T00:00:00"/>
    <d v="2025-01-17T00:00:00"/>
    <x v="2"/>
    <x v="0"/>
    <x v="2"/>
    <x v="0"/>
    <x v="22"/>
    <x v="2"/>
    <x v="2"/>
    <x v="2"/>
  </r>
  <r>
    <x v="319"/>
    <x v="7"/>
    <x v="0"/>
    <n v="58.4"/>
    <x v="305"/>
    <d v="2025-01-14T00:00:00"/>
    <d v="2025-01-18T00:00:00"/>
    <x v="1"/>
    <x v="0"/>
    <x v="0"/>
    <x v="0"/>
    <x v="22"/>
    <x v="5"/>
    <x v="2"/>
    <x v="1"/>
  </r>
  <r>
    <x v="320"/>
    <x v="5"/>
    <x v="0"/>
    <n v="65.2"/>
    <x v="221"/>
    <d v="2025-01-14T00:00:00"/>
    <d v="2025-01-16T00:00:00"/>
    <x v="3"/>
    <x v="4"/>
    <x v="4"/>
    <x v="0"/>
    <x v="3"/>
    <x v="1"/>
    <x v="2"/>
    <x v="3"/>
  </r>
  <r>
    <x v="321"/>
    <x v="8"/>
    <x v="14"/>
    <n v="32.700000000000003"/>
    <x v="306"/>
    <d v="2025-01-14T00:00:00"/>
    <d v="2025-01-21T00:00:00"/>
    <x v="0"/>
    <x v="4"/>
    <x v="0"/>
    <x v="0"/>
    <x v="3"/>
    <x v="6"/>
    <x v="2"/>
    <x v="0"/>
  </r>
  <r>
    <x v="322"/>
    <x v="10"/>
    <x v="3"/>
    <n v="24.4"/>
    <x v="307"/>
    <d v="2025-01-14T00:00:00"/>
    <d v="2025-01-15T00:00:00"/>
    <x v="2"/>
    <x v="0"/>
    <x v="0"/>
    <x v="0"/>
    <x v="3"/>
    <x v="3"/>
    <x v="2"/>
    <x v="2"/>
  </r>
  <r>
    <x v="323"/>
    <x v="14"/>
    <x v="1"/>
    <n v="50.4"/>
    <x v="90"/>
    <d v="2025-01-14T00:00:00"/>
    <d v="2025-01-20T00:00:00"/>
    <x v="1"/>
    <x v="0"/>
    <x v="1"/>
    <x v="0"/>
    <x v="3"/>
    <x v="4"/>
    <x v="2"/>
    <x v="1"/>
  </r>
  <r>
    <x v="324"/>
    <x v="1"/>
    <x v="1"/>
    <n v="100"/>
    <x v="308"/>
    <d v="2025-01-14T00:00:00"/>
    <d v="2025-01-15T00:00:00"/>
    <x v="2"/>
    <x v="0"/>
    <x v="0"/>
    <x v="0"/>
    <x v="3"/>
    <x v="3"/>
    <x v="2"/>
    <x v="2"/>
  </r>
  <r>
    <x v="325"/>
    <x v="10"/>
    <x v="2"/>
    <n v="43"/>
    <x v="309"/>
    <d v="2025-01-15T00:00:00"/>
    <d v="2025-01-15T00:00:00"/>
    <x v="2"/>
    <x v="2"/>
    <x v="1"/>
    <x v="0"/>
    <x v="3"/>
    <x v="7"/>
    <x v="2"/>
    <x v="2"/>
  </r>
  <r>
    <x v="326"/>
    <x v="1"/>
    <x v="9"/>
    <n v="64.400000000000006"/>
    <x v="310"/>
    <d v="2025-01-15T00:00:00"/>
    <d v="2025-01-17T00:00:00"/>
    <x v="1"/>
    <x v="2"/>
    <x v="1"/>
    <x v="0"/>
    <x v="3"/>
    <x v="1"/>
    <x v="2"/>
    <x v="1"/>
  </r>
  <r>
    <x v="327"/>
    <x v="18"/>
    <x v="1"/>
    <n v="57.4"/>
    <x v="311"/>
    <d v="2025-01-15T00:00:00"/>
    <d v="2025-01-16T00:00:00"/>
    <x v="1"/>
    <x v="2"/>
    <x v="1"/>
    <x v="0"/>
    <x v="3"/>
    <x v="3"/>
    <x v="2"/>
    <x v="1"/>
  </r>
  <r>
    <x v="328"/>
    <x v="2"/>
    <x v="2"/>
    <n v="55.1"/>
    <x v="312"/>
    <d v="2025-01-15T00:00:00"/>
    <d v="2025-01-18T00:00:00"/>
    <x v="2"/>
    <x v="1"/>
    <x v="0"/>
    <x v="0"/>
    <x v="3"/>
    <x v="2"/>
    <x v="2"/>
    <x v="2"/>
  </r>
  <r>
    <x v="329"/>
    <x v="7"/>
    <x v="12"/>
    <n v="45.4"/>
    <x v="106"/>
    <d v="2025-01-15T00:00:00"/>
    <d v="2025-01-16T00:00:00"/>
    <x v="2"/>
    <x v="1"/>
    <x v="0"/>
    <x v="0"/>
    <x v="3"/>
    <x v="3"/>
    <x v="2"/>
    <x v="2"/>
  </r>
  <r>
    <x v="330"/>
    <x v="3"/>
    <x v="2"/>
    <n v="93.3"/>
    <x v="313"/>
    <d v="2025-01-15T00:00:00"/>
    <d v="2025-01-16T00:00:00"/>
    <x v="2"/>
    <x v="0"/>
    <x v="0"/>
    <x v="0"/>
    <x v="40"/>
    <x v="3"/>
    <x v="2"/>
    <x v="2"/>
  </r>
  <r>
    <x v="331"/>
    <x v="2"/>
    <x v="10"/>
    <n v="158.19999999999999"/>
    <x v="314"/>
    <d v="2025-01-15T00:00:00"/>
    <d v="2025-01-16T00:00:00"/>
    <x v="2"/>
    <x v="1"/>
    <x v="2"/>
    <x v="0"/>
    <x v="16"/>
    <x v="3"/>
    <x v="2"/>
    <x v="2"/>
  </r>
  <r>
    <x v="332"/>
    <x v="2"/>
    <x v="1"/>
    <n v="74.900000000000006"/>
    <x v="315"/>
    <d v="2025-01-15T00:00:00"/>
    <d v="2025-01-17T00:00:00"/>
    <x v="1"/>
    <x v="3"/>
    <x v="0"/>
    <x v="0"/>
    <x v="6"/>
    <x v="1"/>
    <x v="2"/>
    <x v="1"/>
  </r>
  <r>
    <x v="333"/>
    <x v="8"/>
    <x v="3"/>
    <n v="26"/>
    <x v="316"/>
    <d v="2025-01-15T00:00:00"/>
    <d v="2025-01-18T00:00:00"/>
    <x v="2"/>
    <x v="1"/>
    <x v="0"/>
    <x v="0"/>
    <x v="8"/>
    <x v="2"/>
    <x v="2"/>
    <x v="2"/>
  </r>
  <r>
    <x v="334"/>
    <x v="9"/>
    <x v="13"/>
    <n v="37.5"/>
    <x v="317"/>
    <d v="2025-01-15T00:00:00"/>
    <d v="2025-01-16T00:00:00"/>
    <x v="2"/>
    <x v="0"/>
    <x v="1"/>
    <x v="0"/>
    <x v="8"/>
    <x v="3"/>
    <x v="2"/>
    <x v="2"/>
  </r>
  <r>
    <x v="335"/>
    <x v="6"/>
    <x v="1"/>
    <n v="75.8"/>
    <x v="318"/>
    <d v="2025-01-15T00:00:00"/>
    <d v="2025-01-21T00:00:00"/>
    <x v="1"/>
    <x v="0"/>
    <x v="0"/>
    <x v="0"/>
    <x v="8"/>
    <x v="4"/>
    <x v="2"/>
    <x v="1"/>
  </r>
  <r>
    <x v="336"/>
    <x v="7"/>
    <x v="0"/>
    <n v="48.5"/>
    <x v="319"/>
    <d v="2025-01-15T00:00:00"/>
    <d v="2025-01-27T00:00:00"/>
    <x v="0"/>
    <x v="4"/>
    <x v="2"/>
    <x v="0"/>
    <x v="8"/>
    <x v="13"/>
    <x v="2"/>
    <x v="0"/>
  </r>
  <r>
    <x v="337"/>
    <x v="6"/>
    <x v="2"/>
    <n v="98.9"/>
    <x v="320"/>
    <d v="2025-01-15T00:00:00"/>
    <d v="2025-01-17T00:00:00"/>
    <x v="2"/>
    <x v="4"/>
    <x v="1"/>
    <x v="0"/>
    <x v="8"/>
    <x v="1"/>
    <x v="2"/>
    <x v="2"/>
  </r>
  <r>
    <x v="338"/>
    <x v="1"/>
    <x v="4"/>
    <n v="50.9"/>
    <x v="321"/>
    <d v="2025-01-15T00:00:00"/>
    <d v="2025-01-15T00:00:00"/>
    <x v="1"/>
    <x v="4"/>
    <x v="0"/>
    <x v="0"/>
    <x v="8"/>
    <x v="7"/>
    <x v="2"/>
    <x v="1"/>
  </r>
  <r>
    <x v="339"/>
    <x v="12"/>
    <x v="13"/>
    <n v="84.7"/>
    <x v="322"/>
    <d v="2025-01-15T00:00:00"/>
    <d v="2025-01-15T00:00:00"/>
    <x v="2"/>
    <x v="2"/>
    <x v="0"/>
    <x v="0"/>
    <x v="8"/>
    <x v="7"/>
    <x v="2"/>
    <x v="2"/>
  </r>
  <r>
    <x v="340"/>
    <x v="8"/>
    <x v="0"/>
    <n v="20.7"/>
    <x v="323"/>
    <d v="2025-01-15T00:00:00"/>
    <d v="2025-01-17T00:00:00"/>
    <x v="2"/>
    <x v="3"/>
    <x v="2"/>
    <x v="0"/>
    <x v="8"/>
    <x v="1"/>
    <x v="2"/>
    <x v="2"/>
  </r>
  <r>
    <x v="341"/>
    <x v="12"/>
    <x v="11"/>
    <n v="57.8"/>
    <x v="324"/>
    <d v="2025-01-15T00:00:00"/>
    <d v="2025-01-26T00:00:00"/>
    <x v="1"/>
    <x v="0"/>
    <x v="4"/>
    <x v="0"/>
    <x v="17"/>
    <x v="11"/>
    <x v="2"/>
    <x v="1"/>
  </r>
  <r>
    <x v="342"/>
    <x v="2"/>
    <x v="1"/>
    <n v="106.9"/>
    <x v="325"/>
    <d v="2025-01-15T00:00:00"/>
    <d v="2025-01-17T00:00:00"/>
    <x v="2"/>
    <x v="0"/>
    <x v="2"/>
    <x v="0"/>
    <x v="41"/>
    <x v="1"/>
    <x v="2"/>
    <x v="2"/>
  </r>
  <r>
    <x v="343"/>
    <x v="3"/>
    <x v="9"/>
    <n v="45.2"/>
    <x v="326"/>
    <d v="2025-01-15T00:00:00"/>
    <d v="2025-01-19T00:00:00"/>
    <x v="2"/>
    <x v="1"/>
    <x v="0"/>
    <x v="0"/>
    <x v="21"/>
    <x v="5"/>
    <x v="2"/>
    <x v="2"/>
  </r>
  <r>
    <x v="344"/>
    <x v="8"/>
    <x v="15"/>
    <n v="34.6"/>
    <x v="327"/>
    <d v="2025-01-15T00:00:00"/>
    <d v="2025-01-15T00:00:00"/>
    <x v="2"/>
    <x v="1"/>
    <x v="1"/>
    <x v="0"/>
    <x v="21"/>
    <x v="7"/>
    <x v="2"/>
    <x v="2"/>
  </r>
  <r>
    <x v="345"/>
    <x v="15"/>
    <x v="0"/>
    <n v="43.8"/>
    <x v="328"/>
    <d v="2025-01-15T00:00:00"/>
    <d v="2025-01-17T00:00:00"/>
    <x v="0"/>
    <x v="0"/>
    <x v="2"/>
    <x v="0"/>
    <x v="21"/>
    <x v="1"/>
    <x v="2"/>
    <x v="0"/>
  </r>
  <r>
    <x v="346"/>
    <x v="15"/>
    <x v="0"/>
    <n v="20.399999999999999"/>
    <x v="190"/>
    <d v="2025-01-15T00:00:00"/>
    <d v="2025-01-17T00:00:00"/>
    <x v="1"/>
    <x v="4"/>
    <x v="1"/>
    <x v="0"/>
    <x v="21"/>
    <x v="1"/>
    <x v="2"/>
    <x v="1"/>
  </r>
  <r>
    <x v="347"/>
    <x v="1"/>
    <x v="0"/>
    <n v="36.700000000000003"/>
    <x v="329"/>
    <d v="2025-01-15T00:00:00"/>
    <d v="2025-01-16T00:00:00"/>
    <x v="1"/>
    <x v="0"/>
    <x v="1"/>
    <x v="0"/>
    <x v="1"/>
    <x v="3"/>
    <x v="2"/>
    <x v="1"/>
  </r>
  <r>
    <x v="348"/>
    <x v="8"/>
    <x v="2"/>
    <n v="27.2"/>
    <x v="330"/>
    <d v="2025-01-15T00:00:00"/>
    <d v="2025-01-19T00:00:00"/>
    <x v="1"/>
    <x v="0"/>
    <x v="2"/>
    <x v="0"/>
    <x v="1"/>
    <x v="5"/>
    <x v="2"/>
    <x v="1"/>
  </r>
  <r>
    <x v="349"/>
    <x v="6"/>
    <x v="0"/>
    <n v="58.2"/>
    <x v="331"/>
    <d v="2025-01-15T00:00:00"/>
    <d v="2025-01-16T00:00:00"/>
    <x v="2"/>
    <x v="0"/>
    <x v="2"/>
    <x v="0"/>
    <x v="42"/>
    <x v="3"/>
    <x v="2"/>
    <x v="2"/>
  </r>
  <r>
    <x v="350"/>
    <x v="8"/>
    <x v="2"/>
    <n v="25.6"/>
    <x v="332"/>
    <d v="2025-01-15T00:00:00"/>
    <d v="2025-01-16T00:00:00"/>
    <x v="1"/>
    <x v="4"/>
    <x v="4"/>
    <x v="0"/>
    <x v="2"/>
    <x v="3"/>
    <x v="2"/>
    <x v="1"/>
  </r>
  <r>
    <x v="351"/>
    <x v="10"/>
    <x v="0"/>
    <n v="21.2"/>
    <x v="333"/>
    <d v="2025-01-15T00:00:00"/>
    <d v="2025-01-15T00:00:00"/>
    <x v="2"/>
    <x v="1"/>
    <x v="2"/>
    <x v="0"/>
    <x v="3"/>
    <x v="7"/>
    <x v="2"/>
    <x v="2"/>
  </r>
  <r>
    <x v="352"/>
    <x v="6"/>
    <x v="1"/>
    <n v="48.2"/>
    <x v="334"/>
    <d v="2025-01-15T00:00:00"/>
    <d v="2025-01-23T00:00:00"/>
    <x v="2"/>
    <x v="0"/>
    <x v="2"/>
    <x v="0"/>
    <x v="3"/>
    <x v="9"/>
    <x v="2"/>
    <x v="2"/>
  </r>
  <r>
    <x v="353"/>
    <x v="1"/>
    <x v="12"/>
    <n v="83.4"/>
    <x v="335"/>
    <d v="2025-01-16T00:00:00"/>
    <d v="2025-01-17T00:00:00"/>
    <x v="1"/>
    <x v="0"/>
    <x v="0"/>
    <x v="0"/>
    <x v="3"/>
    <x v="3"/>
    <x v="2"/>
    <x v="1"/>
  </r>
  <r>
    <x v="354"/>
    <x v="9"/>
    <x v="2"/>
    <n v="45.3"/>
    <x v="336"/>
    <d v="2025-01-16T00:00:00"/>
    <d v="2025-01-22T00:00:00"/>
    <x v="1"/>
    <x v="2"/>
    <x v="1"/>
    <x v="0"/>
    <x v="3"/>
    <x v="4"/>
    <x v="2"/>
    <x v="1"/>
  </r>
  <r>
    <x v="355"/>
    <x v="17"/>
    <x v="0"/>
    <n v="42"/>
    <x v="337"/>
    <d v="2025-01-16T00:00:00"/>
    <d v="2025-01-17T00:00:00"/>
    <x v="0"/>
    <x v="0"/>
    <x v="0"/>
    <x v="0"/>
    <x v="3"/>
    <x v="3"/>
    <x v="2"/>
    <x v="0"/>
  </r>
  <r>
    <x v="356"/>
    <x v="0"/>
    <x v="11"/>
    <n v="21.8"/>
    <x v="338"/>
    <d v="2025-01-16T00:00:00"/>
    <d v="2025-01-18T00:00:00"/>
    <x v="2"/>
    <x v="1"/>
    <x v="0"/>
    <x v="0"/>
    <x v="3"/>
    <x v="1"/>
    <x v="2"/>
    <x v="2"/>
  </r>
  <r>
    <x v="357"/>
    <x v="8"/>
    <x v="16"/>
    <n v="21.4"/>
    <x v="339"/>
    <d v="2025-01-16T00:00:00"/>
    <d v="2025-01-19T00:00:00"/>
    <x v="2"/>
    <x v="1"/>
    <x v="2"/>
    <x v="0"/>
    <x v="3"/>
    <x v="2"/>
    <x v="2"/>
    <x v="2"/>
  </r>
  <r>
    <x v="358"/>
    <x v="10"/>
    <x v="2"/>
    <n v="45"/>
    <x v="340"/>
    <d v="2025-01-16T00:00:00"/>
    <d v="2025-01-16T00:00:00"/>
    <x v="2"/>
    <x v="1"/>
    <x v="2"/>
    <x v="0"/>
    <x v="3"/>
    <x v="7"/>
    <x v="2"/>
    <x v="2"/>
  </r>
  <r>
    <x v="359"/>
    <x v="14"/>
    <x v="0"/>
    <n v="39.6"/>
    <x v="341"/>
    <d v="2025-01-16T00:00:00"/>
    <d v="2025-01-17T00:00:00"/>
    <x v="1"/>
    <x v="0"/>
    <x v="2"/>
    <x v="0"/>
    <x v="3"/>
    <x v="3"/>
    <x v="2"/>
    <x v="1"/>
  </r>
  <r>
    <x v="360"/>
    <x v="12"/>
    <x v="2"/>
    <n v="79.8"/>
    <x v="342"/>
    <d v="2025-01-16T00:00:00"/>
    <d v="2025-01-22T00:00:00"/>
    <x v="2"/>
    <x v="1"/>
    <x v="4"/>
    <x v="0"/>
    <x v="3"/>
    <x v="4"/>
    <x v="2"/>
    <x v="2"/>
  </r>
  <r>
    <x v="361"/>
    <x v="1"/>
    <x v="12"/>
    <n v="63.6"/>
    <x v="343"/>
    <d v="2025-01-16T00:00:00"/>
    <d v="2025-01-17T00:00:00"/>
    <x v="3"/>
    <x v="0"/>
    <x v="2"/>
    <x v="0"/>
    <x v="24"/>
    <x v="3"/>
    <x v="2"/>
    <x v="3"/>
  </r>
  <r>
    <x v="362"/>
    <x v="7"/>
    <x v="7"/>
    <n v="92.7"/>
    <x v="344"/>
    <d v="2025-01-16T00:00:00"/>
    <d v="2025-01-20T00:00:00"/>
    <x v="1"/>
    <x v="1"/>
    <x v="2"/>
    <x v="0"/>
    <x v="6"/>
    <x v="5"/>
    <x v="2"/>
    <x v="1"/>
  </r>
  <r>
    <x v="363"/>
    <x v="1"/>
    <x v="12"/>
    <n v="48.4"/>
    <x v="345"/>
    <d v="2025-01-16T00:00:00"/>
    <d v="2025-01-18T00:00:00"/>
    <x v="2"/>
    <x v="1"/>
    <x v="2"/>
    <x v="0"/>
    <x v="6"/>
    <x v="1"/>
    <x v="2"/>
    <x v="2"/>
  </r>
  <r>
    <x v="364"/>
    <x v="9"/>
    <x v="8"/>
    <n v="36"/>
    <x v="346"/>
    <d v="2025-01-16T00:00:00"/>
    <d v="2025-01-19T00:00:00"/>
    <x v="1"/>
    <x v="2"/>
    <x v="2"/>
    <x v="0"/>
    <x v="8"/>
    <x v="2"/>
    <x v="2"/>
    <x v="1"/>
  </r>
  <r>
    <x v="365"/>
    <x v="8"/>
    <x v="4"/>
    <n v="27"/>
    <x v="347"/>
    <d v="2025-01-16T00:00:00"/>
    <d v="2025-01-18T00:00:00"/>
    <x v="2"/>
    <x v="2"/>
    <x v="1"/>
    <x v="0"/>
    <x v="8"/>
    <x v="1"/>
    <x v="2"/>
    <x v="2"/>
  </r>
  <r>
    <x v="366"/>
    <x v="2"/>
    <x v="8"/>
    <n v="53.9"/>
    <x v="348"/>
    <d v="2025-01-16T00:00:00"/>
    <d v="2025-01-17T00:00:00"/>
    <x v="0"/>
    <x v="0"/>
    <x v="0"/>
    <x v="0"/>
    <x v="8"/>
    <x v="3"/>
    <x v="2"/>
    <x v="0"/>
  </r>
  <r>
    <x v="367"/>
    <x v="3"/>
    <x v="11"/>
    <n v="48.4"/>
    <x v="349"/>
    <d v="2025-01-16T00:00:00"/>
    <d v="2025-01-17T00:00:00"/>
    <x v="2"/>
    <x v="1"/>
    <x v="0"/>
    <x v="0"/>
    <x v="9"/>
    <x v="3"/>
    <x v="2"/>
    <x v="2"/>
  </r>
  <r>
    <x v="368"/>
    <x v="17"/>
    <x v="1"/>
    <n v="49.9"/>
    <x v="350"/>
    <d v="2025-01-16T00:00:00"/>
    <d v="2025-01-21T00:00:00"/>
    <x v="1"/>
    <x v="4"/>
    <x v="4"/>
    <x v="0"/>
    <x v="10"/>
    <x v="0"/>
    <x v="2"/>
    <x v="1"/>
  </r>
  <r>
    <x v="369"/>
    <x v="1"/>
    <x v="2"/>
    <n v="51.7"/>
    <x v="351"/>
    <d v="2025-01-16T00:00:00"/>
    <d v="2025-01-17T00:00:00"/>
    <x v="2"/>
    <x v="0"/>
    <x v="2"/>
    <x v="0"/>
    <x v="11"/>
    <x v="3"/>
    <x v="2"/>
    <x v="2"/>
  </r>
  <r>
    <x v="370"/>
    <x v="8"/>
    <x v="2"/>
    <n v="41.8"/>
    <x v="352"/>
    <d v="2025-01-16T00:00:00"/>
    <d v="2025-01-18T00:00:00"/>
    <x v="2"/>
    <x v="2"/>
    <x v="0"/>
    <x v="0"/>
    <x v="18"/>
    <x v="1"/>
    <x v="2"/>
    <x v="2"/>
  </r>
  <r>
    <x v="371"/>
    <x v="4"/>
    <x v="12"/>
    <n v="36.200000000000003"/>
    <x v="353"/>
    <d v="2025-01-17T00:00:00"/>
    <d v="2025-01-18T00:00:00"/>
    <x v="1"/>
    <x v="2"/>
    <x v="2"/>
    <x v="0"/>
    <x v="21"/>
    <x v="3"/>
    <x v="2"/>
    <x v="1"/>
  </r>
  <r>
    <x v="372"/>
    <x v="2"/>
    <x v="0"/>
    <n v="150.9"/>
    <x v="354"/>
    <d v="2025-01-17T00:00:00"/>
    <d v="2025-01-27T00:00:00"/>
    <x v="1"/>
    <x v="0"/>
    <x v="0"/>
    <x v="0"/>
    <x v="1"/>
    <x v="14"/>
    <x v="2"/>
    <x v="1"/>
  </r>
  <r>
    <x v="373"/>
    <x v="18"/>
    <x v="12"/>
    <n v="77.599999999999994"/>
    <x v="355"/>
    <d v="2025-01-17T00:00:00"/>
    <d v="2025-01-18T00:00:00"/>
    <x v="0"/>
    <x v="2"/>
    <x v="0"/>
    <x v="0"/>
    <x v="3"/>
    <x v="3"/>
    <x v="2"/>
    <x v="0"/>
  </r>
  <r>
    <x v="374"/>
    <x v="13"/>
    <x v="9"/>
    <n v="65.5"/>
    <x v="356"/>
    <d v="2025-01-17T00:00:00"/>
    <d v="2025-01-17T00:00:00"/>
    <x v="1"/>
    <x v="1"/>
    <x v="0"/>
    <x v="0"/>
    <x v="3"/>
    <x v="7"/>
    <x v="2"/>
    <x v="1"/>
  </r>
  <r>
    <x v="375"/>
    <x v="6"/>
    <x v="2"/>
    <n v="90.1"/>
    <x v="357"/>
    <d v="2025-01-17T00:00:00"/>
    <d v="2025-01-19T00:00:00"/>
    <x v="2"/>
    <x v="0"/>
    <x v="0"/>
    <x v="0"/>
    <x v="3"/>
    <x v="1"/>
    <x v="2"/>
    <x v="2"/>
  </r>
  <r>
    <x v="376"/>
    <x v="1"/>
    <x v="1"/>
    <n v="108.3"/>
    <x v="358"/>
    <d v="2025-01-17T00:00:00"/>
    <d v="2025-01-20T00:00:00"/>
    <x v="3"/>
    <x v="4"/>
    <x v="0"/>
    <x v="0"/>
    <x v="3"/>
    <x v="2"/>
    <x v="2"/>
    <x v="3"/>
  </r>
  <r>
    <x v="377"/>
    <x v="5"/>
    <x v="2"/>
    <n v="59.9"/>
    <x v="359"/>
    <d v="2025-01-17T00:00:00"/>
    <d v="2025-01-21T00:00:00"/>
    <x v="2"/>
    <x v="0"/>
    <x v="0"/>
    <x v="0"/>
    <x v="3"/>
    <x v="5"/>
    <x v="2"/>
    <x v="2"/>
  </r>
  <r>
    <x v="378"/>
    <x v="2"/>
    <x v="14"/>
    <n v="139"/>
    <x v="360"/>
    <d v="2025-01-17T00:00:00"/>
    <d v="2025-01-19T00:00:00"/>
    <x v="2"/>
    <x v="1"/>
    <x v="4"/>
    <x v="0"/>
    <x v="3"/>
    <x v="1"/>
    <x v="2"/>
    <x v="2"/>
  </r>
  <r>
    <x v="379"/>
    <x v="6"/>
    <x v="2"/>
    <n v="87.3"/>
    <x v="361"/>
    <d v="2025-01-17T00:00:00"/>
    <d v="2025-01-18T00:00:00"/>
    <x v="2"/>
    <x v="0"/>
    <x v="0"/>
    <x v="0"/>
    <x v="3"/>
    <x v="3"/>
    <x v="2"/>
    <x v="2"/>
  </r>
  <r>
    <x v="380"/>
    <x v="11"/>
    <x v="12"/>
    <n v="42.3"/>
    <x v="362"/>
    <d v="2025-01-17T00:00:00"/>
    <d v="2025-01-17T00:00:00"/>
    <x v="1"/>
    <x v="0"/>
    <x v="0"/>
    <x v="0"/>
    <x v="3"/>
    <x v="7"/>
    <x v="2"/>
    <x v="1"/>
  </r>
  <r>
    <x v="381"/>
    <x v="14"/>
    <x v="8"/>
    <n v="103.6"/>
    <x v="363"/>
    <d v="2025-01-17T00:00:00"/>
    <d v="2025-01-18T00:00:00"/>
    <x v="3"/>
    <x v="0"/>
    <x v="1"/>
    <x v="0"/>
    <x v="3"/>
    <x v="3"/>
    <x v="2"/>
    <x v="3"/>
  </r>
  <r>
    <x v="382"/>
    <x v="6"/>
    <x v="1"/>
    <n v="90.9"/>
    <x v="364"/>
    <d v="2025-01-17T00:00:00"/>
    <d v="2025-01-18T00:00:00"/>
    <x v="1"/>
    <x v="1"/>
    <x v="0"/>
    <x v="0"/>
    <x v="6"/>
    <x v="3"/>
    <x v="2"/>
    <x v="1"/>
  </r>
  <r>
    <x v="383"/>
    <x v="9"/>
    <x v="27"/>
    <n v="100.9"/>
    <x v="365"/>
    <d v="2025-01-17T00:00:00"/>
    <d v="2025-01-18T00:00:00"/>
    <x v="2"/>
    <x v="1"/>
    <x v="0"/>
    <x v="0"/>
    <x v="6"/>
    <x v="3"/>
    <x v="2"/>
    <x v="2"/>
  </r>
  <r>
    <x v="384"/>
    <x v="4"/>
    <x v="9"/>
    <n v="36"/>
    <x v="366"/>
    <d v="2025-01-17T00:00:00"/>
    <d v="2025-01-19T00:00:00"/>
    <x v="2"/>
    <x v="1"/>
    <x v="0"/>
    <x v="0"/>
    <x v="7"/>
    <x v="1"/>
    <x v="2"/>
    <x v="2"/>
  </r>
  <r>
    <x v="385"/>
    <x v="6"/>
    <x v="13"/>
    <n v="83.3"/>
    <x v="367"/>
    <d v="2025-01-17T00:00:00"/>
    <d v="2025-01-20T00:00:00"/>
    <x v="0"/>
    <x v="2"/>
    <x v="0"/>
    <x v="0"/>
    <x v="7"/>
    <x v="2"/>
    <x v="2"/>
    <x v="0"/>
  </r>
  <r>
    <x v="386"/>
    <x v="2"/>
    <x v="14"/>
    <n v="60.3"/>
    <x v="368"/>
    <d v="2025-01-17T00:00:00"/>
    <d v="2025-01-18T00:00:00"/>
    <x v="1"/>
    <x v="2"/>
    <x v="1"/>
    <x v="0"/>
    <x v="7"/>
    <x v="3"/>
    <x v="2"/>
    <x v="1"/>
  </r>
  <r>
    <x v="387"/>
    <x v="2"/>
    <x v="13"/>
    <n v="120.3"/>
    <x v="369"/>
    <d v="2025-01-17T00:00:00"/>
    <d v="2025-01-18T00:00:00"/>
    <x v="1"/>
    <x v="2"/>
    <x v="0"/>
    <x v="0"/>
    <x v="8"/>
    <x v="3"/>
    <x v="2"/>
    <x v="1"/>
  </r>
  <r>
    <x v="388"/>
    <x v="4"/>
    <x v="7"/>
    <n v="34"/>
    <x v="370"/>
    <d v="2025-01-17T00:00:00"/>
    <d v="2025-01-21T00:00:00"/>
    <x v="2"/>
    <x v="2"/>
    <x v="0"/>
    <x v="0"/>
    <x v="8"/>
    <x v="5"/>
    <x v="2"/>
    <x v="2"/>
  </r>
  <r>
    <x v="389"/>
    <x v="10"/>
    <x v="9"/>
    <n v="42.6"/>
    <x v="226"/>
    <d v="2025-01-17T00:00:00"/>
    <d v="2025-01-20T00:00:00"/>
    <x v="1"/>
    <x v="1"/>
    <x v="0"/>
    <x v="0"/>
    <x v="8"/>
    <x v="2"/>
    <x v="2"/>
    <x v="1"/>
  </r>
  <r>
    <x v="390"/>
    <x v="5"/>
    <x v="28"/>
    <n v="47.4"/>
    <x v="371"/>
    <d v="2025-01-17T00:00:00"/>
    <d v="2025-01-17T00:00:00"/>
    <x v="2"/>
    <x v="2"/>
    <x v="1"/>
    <x v="0"/>
    <x v="17"/>
    <x v="7"/>
    <x v="2"/>
    <x v="2"/>
  </r>
  <r>
    <x v="391"/>
    <x v="2"/>
    <x v="0"/>
    <n v="74"/>
    <x v="372"/>
    <d v="2025-01-18T00:00:00"/>
    <d v="2025-01-19T00:00:00"/>
    <x v="1"/>
    <x v="1"/>
    <x v="0"/>
    <x v="0"/>
    <x v="11"/>
    <x v="3"/>
    <x v="2"/>
    <x v="1"/>
  </r>
  <r>
    <x v="392"/>
    <x v="2"/>
    <x v="9"/>
    <n v="60.4"/>
    <x v="373"/>
    <d v="2025-01-18T00:00:00"/>
    <d v="2025-01-21T00:00:00"/>
    <x v="2"/>
    <x v="1"/>
    <x v="4"/>
    <x v="0"/>
    <x v="18"/>
    <x v="2"/>
    <x v="2"/>
    <x v="2"/>
  </r>
  <r>
    <x v="393"/>
    <x v="12"/>
    <x v="1"/>
    <n v="69.3"/>
    <x v="374"/>
    <d v="2025-01-18T00:00:00"/>
    <d v="2025-01-21T00:00:00"/>
    <x v="1"/>
    <x v="1"/>
    <x v="1"/>
    <x v="0"/>
    <x v="13"/>
    <x v="2"/>
    <x v="2"/>
    <x v="1"/>
  </r>
  <r>
    <x v="394"/>
    <x v="5"/>
    <x v="9"/>
    <n v="81"/>
    <x v="375"/>
    <d v="2025-01-18T00:00:00"/>
    <d v="2025-01-24T00:00:00"/>
    <x v="1"/>
    <x v="3"/>
    <x v="0"/>
    <x v="0"/>
    <x v="21"/>
    <x v="4"/>
    <x v="2"/>
    <x v="1"/>
  </r>
  <r>
    <x v="395"/>
    <x v="15"/>
    <x v="2"/>
    <n v="41.5"/>
    <x v="376"/>
    <d v="2025-01-18T00:00:00"/>
    <d v="2025-01-20T00:00:00"/>
    <x v="3"/>
    <x v="1"/>
    <x v="0"/>
    <x v="0"/>
    <x v="21"/>
    <x v="1"/>
    <x v="2"/>
    <x v="3"/>
  </r>
  <r>
    <x v="396"/>
    <x v="18"/>
    <x v="1"/>
    <n v="69.7"/>
    <x v="377"/>
    <d v="2025-01-18T00:00:00"/>
    <d v="2025-01-23T00:00:00"/>
    <x v="1"/>
    <x v="1"/>
    <x v="0"/>
    <x v="0"/>
    <x v="21"/>
    <x v="0"/>
    <x v="2"/>
    <x v="1"/>
  </r>
  <r>
    <x v="397"/>
    <x v="2"/>
    <x v="9"/>
    <n v="83.6"/>
    <x v="378"/>
    <d v="2025-01-18T00:00:00"/>
    <d v="2025-01-18T00:00:00"/>
    <x v="2"/>
    <x v="4"/>
    <x v="0"/>
    <x v="0"/>
    <x v="1"/>
    <x v="7"/>
    <x v="2"/>
    <x v="2"/>
  </r>
  <r>
    <x v="398"/>
    <x v="8"/>
    <x v="3"/>
    <n v="21.5"/>
    <x v="379"/>
    <d v="2025-01-18T00:00:00"/>
    <d v="2025-01-20T00:00:00"/>
    <x v="1"/>
    <x v="1"/>
    <x v="4"/>
    <x v="0"/>
    <x v="34"/>
    <x v="1"/>
    <x v="2"/>
    <x v="1"/>
  </r>
  <r>
    <x v="399"/>
    <x v="8"/>
    <x v="8"/>
    <n v="28.6"/>
    <x v="27"/>
    <d v="2025-01-18T00:00:00"/>
    <d v="2025-01-19T00:00:00"/>
    <x v="1"/>
    <x v="0"/>
    <x v="0"/>
    <x v="0"/>
    <x v="3"/>
    <x v="3"/>
    <x v="2"/>
    <x v="1"/>
  </r>
  <r>
    <x v="400"/>
    <x v="8"/>
    <x v="13"/>
    <n v="18.8"/>
    <x v="380"/>
    <d v="2025-01-18T00:00:00"/>
    <d v="2025-01-21T00:00:00"/>
    <x v="1"/>
    <x v="3"/>
    <x v="2"/>
    <x v="0"/>
    <x v="3"/>
    <x v="2"/>
    <x v="2"/>
    <x v="1"/>
  </r>
  <r>
    <x v="401"/>
    <x v="10"/>
    <x v="12"/>
    <n v="35.1"/>
    <x v="381"/>
    <d v="2025-01-18T00:00:00"/>
    <d v="2025-01-18T00:00:00"/>
    <x v="2"/>
    <x v="1"/>
    <x v="1"/>
    <x v="0"/>
    <x v="3"/>
    <x v="7"/>
    <x v="2"/>
    <x v="2"/>
  </r>
  <r>
    <x v="402"/>
    <x v="0"/>
    <x v="1"/>
    <n v="12.7"/>
    <x v="382"/>
    <d v="2025-01-18T00:00:00"/>
    <d v="2025-01-20T00:00:00"/>
    <x v="2"/>
    <x v="1"/>
    <x v="2"/>
    <x v="0"/>
    <x v="3"/>
    <x v="1"/>
    <x v="2"/>
    <x v="2"/>
  </r>
  <r>
    <x v="403"/>
    <x v="8"/>
    <x v="9"/>
    <n v="27.4"/>
    <x v="383"/>
    <d v="2025-01-18T00:00:00"/>
    <d v="2025-01-20T00:00:00"/>
    <x v="3"/>
    <x v="0"/>
    <x v="0"/>
    <x v="0"/>
    <x v="3"/>
    <x v="1"/>
    <x v="2"/>
    <x v="3"/>
  </r>
  <r>
    <x v="404"/>
    <x v="10"/>
    <x v="1"/>
    <n v="61.3"/>
    <x v="384"/>
    <d v="2025-01-18T00:00:00"/>
    <d v="2025-01-19T00:00:00"/>
    <x v="2"/>
    <x v="1"/>
    <x v="0"/>
    <x v="0"/>
    <x v="6"/>
    <x v="3"/>
    <x v="2"/>
    <x v="2"/>
  </r>
  <r>
    <x v="405"/>
    <x v="8"/>
    <x v="1"/>
    <n v="64.7"/>
    <x v="385"/>
    <d v="2025-01-18T00:00:00"/>
    <d v="2025-01-20T00:00:00"/>
    <x v="2"/>
    <x v="3"/>
    <x v="2"/>
    <x v="0"/>
    <x v="6"/>
    <x v="1"/>
    <x v="2"/>
    <x v="2"/>
  </r>
  <r>
    <x v="406"/>
    <x v="7"/>
    <x v="12"/>
    <n v="91.4"/>
    <x v="386"/>
    <d v="2025-01-18T00:00:00"/>
    <d v="2025-01-20T00:00:00"/>
    <x v="2"/>
    <x v="0"/>
    <x v="0"/>
    <x v="0"/>
    <x v="8"/>
    <x v="1"/>
    <x v="2"/>
    <x v="2"/>
  </r>
  <r>
    <x v="407"/>
    <x v="0"/>
    <x v="1"/>
    <n v="33.1"/>
    <x v="387"/>
    <d v="2025-01-19T00:00:00"/>
    <d v="2025-01-20T00:00:00"/>
    <x v="1"/>
    <x v="0"/>
    <x v="2"/>
    <x v="0"/>
    <x v="8"/>
    <x v="3"/>
    <x v="3"/>
    <x v="1"/>
  </r>
  <r>
    <x v="408"/>
    <x v="3"/>
    <x v="1"/>
    <n v="105.6"/>
    <x v="23"/>
    <d v="2025-01-19T00:00:00"/>
    <d v="2025-01-20T00:00:00"/>
    <x v="1"/>
    <x v="2"/>
    <x v="1"/>
    <x v="0"/>
    <x v="8"/>
    <x v="3"/>
    <x v="3"/>
    <x v="1"/>
  </r>
  <r>
    <x v="409"/>
    <x v="10"/>
    <x v="2"/>
    <n v="46.4"/>
    <x v="388"/>
    <d v="2025-01-19T00:00:00"/>
    <d v="2025-01-20T00:00:00"/>
    <x v="1"/>
    <x v="2"/>
    <x v="0"/>
    <x v="0"/>
    <x v="9"/>
    <x v="3"/>
    <x v="3"/>
    <x v="1"/>
  </r>
  <r>
    <x v="410"/>
    <x v="9"/>
    <x v="21"/>
    <n v="35.299999999999997"/>
    <x v="389"/>
    <d v="2025-01-19T00:00:00"/>
    <d v="2025-01-22T00:00:00"/>
    <x v="2"/>
    <x v="4"/>
    <x v="1"/>
    <x v="0"/>
    <x v="11"/>
    <x v="2"/>
    <x v="3"/>
    <x v="2"/>
  </r>
  <r>
    <x v="411"/>
    <x v="0"/>
    <x v="1"/>
    <n v="16.100000000000001"/>
    <x v="390"/>
    <d v="2025-01-19T00:00:00"/>
    <d v="2025-01-21T00:00:00"/>
    <x v="1"/>
    <x v="3"/>
    <x v="2"/>
    <x v="0"/>
    <x v="32"/>
    <x v="1"/>
    <x v="3"/>
    <x v="1"/>
  </r>
  <r>
    <x v="412"/>
    <x v="4"/>
    <x v="1"/>
    <n v="27.9"/>
    <x v="391"/>
    <d v="2025-01-19T00:00:00"/>
    <d v="2025-01-22T00:00:00"/>
    <x v="1"/>
    <x v="0"/>
    <x v="0"/>
    <x v="0"/>
    <x v="13"/>
    <x v="2"/>
    <x v="3"/>
    <x v="1"/>
  </r>
  <r>
    <x v="413"/>
    <x v="8"/>
    <x v="0"/>
    <n v="47.1"/>
    <x v="392"/>
    <d v="2025-01-19T00:00:00"/>
    <d v="2025-01-27T00:00:00"/>
    <x v="2"/>
    <x v="1"/>
    <x v="0"/>
    <x v="0"/>
    <x v="2"/>
    <x v="9"/>
    <x v="3"/>
    <x v="2"/>
  </r>
  <r>
    <x v="414"/>
    <x v="6"/>
    <x v="1"/>
    <n v="85"/>
    <x v="393"/>
    <d v="2025-01-19T00:00:00"/>
    <d v="2025-01-22T00:00:00"/>
    <x v="0"/>
    <x v="2"/>
    <x v="2"/>
    <x v="0"/>
    <x v="22"/>
    <x v="2"/>
    <x v="3"/>
    <x v="0"/>
  </r>
  <r>
    <x v="415"/>
    <x v="18"/>
    <x v="1"/>
    <n v="89"/>
    <x v="394"/>
    <d v="2025-01-19T00:00:00"/>
    <d v="2025-01-21T00:00:00"/>
    <x v="2"/>
    <x v="0"/>
    <x v="0"/>
    <x v="0"/>
    <x v="3"/>
    <x v="1"/>
    <x v="3"/>
    <x v="2"/>
  </r>
  <r>
    <x v="416"/>
    <x v="16"/>
    <x v="2"/>
    <n v="36.6"/>
    <x v="17"/>
    <d v="2025-01-19T00:00:00"/>
    <d v="2025-01-20T00:00:00"/>
    <x v="3"/>
    <x v="3"/>
    <x v="2"/>
    <x v="0"/>
    <x v="3"/>
    <x v="3"/>
    <x v="3"/>
    <x v="3"/>
  </r>
  <r>
    <x v="417"/>
    <x v="6"/>
    <x v="3"/>
    <n v="43.5"/>
    <x v="395"/>
    <d v="2025-01-19T00:00:00"/>
    <d v="2025-01-20T00:00:00"/>
    <x v="1"/>
    <x v="1"/>
    <x v="2"/>
    <x v="0"/>
    <x v="3"/>
    <x v="3"/>
    <x v="3"/>
    <x v="1"/>
  </r>
  <r>
    <x v="418"/>
    <x v="9"/>
    <x v="10"/>
    <n v="30.5"/>
    <x v="396"/>
    <d v="2025-01-19T00:00:00"/>
    <d v="2025-01-19T00:00:00"/>
    <x v="2"/>
    <x v="3"/>
    <x v="0"/>
    <x v="0"/>
    <x v="3"/>
    <x v="7"/>
    <x v="3"/>
    <x v="2"/>
  </r>
  <r>
    <x v="419"/>
    <x v="1"/>
    <x v="1"/>
    <n v="107.7"/>
    <x v="397"/>
    <d v="2025-01-19T00:00:00"/>
    <d v="2025-01-23T00:00:00"/>
    <x v="1"/>
    <x v="3"/>
    <x v="4"/>
    <x v="0"/>
    <x v="3"/>
    <x v="5"/>
    <x v="3"/>
    <x v="1"/>
  </r>
  <r>
    <x v="420"/>
    <x v="17"/>
    <x v="18"/>
    <n v="57.1"/>
    <x v="398"/>
    <d v="2025-01-19T00:00:00"/>
    <d v="2025-01-20T00:00:00"/>
    <x v="1"/>
    <x v="1"/>
    <x v="0"/>
    <x v="0"/>
    <x v="3"/>
    <x v="3"/>
    <x v="3"/>
    <x v="1"/>
  </r>
  <r>
    <x v="421"/>
    <x v="2"/>
    <x v="7"/>
    <n v="111.7"/>
    <x v="399"/>
    <d v="2025-01-19T00:00:00"/>
    <d v="2025-01-20T00:00:00"/>
    <x v="2"/>
    <x v="4"/>
    <x v="2"/>
    <x v="0"/>
    <x v="3"/>
    <x v="3"/>
    <x v="3"/>
    <x v="2"/>
  </r>
  <r>
    <x v="422"/>
    <x v="18"/>
    <x v="3"/>
    <n v="44.3"/>
    <x v="400"/>
    <d v="2025-01-19T00:00:00"/>
    <d v="2025-01-22T00:00:00"/>
    <x v="1"/>
    <x v="3"/>
    <x v="2"/>
    <x v="0"/>
    <x v="3"/>
    <x v="2"/>
    <x v="3"/>
    <x v="1"/>
  </r>
  <r>
    <x v="423"/>
    <x v="2"/>
    <x v="8"/>
    <n v="95.8"/>
    <x v="401"/>
    <d v="2025-01-19T00:00:00"/>
    <d v="2025-01-25T00:00:00"/>
    <x v="3"/>
    <x v="0"/>
    <x v="0"/>
    <x v="0"/>
    <x v="3"/>
    <x v="4"/>
    <x v="3"/>
    <x v="3"/>
  </r>
  <r>
    <x v="424"/>
    <x v="10"/>
    <x v="3"/>
    <n v="22.6"/>
    <x v="402"/>
    <d v="2025-01-19T00:00:00"/>
    <d v="2025-01-22T00:00:00"/>
    <x v="2"/>
    <x v="3"/>
    <x v="1"/>
    <x v="0"/>
    <x v="3"/>
    <x v="2"/>
    <x v="3"/>
    <x v="2"/>
  </r>
  <r>
    <x v="425"/>
    <x v="8"/>
    <x v="8"/>
    <n v="25.6"/>
    <x v="403"/>
    <d v="2025-01-19T00:00:00"/>
    <d v="2025-01-21T00:00:00"/>
    <x v="2"/>
    <x v="4"/>
    <x v="0"/>
    <x v="0"/>
    <x v="3"/>
    <x v="1"/>
    <x v="3"/>
    <x v="2"/>
  </r>
  <r>
    <x v="426"/>
    <x v="6"/>
    <x v="27"/>
    <n v="54.3"/>
    <x v="404"/>
    <d v="2025-01-19T00:00:00"/>
    <d v="2025-01-22T00:00:00"/>
    <x v="2"/>
    <x v="4"/>
    <x v="0"/>
    <x v="0"/>
    <x v="3"/>
    <x v="2"/>
    <x v="3"/>
    <x v="2"/>
  </r>
  <r>
    <x v="427"/>
    <x v="18"/>
    <x v="15"/>
    <n v="51.3"/>
    <x v="405"/>
    <d v="2025-01-19T00:00:00"/>
    <d v="2025-01-21T00:00:00"/>
    <x v="1"/>
    <x v="0"/>
    <x v="2"/>
    <x v="0"/>
    <x v="3"/>
    <x v="1"/>
    <x v="3"/>
    <x v="1"/>
  </r>
  <r>
    <x v="428"/>
    <x v="0"/>
    <x v="8"/>
    <n v="25.6"/>
    <x v="403"/>
    <d v="2025-01-19T00:00:00"/>
    <d v="2025-01-20T00:00:00"/>
    <x v="2"/>
    <x v="1"/>
    <x v="1"/>
    <x v="0"/>
    <x v="3"/>
    <x v="3"/>
    <x v="3"/>
    <x v="2"/>
  </r>
  <r>
    <x v="429"/>
    <x v="0"/>
    <x v="1"/>
    <n v="15.6"/>
    <x v="406"/>
    <d v="2025-01-19T00:00:00"/>
    <d v="2025-01-20T00:00:00"/>
    <x v="2"/>
    <x v="2"/>
    <x v="2"/>
    <x v="0"/>
    <x v="3"/>
    <x v="3"/>
    <x v="3"/>
    <x v="2"/>
  </r>
  <r>
    <x v="430"/>
    <x v="8"/>
    <x v="2"/>
    <n v="30.3"/>
    <x v="407"/>
    <d v="2025-01-19T00:00:00"/>
    <d v="2025-01-23T00:00:00"/>
    <x v="2"/>
    <x v="0"/>
    <x v="1"/>
    <x v="0"/>
    <x v="3"/>
    <x v="5"/>
    <x v="3"/>
    <x v="2"/>
  </r>
  <r>
    <x v="431"/>
    <x v="12"/>
    <x v="1"/>
    <n v="30.3"/>
    <x v="408"/>
    <d v="2025-01-19T00:00:00"/>
    <d v="2025-01-24T00:00:00"/>
    <x v="2"/>
    <x v="0"/>
    <x v="2"/>
    <x v="0"/>
    <x v="37"/>
    <x v="0"/>
    <x v="3"/>
    <x v="2"/>
  </r>
  <r>
    <x v="432"/>
    <x v="10"/>
    <x v="2"/>
    <n v="53"/>
    <x v="409"/>
    <d v="2025-01-19T00:00:00"/>
    <d v="2025-01-26T00:00:00"/>
    <x v="2"/>
    <x v="2"/>
    <x v="0"/>
    <x v="0"/>
    <x v="24"/>
    <x v="6"/>
    <x v="3"/>
    <x v="2"/>
  </r>
  <r>
    <x v="433"/>
    <x v="5"/>
    <x v="16"/>
    <n v="59.9"/>
    <x v="410"/>
    <d v="2025-01-19T00:00:00"/>
    <d v="2025-01-22T00:00:00"/>
    <x v="1"/>
    <x v="2"/>
    <x v="4"/>
    <x v="0"/>
    <x v="25"/>
    <x v="2"/>
    <x v="3"/>
    <x v="1"/>
  </r>
  <r>
    <x v="434"/>
    <x v="9"/>
    <x v="1"/>
    <n v="45.7"/>
    <x v="411"/>
    <d v="2025-01-19T00:00:00"/>
    <d v="2025-01-20T00:00:00"/>
    <x v="2"/>
    <x v="1"/>
    <x v="2"/>
    <x v="0"/>
    <x v="6"/>
    <x v="3"/>
    <x v="3"/>
    <x v="2"/>
  </r>
  <r>
    <x v="435"/>
    <x v="8"/>
    <x v="12"/>
    <n v="46.1"/>
    <x v="412"/>
    <d v="2025-01-19T00:00:00"/>
    <d v="2025-01-20T00:00:00"/>
    <x v="1"/>
    <x v="0"/>
    <x v="0"/>
    <x v="0"/>
    <x v="6"/>
    <x v="3"/>
    <x v="3"/>
    <x v="1"/>
  </r>
  <r>
    <x v="436"/>
    <x v="8"/>
    <x v="2"/>
    <n v="17.5"/>
    <x v="413"/>
    <d v="2025-01-19T00:00:00"/>
    <d v="2025-01-20T00:00:00"/>
    <x v="2"/>
    <x v="0"/>
    <x v="2"/>
    <x v="0"/>
    <x v="8"/>
    <x v="3"/>
    <x v="3"/>
    <x v="2"/>
  </r>
  <r>
    <x v="437"/>
    <x v="10"/>
    <x v="2"/>
    <n v="36.5"/>
    <x v="414"/>
    <d v="2025-01-19T00:00:00"/>
    <d v="2025-01-30T00:00:00"/>
    <x v="1"/>
    <x v="2"/>
    <x v="0"/>
    <x v="0"/>
    <x v="8"/>
    <x v="11"/>
    <x v="3"/>
    <x v="1"/>
  </r>
  <r>
    <x v="438"/>
    <x v="8"/>
    <x v="1"/>
    <n v="47.5"/>
    <x v="415"/>
    <d v="2025-01-20T00:00:00"/>
    <d v="2025-01-22T00:00:00"/>
    <x v="2"/>
    <x v="1"/>
    <x v="0"/>
    <x v="0"/>
    <x v="8"/>
    <x v="1"/>
    <x v="3"/>
    <x v="2"/>
  </r>
  <r>
    <x v="439"/>
    <x v="6"/>
    <x v="9"/>
    <n v="45.6"/>
    <x v="416"/>
    <d v="2025-01-20T00:00:00"/>
    <d v="2025-01-22T00:00:00"/>
    <x v="2"/>
    <x v="0"/>
    <x v="2"/>
    <x v="0"/>
    <x v="8"/>
    <x v="1"/>
    <x v="3"/>
    <x v="2"/>
  </r>
  <r>
    <x v="440"/>
    <x v="9"/>
    <x v="1"/>
    <n v="50.5"/>
    <x v="95"/>
    <d v="2025-01-20T00:00:00"/>
    <d v="2025-01-22T00:00:00"/>
    <x v="1"/>
    <x v="0"/>
    <x v="1"/>
    <x v="0"/>
    <x v="17"/>
    <x v="1"/>
    <x v="3"/>
    <x v="1"/>
  </r>
  <r>
    <x v="441"/>
    <x v="2"/>
    <x v="7"/>
    <n v="99.8"/>
    <x v="417"/>
    <d v="2025-01-20T00:00:00"/>
    <d v="2025-01-23T00:00:00"/>
    <x v="2"/>
    <x v="2"/>
    <x v="1"/>
    <x v="0"/>
    <x v="17"/>
    <x v="2"/>
    <x v="3"/>
    <x v="2"/>
  </r>
  <r>
    <x v="442"/>
    <x v="8"/>
    <x v="20"/>
    <n v="19.2"/>
    <x v="346"/>
    <d v="2025-01-20T00:00:00"/>
    <d v="2025-01-22T00:00:00"/>
    <x v="3"/>
    <x v="4"/>
    <x v="1"/>
    <x v="0"/>
    <x v="26"/>
    <x v="1"/>
    <x v="3"/>
    <x v="3"/>
  </r>
  <r>
    <x v="443"/>
    <x v="17"/>
    <x v="2"/>
    <n v="22.6"/>
    <x v="418"/>
    <d v="2025-01-20T00:00:00"/>
    <d v="2025-01-21T00:00:00"/>
    <x v="1"/>
    <x v="1"/>
    <x v="0"/>
    <x v="0"/>
    <x v="11"/>
    <x v="3"/>
    <x v="3"/>
    <x v="1"/>
  </r>
  <r>
    <x v="444"/>
    <x v="1"/>
    <x v="20"/>
    <n v="126.9"/>
    <x v="419"/>
    <d v="2025-01-20T00:00:00"/>
    <d v="2025-01-22T00:00:00"/>
    <x v="2"/>
    <x v="0"/>
    <x v="2"/>
    <x v="0"/>
    <x v="11"/>
    <x v="1"/>
    <x v="3"/>
    <x v="2"/>
  </r>
  <r>
    <x v="445"/>
    <x v="2"/>
    <x v="1"/>
    <n v="100.3"/>
    <x v="420"/>
    <d v="2025-01-20T00:00:00"/>
    <d v="2025-01-21T00:00:00"/>
    <x v="2"/>
    <x v="0"/>
    <x v="1"/>
    <x v="0"/>
    <x v="11"/>
    <x v="3"/>
    <x v="3"/>
    <x v="2"/>
  </r>
  <r>
    <x v="446"/>
    <x v="4"/>
    <x v="16"/>
    <n v="24.6"/>
    <x v="421"/>
    <d v="2025-01-20T00:00:00"/>
    <d v="2025-01-21T00:00:00"/>
    <x v="2"/>
    <x v="4"/>
    <x v="0"/>
    <x v="0"/>
    <x v="13"/>
    <x v="3"/>
    <x v="3"/>
    <x v="2"/>
  </r>
  <r>
    <x v="447"/>
    <x v="6"/>
    <x v="1"/>
    <n v="47.3"/>
    <x v="422"/>
    <d v="2025-01-20T00:00:00"/>
    <d v="2025-01-21T00:00:00"/>
    <x v="1"/>
    <x v="1"/>
    <x v="2"/>
    <x v="0"/>
    <x v="13"/>
    <x v="3"/>
    <x v="3"/>
    <x v="1"/>
  </r>
  <r>
    <x v="448"/>
    <x v="6"/>
    <x v="3"/>
    <n v="40.799999999999997"/>
    <x v="423"/>
    <d v="2025-01-20T00:00:00"/>
    <d v="2025-01-23T00:00:00"/>
    <x v="2"/>
    <x v="2"/>
    <x v="2"/>
    <x v="0"/>
    <x v="21"/>
    <x v="2"/>
    <x v="3"/>
    <x v="2"/>
  </r>
  <r>
    <x v="449"/>
    <x v="8"/>
    <x v="8"/>
    <n v="49.2"/>
    <x v="424"/>
    <d v="2025-01-20T00:00:00"/>
    <d v="2025-01-22T00:00:00"/>
    <x v="2"/>
    <x v="0"/>
    <x v="0"/>
    <x v="0"/>
    <x v="1"/>
    <x v="1"/>
    <x v="3"/>
    <x v="2"/>
  </r>
  <r>
    <x v="450"/>
    <x v="8"/>
    <x v="0"/>
    <n v="28.5"/>
    <x v="425"/>
    <d v="2025-01-20T00:00:00"/>
    <d v="2025-01-22T00:00:00"/>
    <x v="0"/>
    <x v="2"/>
    <x v="1"/>
    <x v="0"/>
    <x v="3"/>
    <x v="1"/>
    <x v="3"/>
    <x v="0"/>
  </r>
  <r>
    <x v="451"/>
    <x v="18"/>
    <x v="1"/>
    <n v="36.799999999999997"/>
    <x v="426"/>
    <d v="2025-01-20T00:00:00"/>
    <d v="2025-01-26T00:00:00"/>
    <x v="2"/>
    <x v="0"/>
    <x v="2"/>
    <x v="0"/>
    <x v="3"/>
    <x v="4"/>
    <x v="3"/>
    <x v="2"/>
  </r>
  <r>
    <x v="452"/>
    <x v="7"/>
    <x v="2"/>
    <n v="33.5"/>
    <x v="427"/>
    <d v="2025-01-20T00:00:00"/>
    <d v="2025-01-21T00:00:00"/>
    <x v="2"/>
    <x v="0"/>
    <x v="1"/>
    <x v="0"/>
    <x v="3"/>
    <x v="3"/>
    <x v="3"/>
    <x v="2"/>
  </r>
  <r>
    <x v="453"/>
    <x v="6"/>
    <x v="13"/>
    <n v="62.5"/>
    <x v="428"/>
    <d v="2025-01-20T00:00:00"/>
    <d v="2025-01-22T00:00:00"/>
    <x v="2"/>
    <x v="0"/>
    <x v="0"/>
    <x v="0"/>
    <x v="3"/>
    <x v="1"/>
    <x v="3"/>
    <x v="2"/>
  </r>
  <r>
    <x v="454"/>
    <x v="8"/>
    <x v="29"/>
    <n v="47.9"/>
    <x v="429"/>
    <d v="2025-01-20T00:00:00"/>
    <d v="2025-01-21T00:00:00"/>
    <x v="2"/>
    <x v="3"/>
    <x v="0"/>
    <x v="0"/>
    <x v="3"/>
    <x v="3"/>
    <x v="3"/>
    <x v="2"/>
  </r>
  <r>
    <x v="455"/>
    <x v="6"/>
    <x v="13"/>
    <n v="92.9"/>
    <x v="430"/>
    <d v="2025-01-20T00:00:00"/>
    <d v="2025-01-31T00:00:00"/>
    <x v="2"/>
    <x v="0"/>
    <x v="4"/>
    <x v="0"/>
    <x v="3"/>
    <x v="11"/>
    <x v="3"/>
    <x v="2"/>
  </r>
  <r>
    <x v="456"/>
    <x v="12"/>
    <x v="2"/>
    <n v="44.1"/>
    <x v="431"/>
    <d v="2025-01-20T00:00:00"/>
    <d v="2025-01-20T00:00:00"/>
    <x v="2"/>
    <x v="1"/>
    <x v="1"/>
    <x v="0"/>
    <x v="43"/>
    <x v="7"/>
    <x v="3"/>
    <x v="2"/>
  </r>
  <r>
    <x v="457"/>
    <x v="0"/>
    <x v="0"/>
    <n v="11.4"/>
    <x v="432"/>
    <d v="2025-01-21T00:00:00"/>
    <d v="2025-01-23T00:00:00"/>
    <x v="2"/>
    <x v="2"/>
    <x v="0"/>
    <x v="0"/>
    <x v="5"/>
    <x v="1"/>
    <x v="3"/>
    <x v="2"/>
  </r>
  <r>
    <x v="458"/>
    <x v="6"/>
    <x v="0"/>
    <n v="83.7"/>
    <x v="433"/>
    <d v="2025-01-21T00:00:00"/>
    <d v="2025-01-23T00:00:00"/>
    <x v="2"/>
    <x v="0"/>
    <x v="2"/>
    <x v="0"/>
    <x v="6"/>
    <x v="1"/>
    <x v="3"/>
    <x v="2"/>
  </r>
  <r>
    <x v="459"/>
    <x v="10"/>
    <x v="1"/>
    <n v="23.2"/>
    <x v="434"/>
    <d v="2025-01-21T00:00:00"/>
    <d v="2025-01-22T00:00:00"/>
    <x v="1"/>
    <x v="2"/>
    <x v="0"/>
    <x v="0"/>
    <x v="8"/>
    <x v="3"/>
    <x v="3"/>
    <x v="1"/>
  </r>
  <r>
    <x v="460"/>
    <x v="2"/>
    <x v="0"/>
    <n v="162.1"/>
    <x v="435"/>
    <d v="2025-01-21T00:00:00"/>
    <d v="2025-01-24T00:00:00"/>
    <x v="2"/>
    <x v="0"/>
    <x v="2"/>
    <x v="0"/>
    <x v="9"/>
    <x v="2"/>
    <x v="3"/>
    <x v="2"/>
  </r>
  <r>
    <x v="461"/>
    <x v="6"/>
    <x v="12"/>
    <n v="49.2"/>
    <x v="436"/>
    <d v="2025-01-21T00:00:00"/>
    <d v="2025-01-25T00:00:00"/>
    <x v="1"/>
    <x v="1"/>
    <x v="0"/>
    <x v="0"/>
    <x v="9"/>
    <x v="5"/>
    <x v="3"/>
    <x v="1"/>
  </r>
  <r>
    <x v="462"/>
    <x v="1"/>
    <x v="1"/>
    <n v="61"/>
    <x v="164"/>
    <d v="2025-01-21T00:00:00"/>
    <d v="2025-01-22T00:00:00"/>
    <x v="1"/>
    <x v="3"/>
    <x v="0"/>
    <x v="0"/>
    <x v="10"/>
    <x v="3"/>
    <x v="3"/>
    <x v="1"/>
  </r>
  <r>
    <x v="463"/>
    <x v="2"/>
    <x v="7"/>
    <n v="53.1"/>
    <x v="437"/>
    <d v="2025-01-21T00:00:00"/>
    <d v="2025-01-23T00:00:00"/>
    <x v="1"/>
    <x v="0"/>
    <x v="0"/>
    <x v="0"/>
    <x v="11"/>
    <x v="1"/>
    <x v="3"/>
    <x v="1"/>
  </r>
  <r>
    <x v="464"/>
    <x v="4"/>
    <x v="1"/>
    <n v="22.4"/>
    <x v="438"/>
    <d v="2025-01-21T00:00:00"/>
    <d v="2025-01-23T00:00:00"/>
    <x v="0"/>
    <x v="1"/>
    <x v="2"/>
    <x v="0"/>
    <x v="13"/>
    <x v="1"/>
    <x v="3"/>
    <x v="0"/>
  </r>
  <r>
    <x v="465"/>
    <x v="1"/>
    <x v="9"/>
    <n v="75.3"/>
    <x v="439"/>
    <d v="2025-01-21T00:00:00"/>
    <d v="2025-01-22T00:00:00"/>
    <x v="1"/>
    <x v="0"/>
    <x v="0"/>
    <x v="0"/>
    <x v="21"/>
    <x v="3"/>
    <x v="3"/>
    <x v="1"/>
  </r>
  <r>
    <x v="466"/>
    <x v="6"/>
    <x v="0"/>
    <n v="48.5"/>
    <x v="319"/>
    <d v="2025-01-21T00:00:00"/>
    <d v="2025-01-22T00:00:00"/>
    <x v="2"/>
    <x v="0"/>
    <x v="1"/>
    <x v="0"/>
    <x v="21"/>
    <x v="3"/>
    <x v="3"/>
    <x v="2"/>
  </r>
  <r>
    <x v="467"/>
    <x v="6"/>
    <x v="0"/>
    <n v="42.6"/>
    <x v="440"/>
    <d v="2025-01-21T00:00:00"/>
    <d v="2025-01-25T00:00:00"/>
    <x v="2"/>
    <x v="3"/>
    <x v="0"/>
    <x v="0"/>
    <x v="1"/>
    <x v="5"/>
    <x v="3"/>
    <x v="2"/>
  </r>
  <r>
    <x v="468"/>
    <x v="5"/>
    <x v="9"/>
    <n v="49"/>
    <x v="441"/>
    <d v="2025-01-21T00:00:00"/>
    <d v="2025-01-22T00:00:00"/>
    <x v="1"/>
    <x v="0"/>
    <x v="0"/>
    <x v="0"/>
    <x v="22"/>
    <x v="3"/>
    <x v="3"/>
    <x v="1"/>
  </r>
  <r>
    <x v="469"/>
    <x v="8"/>
    <x v="2"/>
    <n v="31.3"/>
    <x v="442"/>
    <d v="2025-01-21T00:00:00"/>
    <d v="2025-01-22T00:00:00"/>
    <x v="1"/>
    <x v="2"/>
    <x v="1"/>
    <x v="0"/>
    <x v="3"/>
    <x v="3"/>
    <x v="3"/>
    <x v="1"/>
  </r>
  <r>
    <x v="470"/>
    <x v="2"/>
    <x v="1"/>
    <n v="85.4"/>
    <x v="443"/>
    <d v="2025-01-21T00:00:00"/>
    <d v="2025-01-22T00:00:00"/>
    <x v="2"/>
    <x v="2"/>
    <x v="0"/>
    <x v="0"/>
    <x v="3"/>
    <x v="3"/>
    <x v="3"/>
    <x v="2"/>
  </r>
  <r>
    <x v="471"/>
    <x v="8"/>
    <x v="12"/>
    <n v="40"/>
    <x v="444"/>
    <d v="2025-01-21T00:00:00"/>
    <d v="2025-01-22T00:00:00"/>
    <x v="3"/>
    <x v="0"/>
    <x v="2"/>
    <x v="0"/>
    <x v="3"/>
    <x v="3"/>
    <x v="3"/>
    <x v="3"/>
  </r>
  <r>
    <x v="472"/>
    <x v="5"/>
    <x v="1"/>
    <n v="38.5"/>
    <x v="445"/>
    <d v="2025-01-21T00:00:00"/>
    <d v="2025-01-24T00:00:00"/>
    <x v="1"/>
    <x v="1"/>
    <x v="2"/>
    <x v="0"/>
    <x v="3"/>
    <x v="2"/>
    <x v="3"/>
    <x v="1"/>
  </r>
  <r>
    <x v="473"/>
    <x v="2"/>
    <x v="1"/>
    <n v="57.8"/>
    <x v="446"/>
    <d v="2025-01-21T00:00:00"/>
    <d v="2025-01-22T00:00:00"/>
    <x v="0"/>
    <x v="0"/>
    <x v="0"/>
    <x v="0"/>
    <x v="3"/>
    <x v="3"/>
    <x v="3"/>
    <x v="0"/>
  </r>
  <r>
    <x v="474"/>
    <x v="8"/>
    <x v="0"/>
    <n v="19.2"/>
    <x v="447"/>
    <d v="2025-01-21T00:00:00"/>
    <d v="2025-01-22T00:00:00"/>
    <x v="2"/>
    <x v="0"/>
    <x v="4"/>
    <x v="0"/>
    <x v="3"/>
    <x v="3"/>
    <x v="3"/>
    <x v="2"/>
  </r>
  <r>
    <x v="475"/>
    <x v="6"/>
    <x v="13"/>
    <n v="114.8"/>
    <x v="448"/>
    <d v="2025-01-21T00:00:00"/>
    <d v="2025-01-24T00:00:00"/>
    <x v="1"/>
    <x v="1"/>
    <x v="1"/>
    <x v="0"/>
    <x v="3"/>
    <x v="2"/>
    <x v="3"/>
    <x v="1"/>
  </r>
  <r>
    <x v="476"/>
    <x v="10"/>
    <x v="3"/>
    <n v="48.4"/>
    <x v="449"/>
    <d v="2025-01-21T00:00:00"/>
    <d v="2025-01-24T00:00:00"/>
    <x v="2"/>
    <x v="3"/>
    <x v="1"/>
    <x v="0"/>
    <x v="3"/>
    <x v="2"/>
    <x v="3"/>
    <x v="2"/>
  </r>
  <r>
    <x v="477"/>
    <x v="9"/>
    <x v="9"/>
    <n v="73.2"/>
    <x v="450"/>
    <d v="2025-01-21T00:00:00"/>
    <d v="2025-01-22T00:00:00"/>
    <x v="2"/>
    <x v="1"/>
    <x v="4"/>
    <x v="0"/>
    <x v="3"/>
    <x v="3"/>
    <x v="3"/>
    <x v="2"/>
  </r>
  <r>
    <x v="478"/>
    <x v="15"/>
    <x v="1"/>
    <n v="48.6"/>
    <x v="451"/>
    <d v="2025-01-21T00:00:00"/>
    <d v="2025-01-25T00:00:00"/>
    <x v="2"/>
    <x v="3"/>
    <x v="0"/>
    <x v="0"/>
    <x v="3"/>
    <x v="5"/>
    <x v="3"/>
    <x v="2"/>
  </r>
  <r>
    <x v="479"/>
    <x v="0"/>
    <x v="13"/>
    <n v="48.7"/>
    <x v="452"/>
    <d v="2025-01-21T00:00:00"/>
    <d v="2025-01-22T00:00:00"/>
    <x v="1"/>
    <x v="0"/>
    <x v="0"/>
    <x v="0"/>
    <x v="3"/>
    <x v="3"/>
    <x v="3"/>
    <x v="1"/>
  </r>
  <r>
    <x v="480"/>
    <x v="4"/>
    <x v="1"/>
    <n v="32.200000000000003"/>
    <x v="453"/>
    <d v="2025-01-21T00:00:00"/>
    <d v="2025-01-24T00:00:00"/>
    <x v="1"/>
    <x v="2"/>
    <x v="2"/>
    <x v="0"/>
    <x v="3"/>
    <x v="2"/>
    <x v="3"/>
    <x v="1"/>
  </r>
  <r>
    <x v="481"/>
    <x v="15"/>
    <x v="8"/>
    <n v="25.8"/>
    <x v="454"/>
    <d v="2025-01-21T00:00:00"/>
    <d v="2025-01-22T00:00:00"/>
    <x v="1"/>
    <x v="0"/>
    <x v="0"/>
    <x v="0"/>
    <x v="37"/>
    <x v="3"/>
    <x v="3"/>
    <x v="1"/>
  </r>
  <r>
    <x v="482"/>
    <x v="6"/>
    <x v="1"/>
    <n v="94.8"/>
    <x v="455"/>
    <d v="2025-01-22T00:00:00"/>
    <d v="2025-01-25T00:00:00"/>
    <x v="2"/>
    <x v="1"/>
    <x v="1"/>
    <x v="0"/>
    <x v="25"/>
    <x v="2"/>
    <x v="3"/>
    <x v="2"/>
  </r>
  <r>
    <x v="483"/>
    <x v="15"/>
    <x v="30"/>
    <n v="56.8"/>
    <x v="456"/>
    <d v="2025-01-22T00:00:00"/>
    <d v="2025-01-25T00:00:00"/>
    <x v="1"/>
    <x v="0"/>
    <x v="0"/>
    <x v="0"/>
    <x v="25"/>
    <x v="2"/>
    <x v="3"/>
    <x v="1"/>
  </r>
  <r>
    <x v="484"/>
    <x v="8"/>
    <x v="27"/>
    <n v="18.3"/>
    <x v="457"/>
    <d v="2025-01-22T00:00:00"/>
    <d v="2025-01-29T00:00:00"/>
    <x v="2"/>
    <x v="2"/>
    <x v="2"/>
    <x v="0"/>
    <x v="23"/>
    <x v="6"/>
    <x v="3"/>
    <x v="2"/>
  </r>
  <r>
    <x v="485"/>
    <x v="0"/>
    <x v="2"/>
    <n v="16.8"/>
    <x v="458"/>
    <d v="2025-01-22T00:00:00"/>
    <d v="2025-01-27T00:00:00"/>
    <x v="2"/>
    <x v="2"/>
    <x v="2"/>
    <x v="0"/>
    <x v="8"/>
    <x v="0"/>
    <x v="3"/>
    <x v="2"/>
  </r>
  <r>
    <x v="486"/>
    <x v="5"/>
    <x v="5"/>
    <n v="35.799999999999997"/>
    <x v="459"/>
    <d v="2025-01-22T00:00:00"/>
    <d v="2025-01-23T00:00:00"/>
    <x v="1"/>
    <x v="1"/>
    <x v="0"/>
    <x v="0"/>
    <x v="17"/>
    <x v="3"/>
    <x v="3"/>
    <x v="1"/>
  </r>
  <r>
    <x v="487"/>
    <x v="18"/>
    <x v="0"/>
    <n v="64.900000000000006"/>
    <x v="460"/>
    <d v="2025-01-22T00:00:00"/>
    <d v="2025-01-23T00:00:00"/>
    <x v="1"/>
    <x v="0"/>
    <x v="1"/>
    <x v="0"/>
    <x v="17"/>
    <x v="3"/>
    <x v="3"/>
    <x v="1"/>
  </r>
  <r>
    <x v="488"/>
    <x v="18"/>
    <x v="0"/>
    <n v="28.5"/>
    <x v="425"/>
    <d v="2025-01-22T00:00:00"/>
    <d v="2025-01-24T00:00:00"/>
    <x v="0"/>
    <x v="1"/>
    <x v="0"/>
    <x v="0"/>
    <x v="9"/>
    <x v="1"/>
    <x v="3"/>
    <x v="0"/>
  </r>
  <r>
    <x v="489"/>
    <x v="18"/>
    <x v="1"/>
    <n v="103.5"/>
    <x v="461"/>
    <d v="2025-01-22T00:00:00"/>
    <d v="2025-01-24T00:00:00"/>
    <x v="2"/>
    <x v="1"/>
    <x v="0"/>
    <x v="0"/>
    <x v="10"/>
    <x v="1"/>
    <x v="3"/>
    <x v="2"/>
  </r>
  <r>
    <x v="490"/>
    <x v="4"/>
    <x v="1"/>
    <n v="41.2"/>
    <x v="462"/>
    <d v="2025-01-22T00:00:00"/>
    <d v="2025-01-23T00:00:00"/>
    <x v="2"/>
    <x v="1"/>
    <x v="0"/>
    <x v="0"/>
    <x v="10"/>
    <x v="3"/>
    <x v="3"/>
    <x v="2"/>
  </r>
  <r>
    <x v="491"/>
    <x v="9"/>
    <x v="0"/>
    <n v="37.799999999999997"/>
    <x v="463"/>
    <d v="2025-01-22T00:00:00"/>
    <d v="2025-01-24T00:00:00"/>
    <x v="2"/>
    <x v="3"/>
    <x v="3"/>
    <x v="0"/>
    <x v="11"/>
    <x v="1"/>
    <x v="3"/>
    <x v="2"/>
  </r>
  <r>
    <x v="492"/>
    <x v="8"/>
    <x v="1"/>
    <n v="42.6"/>
    <x v="464"/>
    <d v="2025-01-22T00:00:00"/>
    <d v="2025-01-24T00:00:00"/>
    <x v="2"/>
    <x v="4"/>
    <x v="0"/>
    <x v="0"/>
    <x v="11"/>
    <x v="1"/>
    <x v="3"/>
    <x v="2"/>
  </r>
  <r>
    <x v="493"/>
    <x v="8"/>
    <x v="7"/>
    <n v="15.2"/>
    <x v="465"/>
    <d v="2025-01-22T00:00:00"/>
    <d v="2025-01-24T00:00:00"/>
    <x v="2"/>
    <x v="2"/>
    <x v="0"/>
    <x v="0"/>
    <x v="11"/>
    <x v="1"/>
    <x v="3"/>
    <x v="2"/>
  </r>
  <r>
    <x v="494"/>
    <x v="7"/>
    <x v="12"/>
    <n v="83.4"/>
    <x v="335"/>
    <d v="2025-01-22T00:00:00"/>
    <d v="2025-01-23T00:00:00"/>
    <x v="2"/>
    <x v="2"/>
    <x v="1"/>
    <x v="0"/>
    <x v="18"/>
    <x v="3"/>
    <x v="3"/>
    <x v="2"/>
  </r>
  <r>
    <x v="495"/>
    <x v="19"/>
    <x v="1"/>
    <n v="27.7"/>
    <x v="466"/>
    <d v="2025-01-22T00:00:00"/>
    <d v="2025-01-23T00:00:00"/>
    <x v="2"/>
    <x v="0"/>
    <x v="1"/>
    <x v="0"/>
    <x v="13"/>
    <x v="3"/>
    <x v="3"/>
    <x v="2"/>
  </r>
  <r>
    <x v="496"/>
    <x v="10"/>
    <x v="4"/>
    <n v="20.8"/>
    <x v="467"/>
    <d v="2025-01-22T00:00:00"/>
    <d v="2025-01-23T00:00:00"/>
    <x v="1"/>
    <x v="3"/>
    <x v="0"/>
    <x v="0"/>
    <x v="13"/>
    <x v="3"/>
    <x v="3"/>
    <x v="1"/>
  </r>
  <r>
    <x v="497"/>
    <x v="11"/>
    <x v="1"/>
    <n v="72.7"/>
    <x v="468"/>
    <d v="2025-01-22T00:00:00"/>
    <d v="2025-01-26T00:00:00"/>
    <x v="2"/>
    <x v="4"/>
    <x v="2"/>
    <x v="0"/>
    <x v="44"/>
    <x v="5"/>
    <x v="3"/>
    <x v="2"/>
  </r>
  <r>
    <x v="498"/>
    <x v="10"/>
    <x v="12"/>
    <n v="38.6"/>
    <x v="55"/>
    <d v="2025-01-22T00:00:00"/>
    <d v="2025-01-23T00:00:00"/>
    <x v="1"/>
    <x v="0"/>
    <x v="2"/>
    <x v="0"/>
    <x v="22"/>
    <x v="3"/>
    <x v="3"/>
    <x v="1"/>
  </r>
  <r>
    <x v="499"/>
    <x v="8"/>
    <x v="3"/>
    <n v="33.1"/>
    <x v="217"/>
    <d v="2025-01-22T00:00:00"/>
    <d v="2025-01-23T00:00:00"/>
    <x v="3"/>
    <x v="4"/>
    <x v="3"/>
    <x v="0"/>
    <x v="3"/>
    <x v="3"/>
    <x v="3"/>
    <x v="3"/>
  </r>
  <r>
    <x v="500"/>
    <x v="10"/>
    <x v="1"/>
    <n v="30.5"/>
    <x v="170"/>
    <d v="2025-01-22T00:00:00"/>
    <d v="2025-01-22T00:00:00"/>
    <x v="0"/>
    <x v="1"/>
    <x v="1"/>
    <x v="0"/>
    <x v="3"/>
    <x v="7"/>
    <x v="3"/>
    <x v="0"/>
  </r>
  <r>
    <x v="501"/>
    <x v="9"/>
    <x v="1"/>
    <n v="69.599999999999994"/>
    <x v="388"/>
    <d v="2025-01-22T00:00:00"/>
    <d v="2025-01-23T00:00:00"/>
    <x v="1"/>
    <x v="0"/>
    <x v="1"/>
    <x v="0"/>
    <x v="3"/>
    <x v="3"/>
    <x v="3"/>
    <x v="1"/>
  </r>
  <r>
    <x v="502"/>
    <x v="11"/>
    <x v="0"/>
    <n v="42.4"/>
    <x v="469"/>
    <d v="2025-01-22T00:00:00"/>
    <d v="2025-01-26T00:00:00"/>
    <x v="2"/>
    <x v="1"/>
    <x v="0"/>
    <x v="0"/>
    <x v="3"/>
    <x v="5"/>
    <x v="3"/>
    <x v="2"/>
  </r>
  <r>
    <x v="503"/>
    <x v="17"/>
    <x v="0"/>
    <n v="32.200000000000003"/>
    <x v="390"/>
    <d v="2025-01-22T00:00:00"/>
    <d v="2025-01-25T00:00:00"/>
    <x v="2"/>
    <x v="2"/>
    <x v="1"/>
    <x v="0"/>
    <x v="3"/>
    <x v="2"/>
    <x v="3"/>
    <x v="2"/>
  </r>
  <r>
    <x v="504"/>
    <x v="6"/>
    <x v="1"/>
    <n v="41.5"/>
    <x v="470"/>
    <d v="2025-01-22T00:00:00"/>
    <d v="2025-01-25T00:00:00"/>
    <x v="2"/>
    <x v="0"/>
    <x v="2"/>
    <x v="0"/>
    <x v="3"/>
    <x v="2"/>
    <x v="3"/>
    <x v="2"/>
  </r>
  <r>
    <x v="505"/>
    <x v="16"/>
    <x v="11"/>
    <n v="58.9"/>
    <x v="471"/>
    <d v="2025-01-22T00:00:00"/>
    <d v="2025-01-26T00:00:00"/>
    <x v="2"/>
    <x v="3"/>
    <x v="0"/>
    <x v="0"/>
    <x v="3"/>
    <x v="5"/>
    <x v="3"/>
    <x v="2"/>
  </r>
  <r>
    <x v="506"/>
    <x v="2"/>
    <x v="0"/>
    <n v="57.1"/>
    <x v="472"/>
    <d v="2025-01-22T00:00:00"/>
    <d v="2025-01-25T00:00:00"/>
    <x v="2"/>
    <x v="1"/>
    <x v="0"/>
    <x v="0"/>
    <x v="3"/>
    <x v="2"/>
    <x v="3"/>
    <x v="2"/>
  </r>
  <r>
    <x v="507"/>
    <x v="6"/>
    <x v="0"/>
    <n v="57.2"/>
    <x v="473"/>
    <d v="2025-01-22T00:00:00"/>
    <d v="2025-01-24T00:00:00"/>
    <x v="1"/>
    <x v="1"/>
    <x v="0"/>
    <x v="0"/>
    <x v="3"/>
    <x v="1"/>
    <x v="3"/>
    <x v="1"/>
  </r>
  <r>
    <x v="508"/>
    <x v="8"/>
    <x v="1"/>
    <n v="35.1"/>
    <x v="474"/>
    <d v="2025-01-22T00:00:00"/>
    <d v="2025-01-23T00:00:00"/>
    <x v="1"/>
    <x v="1"/>
    <x v="0"/>
    <x v="0"/>
    <x v="6"/>
    <x v="3"/>
    <x v="3"/>
    <x v="1"/>
  </r>
  <r>
    <x v="509"/>
    <x v="1"/>
    <x v="0"/>
    <n v="52.1"/>
    <x v="475"/>
    <d v="2025-01-22T00:00:00"/>
    <d v="2025-01-24T00:00:00"/>
    <x v="2"/>
    <x v="4"/>
    <x v="1"/>
    <x v="0"/>
    <x v="8"/>
    <x v="1"/>
    <x v="3"/>
    <x v="2"/>
  </r>
  <r>
    <x v="510"/>
    <x v="13"/>
    <x v="2"/>
    <n v="59.8"/>
    <x v="476"/>
    <d v="2025-01-22T00:00:00"/>
    <d v="2025-01-24T00:00:00"/>
    <x v="2"/>
    <x v="4"/>
    <x v="1"/>
    <x v="0"/>
    <x v="8"/>
    <x v="1"/>
    <x v="3"/>
    <x v="2"/>
  </r>
  <r>
    <x v="511"/>
    <x v="3"/>
    <x v="12"/>
    <n v="83.3"/>
    <x v="477"/>
    <d v="2025-01-22T00:00:00"/>
    <d v="2025-01-22T00:00:00"/>
    <x v="0"/>
    <x v="2"/>
    <x v="0"/>
    <x v="0"/>
    <x v="8"/>
    <x v="7"/>
    <x v="3"/>
    <x v="0"/>
  </r>
  <r>
    <x v="512"/>
    <x v="15"/>
    <x v="4"/>
    <n v="41.3"/>
    <x v="478"/>
    <d v="2025-01-22T00:00:00"/>
    <d v="2025-01-23T00:00:00"/>
    <x v="2"/>
    <x v="1"/>
    <x v="0"/>
    <x v="0"/>
    <x v="8"/>
    <x v="3"/>
    <x v="3"/>
    <x v="2"/>
  </r>
  <r>
    <x v="513"/>
    <x v="8"/>
    <x v="9"/>
    <n v="16"/>
    <x v="479"/>
    <d v="2025-01-22T00:00:00"/>
    <d v="2025-01-24T00:00:00"/>
    <x v="1"/>
    <x v="4"/>
    <x v="1"/>
    <x v="0"/>
    <x v="9"/>
    <x v="1"/>
    <x v="3"/>
    <x v="1"/>
  </r>
  <r>
    <x v="514"/>
    <x v="10"/>
    <x v="1"/>
    <n v="20.8"/>
    <x v="480"/>
    <d v="2025-01-23T00:00:00"/>
    <d v="2025-01-25T00:00:00"/>
    <x v="1"/>
    <x v="0"/>
    <x v="2"/>
    <x v="0"/>
    <x v="11"/>
    <x v="1"/>
    <x v="3"/>
    <x v="1"/>
  </r>
  <r>
    <x v="515"/>
    <x v="8"/>
    <x v="31"/>
    <n v="27.1"/>
    <x v="481"/>
    <d v="2025-01-23T00:00:00"/>
    <d v="2025-01-24T00:00:00"/>
    <x v="0"/>
    <x v="3"/>
    <x v="2"/>
    <x v="0"/>
    <x v="11"/>
    <x v="3"/>
    <x v="3"/>
    <x v="0"/>
  </r>
  <r>
    <x v="516"/>
    <x v="10"/>
    <x v="1"/>
    <n v="38.9"/>
    <x v="482"/>
    <d v="2025-01-23T00:00:00"/>
    <d v="2025-01-25T00:00:00"/>
    <x v="2"/>
    <x v="0"/>
    <x v="0"/>
    <x v="0"/>
    <x v="18"/>
    <x v="1"/>
    <x v="3"/>
    <x v="2"/>
  </r>
  <r>
    <x v="517"/>
    <x v="0"/>
    <x v="1"/>
    <n v="10.8"/>
    <x v="483"/>
    <d v="2025-01-23T00:00:00"/>
    <d v="2025-01-26T00:00:00"/>
    <x v="2"/>
    <x v="1"/>
    <x v="2"/>
    <x v="0"/>
    <x v="45"/>
    <x v="2"/>
    <x v="3"/>
    <x v="2"/>
  </r>
  <r>
    <x v="518"/>
    <x v="4"/>
    <x v="15"/>
    <n v="48.4"/>
    <x v="484"/>
    <d v="2025-01-23T00:00:00"/>
    <d v="2025-01-27T00:00:00"/>
    <x v="2"/>
    <x v="0"/>
    <x v="0"/>
    <x v="0"/>
    <x v="21"/>
    <x v="5"/>
    <x v="3"/>
    <x v="2"/>
  </r>
  <r>
    <x v="519"/>
    <x v="4"/>
    <x v="2"/>
    <n v="29.2"/>
    <x v="485"/>
    <d v="2025-01-23T00:00:00"/>
    <d v="2025-01-26T00:00:00"/>
    <x v="2"/>
    <x v="1"/>
    <x v="1"/>
    <x v="0"/>
    <x v="2"/>
    <x v="2"/>
    <x v="3"/>
    <x v="2"/>
  </r>
  <r>
    <x v="520"/>
    <x v="4"/>
    <x v="1"/>
    <n v="25.1"/>
    <x v="486"/>
    <d v="2025-01-23T00:00:00"/>
    <d v="2025-01-24T00:00:00"/>
    <x v="1"/>
    <x v="0"/>
    <x v="1"/>
    <x v="0"/>
    <x v="2"/>
    <x v="3"/>
    <x v="3"/>
    <x v="1"/>
  </r>
  <r>
    <x v="521"/>
    <x v="7"/>
    <x v="2"/>
    <n v="65.599999999999994"/>
    <x v="487"/>
    <d v="2025-01-23T00:00:00"/>
    <d v="2025-01-23T00:00:00"/>
    <x v="2"/>
    <x v="2"/>
    <x v="1"/>
    <x v="0"/>
    <x v="3"/>
    <x v="7"/>
    <x v="3"/>
    <x v="2"/>
  </r>
  <r>
    <x v="522"/>
    <x v="2"/>
    <x v="1"/>
    <n v="57.3"/>
    <x v="488"/>
    <d v="2025-01-23T00:00:00"/>
    <d v="2025-01-23T00:00:00"/>
    <x v="0"/>
    <x v="0"/>
    <x v="0"/>
    <x v="0"/>
    <x v="3"/>
    <x v="7"/>
    <x v="3"/>
    <x v="0"/>
  </r>
  <r>
    <x v="523"/>
    <x v="9"/>
    <x v="12"/>
    <n v="22.4"/>
    <x v="70"/>
    <d v="2025-01-23T00:00:00"/>
    <d v="2025-01-24T00:00:00"/>
    <x v="2"/>
    <x v="2"/>
    <x v="2"/>
    <x v="0"/>
    <x v="3"/>
    <x v="3"/>
    <x v="3"/>
    <x v="2"/>
  </r>
  <r>
    <x v="524"/>
    <x v="12"/>
    <x v="11"/>
    <n v="45.7"/>
    <x v="489"/>
    <d v="2025-01-23T00:00:00"/>
    <d v="2025-01-24T00:00:00"/>
    <x v="2"/>
    <x v="0"/>
    <x v="0"/>
    <x v="0"/>
    <x v="3"/>
    <x v="3"/>
    <x v="3"/>
    <x v="2"/>
  </r>
  <r>
    <x v="525"/>
    <x v="8"/>
    <x v="1"/>
    <n v="29.3"/>
    <x v="150"/>
    <d v="2025-01-23T00:00:00"/>
    <d v="2025-01-24T00:00:00"/>
    <x v="1"/>
    <x v="1"/>
    <x v="0"/>
    <x v="0"/>
    <x v="3"/>
    <x v="3"/>
    <x v="3"/>
    <x v="1"/>
  </r>
  <r>
    <x v="526"/>
    <x v="18"/>
    <x v="32"/>
    <n v="74"/>
    <x v="490"/>
    <d v="2025-01-23T00:00:00"/>
    <d v="2025-01-24T00:00:00"/>
    <x v="1"/>
    <x v="0"/>
    <x v="2"/>
    <x v="0"/>
    <x v="3"/>
    <x v="3"/>
    <x v="3"/>
    <x v="1"/>
  </r>
  <r>
    <x v="527"/>
    <x v="14"/>
    <x v="1"/>
    <n v="39.200000000000003"/>
    <x v="491"/>
    <d v="2025-01-23T00:00:00"/>
    <d v="2025-01-25T00:00:00"/>
    <x v="2"/>
    <x v="1"/>
    <x v="0"/>
    <x v="0"/>
    <x v="3"/>
    <x v="1"/>
    <x v="3"/>
    <x v="2"/>
  </r>
  <r>
    <x v="528"/>
    <x v="4"/>
    <x v="14"/>
    <n v="62.7"/>
    <x v="492"/>
    <d v="2025-01-23T00:00:00"/>
    <d v="2025-01-24T00:00:00"/>
    <x v="2"/>
    <x v="2"/>
    <x v="1"/>
    <x v="0"/>
    <x v="3"/>
    <x v="3"/>
    <x v="3"/>
    <x v="2"/>
  </r>
  <r>
    <x v="529"/>
    <x v="10"/>
    <x v="1"/>
    <n v="60.1"/>
    <x v="493"/>
    <d v="2025-01-23T00:00:00"/>
    <d v="2025-01-24T00:00:00"/>
    <x v="2"/>
    <x v="3"/>
    <x v="0"/>
    <x v="0"/>
    <x v="3"/>
    <x v="3"/>
    <x v="3"/>
    <x v="2"/>
  </r>
  <r>
    <x v="530"/>
    <x v="0"/>
    <x v="12"/>
    <n v="11.2"/>
    <x v="438"/>
    <d v="2025-01-23T00:00:00"/>
    <d v="2025-01-24T00:00:00"/>
    <x v="2"/>
    <x v="3"/>
    <x v="1"/>
    <x v="0"/>
    <x v="3"/>
    <x v="3"/>
    <x v="3"/>
    <x v="2"/>
  </r>
  <r>
    <x v="531"/>
    <x v="8"/>
    <x v="1"/>
    <n v="22.9"/>
    <x v="494"/>
    <d v="2025-01-23T00:00:00"/>
    <d v="2025-01-24T00:00:00"/>
    <x v="2"/>
    <x v="0"/>
    <x v="0"/>
    <x v="0"/>
    <x v="6"/>
    <x v="3"/>
    <x v="3"/>
    <x v="2"/>
  </r>
  <r>
    <x v="532"/>
    <x v="1"/>
    <x v="1"/>
    <n v="37.6"/>
    <x v="495"/>
    <d v="2025-01-23T00:00:00"/>
    <d v="2025-01-26T00:00:00"/>
    <x v="2"/>
    <x v="0"/>
    <x v="0"/>
    <x v="0"/>
    <x v="6"/>
    <x v="2"/>
    <x v="3"/>
    <x v="2"/>
  </r>
  <r>
    <x v="533"/>
    <x v="6"/>
    <x v="0"/>
    <n v="42.4"/>
    <x v="469"/>
    <d v="2025-01-23T00:00:00"/>
    <d v="2025-01-24T00:00:00"/>
    <x v="2"/>
    <x v="3"/>
    <x v="2"/>
    <x v="0"/>
    <x v="6"/>
    <x v="3"/>
    <x v="3"/>
    <x v="2"/>
  </r>
  <r>
    <x v="534"/>
    <x v="8"/>
    <x v="1"/>
    <n v="19.600000000000001"/>
    <x v="496"/>
    <d v="2025-01-23T00:00:00"/>
    <d v="2025-01-27T00:00:00"/>
    <x v="2"/>
    <x v="2"/>
    <x v="0"/>
    <x v="0"/>
    <x v="7"/>
    <x v="5"/>
    <x v="3"/>
    <x v="2"/>
  </r>
  <r>
    <x v="535"/>
    <x v="9"/>
    <x v="0"/>
    <n v="90.5"/>
    <x v="497"/>
    <d v="2025-01-23T00:00:00"/>
    <d v="2025-01-26T00:00:00"/>
    <x v="2"/>
    <x v="2"/>
    <x v="0"/>
    <x v="0"/>
    <x v="7"/>
    <x v="2"/>
    <x v="3"/>
    <x v="2"/>
  </r>
  <r>
    <x v="536"/>
    <x v="16"/>
    <x v="5"/>
    <n v="33.9"/>
    <x v="498"/>
    <d v="2025-01-23T00:00:00"/>
    <d v="2025-01-24T00:00:00"/>
    <x v="1"/>
    <x v="2"/>
    <x v="1"/>
    <x v="0"/>
    <x v="7"/>
    <x v="3"/>
    <x v="3"/>
    <x v="1"/>
  </r>
  <r>
    <x v="537"/>
    <x v="0"/>
    <x v="1"/>
    <n v="32.799999999999997"/>
    <x v="499"/>
    <d v="2025-01-23T00:00:00"/>
    <d v="2025-01-25T00:00:00"/>
    <x v="2"/>
    <x v="4"/>
    <x v="4"/>
    <x v="0"/>
    <x v="8"/>
    <x v="1"/>
    <x v="3"/>
    <x v="2"/>
  </r>
  <r>
    <x v="538"/>
    <x v="15"/>
    <x v="0"/>
    <n v="49.9"/>
    <x v="500"/>
    <d v="2025-01-23T00:00:00"/>
    <d v="2025-01-24T00:00:00"/>
    <x v="1"/>
    <x v="3"/>
    <x v="1"/>
    <x v="0"/>
    <x v="8"/>
    <x v="3"/>
    <x v="3"/>
    <x v="1"/>
  </r>
  <r>
    <x v="539"/>
    <x v="7"/>
    <x v="9"/>
    <n v="79.2"/>
    <x v="501"/>
    <d v="2025-01-23T00:00:00"/>
    <d v="2025-01-24T00:00:00"/>
    <x v="2"/>
    <x v="4"/>
    <x v="0"/>
    <x v="0"/>
    <x v="8"/>
    <x v="3"/>
    <x v="3"/>
    <x v="2"/>
  </r>
  <r>
    <x v="540"/>
    <x v="8"/>
    <x v="27"/>
    <n v="19.5"/>
    <x v="502"/>
    <d v="2025-01-23T00:00:00"/>
    <d v="2025-01-25T00:00:00"/>
    <x v="1"/>
    <x v="3"/>
    <x v="2"/>
    <x v="0"/>
    <x v="8"/>
    <x v="1"/>
    <x v="3"/>
    <x v="1"/>
  </r>
  <r>
    <x v="541"/>
    <x v="8"/>
    <x v="12"/>
    <n v="18"/>
    <x v="503"/>
    <d v="2025-01-23T00:00:00"/>
    <d v="2025-01-24T00:00:00"/>
    <x v="1"/>
    <x v="1"/>
    <x v="0"/>
    <x v="0"/>
    <x v="10"/>
    <x v="3"/>
    <x v="3"/>
    <x v="1"/>
  </r>
  <r>
    <x v="542"/>
    <x v="9"/>
    <x v="2"/>
    <n v="45.9"/>
    <x v="223"/>
    <d v="2025-01-23T00:00:00"/>
    <d v="2025-01-25T00:00:00"/>
    <x v="2"/>
    <x v="1"/>
    <x v="1"/>
    <x v="0"/>
    <x v="10"/>
    <x v="1"/>
    <x v="3"/>
    <x v="2"/>
  </r>
  <r>
    <x v="543"/>
    <x v="11"/>
    <x v="0"/>
    <n v="41.2"/>
    <x v="504"/>
    <d v="2025-01-23T00:00:00"/>
    <d v="2025-01-25T00:00:00"/>
    <x v="2"/>
    <x v="1"/>
    <x v="2"/>
    <x v="0"/>
    <x v="11"/>
    <x v="1"/>
    <x v="3"/>
    <x v="2"/>
  </r>
  <r>
    <x v="544"/>
    <x v="2"/>
    <x v="7"/>
    <n v="167.2"/>
    <x v="505"/>
    <d v="2025-01-23T00:00:00"/>
    <d v="2025-01-25T00:00:00"/>
    <x v="2"/>
    <x v="2"/>
    <x v="2"/>
    <x v="0"/>
    <x v="32"/>
    <x v="1"/>
    <x v="3"/>
    <x v="2"/>
  </r>
  <r>
    <x v="545"/>
    <x v="6"/>
    <x v="17"/>
    <n v="74.5"/>
    <x v="506"/>
    <d v="2025-01-24T00:00:00"/>
    <d v="2025-01-27T00:00:00"/>
    <x v="2"/>
    <x v="1"/>
    <x v="2"/>
    <x v="0"/>
    <x v="38"/>
    <x v="2"/>
    <x v="3"/>
    <x v="2"/>
  </r>
  <r>
    <x v="546"/>
    <x v="7"/>
    <x v="12"/>
    <n v="39.299999999999997"/>
    <x v="507"/>
    <d v="2025-01-24T00:00:00"/>
    <d v="2025-01-25T00:00:00"/>
    <x v="0"/>
    <x v="2"/>
    <x v="0"/>
    <x v="0"/>
    <x v="19"/>
    <x v="3"/>
    <x v="3"/>
    <x v="0"/>
  </r>
  <r>
    <x v="547"/>
    <x v="9"/>
    <x v="0"/>
    <n v="68.5"/>
    <x v="508"/>
    <d v="2025-01-24T00:00:00"/>
    <d v="2025-01-27T00:00:00"/>
    <x v="1"/>
    <x v="1"/>
    <x v="2"/>
    <x v="0"/>
    <x v="12"/>
    <x v="2"/>
    <x v="3"/>
    <x v="1"/>
  </r>
  <r>
    <x v="548"/>
    <x v="0"/>
    <x v="2"/>
    <n v="22.5"/>
    <x v="509"/>
    <d v="2025-01-24T00:00:00"/>
    <d v="2025-01-24T00:00:00"/>
    <x v="2"/>
    <x v="4"/>
    <x v="0"/>
    <x v="0"/>
    <x v="13"/>
    <x v="7"/>
    <x v="3"/>
    <x v="2"/>
  </r>
  <r>
    <x v="549"/>
    <x v="1"/>
    <x v="0"/>
    <n v="48"/>
    <x v="510"/>
    <d v="2025-01-24T00:00:00"/>
    <d v="2025-01-25T00:00:00"/>
    <x v="3"/>
    <x v="4"/>
    <x v="1"/>
    <x v="0"/>
    <x v="46"/>
    <x v="3"/>
    <x v="3"/>
    <x v="3"/>
  </r>
  <r>
    <x v="550"/>
    <x v="6"/>
    <x v="0"/>
    <n v="94"/>
    <x v="255"/>
    <d v="2025-01-24T00:00:00"/>
    <d v="2025-01-25T00:00:00"/>
    <x v="1"/>
    <x v="3"/>
    <x v="1"/>
    <x v="0"/>
    <x v="1"/>
    <x v="3"/>
    <x v="3"/>
    <x v="1"/>
  </r>
  <r>
    <x v="551"/>
    <x v="8"/>
    <x v="2"/>
    <n v="21.9"/>
    <x v="511"/>
    <d v="2025-01-24T00:00:00"/>
    <d v="2025-01-25T00:00:00"/>
    <x v="2"/>
    <x v="0"/>
    <x v="0"/>
    <x v="0"/>
    <x v="44"/>
    <x v="3"/>
    <x v="3"/>
    <x v="2"/>
  </r>
  <r>
    <x v="552"/>
    <x v="6"/>
    <x v="3"/>
    <n v="64.900000000000006"/>
    <x v="512"/>
    <d v="2025-01-24T00:00:00"/>
    <d v="2025-01-25T00:00:00"/>
    <x v="2"/>
    <x v="0"/>
    <x v="0"/>
    <x v="0"/>
    <x v="3"/>
    <x v="3"/>
    <x v="3"/>
    <x v="2"/>
  </r>
  <r>
    <x v="553"/>
    <x v="12"/>
    <x v="0"/>
    <n v="52.9"/>
    <x v="513"/>
    <d v="2025-01-24T00:00:00"/>
    <d v="2025-01-24T00:00:00"/>
    <x v="2"/>
    <x v="1"/>
    <x v="1"/>
    <x v="0"/>
    <x v="3"/>
    <x v="7"/>
    <x v="3"/>
    <x v="2"/>
  </r>
  <r>
    <x v="554"/>
    <x v="8"/>
    <x v="2"/>
    <n v="25.5"/>
    <x v="514"/>
    <d v="2025-01-24T00:00:00"/>
    <d v="2025-01-25T00:00:00"/>
    <x v="2"/>
    <x v="1"/>
    <x v="2"/>
    <x v="0"/>
    <x v="3"/>
    <x v="3"/>
    <x v="3"/>
    <x v="2"/>
  </r>
  <r>
    <x v="555"/>
    <x v="6"/>
    <x v="2"/>
    <n v="51.9"/>
    <x v="515"/>
    <d v="2025-01-24T00:00:00"/>
    <d v="2025-01-25T00:00:00"/>
    <x v="2"/>
    <x v="3"/>
    <x v="0"/>
    <x v="0"/>
    <x v="3"/>
    <x v="3"/>
    <x v="3"/>
    <x v="2"/>
  </r>
  <r>
    <x v="556"/>
    <x v="5"/>
    <x v="0"/>
    <n v="46.3"/>
    <x v="516"/>
    <d v="2025-01-24T00:00:00"/>
    <d v="2025-01-27T00:00:00"/>
    <x v="2"/>
    <x v="4"/>
    <x v="0"/>
    <x v="0"/>
    <x v="3"/>
    <x v="2"/>
    <x v="3"/>
    <x v="2"/>
  </r>
  <r>
    <x v="557"/>
    <x v="6"/>
    <x v="1"/>
    <n v="68.2"/>
    <x v="517"/>
    <d v="2025-01-24T00:00:00"/>
    <d v="2025-01-26T00:00:00"/>
    <x v="2"/>
    <x v="3"/>
    <x v="0"/>
    <x v="0"/>
    <x v="3"/>
    <x v="1"/>
    <x v="3"/>
    <x v="2"/>
  </r>
  <r>
    <x v="558"/>
    <x v="1"/>
    <x v="0"/>
    <n v="40.299999999999997"/>
    <x v="518"/>
    <d v="2025-01-24T00:00:00"/>
    <d v="2025-01-25T00:00:00"/>
    <x v="1"/>
    <x v="0"/>
    <x v="1"/>
    <x v="0"/>
    <x v="3"/>
    <x v="3"/>
    <x v="3"/>
    <x v="1"/>
  </r>
  <r>
    <x v="559"/>
    <x v="2"/>
    <x v="2"/>
    <n v="91.3"/>
    <x v="54"/>
    <d v="2025-01-24T00:00:00"/>
    <d v="2025-01-29T00:00:00"/>
    <x v="1"/>
    <x v="0"/>
    <x v="2"/>
    <x v="0"/>
    <x v="6"/>
    <x v="0"/>
    <x v="3"/>
    <x v="1"/>
  </r>
  <r>
    <x v="560"/>
    <x v="0"/>
    <x v="2"/>
    <n v="11.9"/>
    <x v="519"/>
    <d v="2025-01-24T00:00:00"/>
    <d v="2025-01-25T00:00:00"/>
    <x v="2"/>
    <x v="0"/>
    <x v="1"/>
    <x v="0"/>
    <x v="6"/>
    <x v="3"/>
    <x v="3"/>
    <x v="2"/>
  </r>
  <r>
    <x v="561"/>
    <x v="2"/>
    <x v="1"/>
    <n v="63.5"/>
    <x v="520"/>
    <d v="2025-01-24T00:00:00"/>
    <d v="2025-01-26T00:00:00"/>
    <x v="1"/>
    <x v="1"/>
    <x v="0"/>
    <x v="0"/>
    <x v="6"/>
    <x v="1"/>
    <x v="3"/>
    <x v="1"/>
  </r>
  <r>
    <x v="562"/>
    <x v="4"/>
    <x v="1"/>
    <n v="27.1"/>
    <x v="521"/>
    <d v="2025-01-24T00:00:00"/>
    <d v="2025-01-27T00:00:00"/>
    <x v="1"/>
    <x v="2"/>
    <x v="2"/>
    <x v="0"/>
    <x v="6"/>
    <x v="2"/>
    <x v="3"/>
    <x v="1"/>
  </r>
  <r>
    <x v="563"/>
    <x v="1"/>
    <x v="1"/>
    <n v="82.1"/>
    <x v="522"/>
    <d v="2025-01-25T00:00:00"/>
    <d v="2025-01-28T00:00:00"/>
    <x v="1"/>
    <x v="1"/>
    <x v="1"/>
    <x v="0"/>
    <x v="7"/>
    <x v="2"/>
    <x v="3"/>
    <x v="1"/>
  </r>
  <r>
    <x v="564"/>
    <x v="3"/>
    <x v="9"/>
    <n v="42.9"/>
    <x v="523"/>
    <d v="2025-01-25T00:00:00"/>
    <d v="2025-01-27T00:00:00"/>
    <x v="2"/>
    <x v="1"/>
    <x v="0"/>
    <x v="0"/>
    <x v="8"/>
    <x v="1"/>
    <x v="3"/>
    <x v="2"/>
  </r>
  <r>
    <x v="565"/>
    <x v="8"/>
    <x v="5"/>
    <n v="37.9"/>
    <x v="524"/>
    <d v="2025-01-25T00:00:00"/>
    <d v="2025-02-01T00:00:00"/>
    <x v="1"/>
    <x v="0"/>
    <x v="0"/>
    <x v="0"/>
    <x v="8"/>
    <x v="6"/>
    <x v="3"/>
    <x v="1"/>
  </r>
  <r>
    <x v="566"/>
    <x v="0"/>
    <x v="0"/>
    <n v="22.4"/>
    <x v="525"/>
    <d v="2025-01-25T00:00:00"/>
    <d v="2025-01-26T00:00:00"/>
    <x v="2"/>
    <x v="0"/>
    <x v="1"/>
    <x v="0"/>
    <x v="17"/>
    <x v="3"/>
    <x v="3"/>
    <x v="2"/>
  </r>
  <r>
    <x v="567"/>
    <x v="2"/>
    <x v="15"/>
    <n v="79.900000000000006"/>
    <x v="526"/>
    <d v="2025-01-25T00:00:00"/>
    <d v="2025-02-07T00:00:00"/>
    <x v="2"/>
    <x v="3"/>
    <x v="1"/>
    <x v="0"/>
    <x v="11"/>
    <x v="10"/>
    <x v="3"/>
    <x v="2"/>
  </r>
  <r>
    <x v="568"/>
    <x v="1"/>
    <x v="0"/>
    <n v="70.599999999999994"/>
    <x v="527"/>
    <d v="2025-01-25T00:00:00"/>
    <d v="2025-01-28T00:00:00"/>
    <x v="2"/>
    <x v="0"/>
    <x v="1"/>
    <x v="0"/>
    <x v="11"/>
    <x v="2"/>
    <x v="3"/>
    <x v="2"/>
  </r>
  <r>
    <x v="569"/>
    <x v="6"/>
    <x v="0"/>
    <n v="49.5"/>
    <x v="528"/>
    <d v="2025-01-25T00:00:00"/>
    <d v="2025-01-27T00:00:00"/>
    <x v="1"/>
    <x v="0"/>
    <x v="0"/>
    <x v="0"/>
    <x v="13"/>
    <x v="1"/>
    <x v="3"/>
    <x v="1"/>
  </r>
  <r>
    <x v="570"/>
    <x v="2"/>
    <x v="1"/>
    <n v="96.6"/>
    <x v="529"/>
    <d v="2025-01-25T00:00:00"/>
    <d v="2025-01-27T00:00:00"/>
    <x v="1"/>
    <x v="0"/>
    <x v="0"/>
    <x v="0"/>
    <x v="21"/>
    <x v="1"/>
    <x v="3"/>
    <x v="1"/>
  </r>
  <r>
    <x v="571"/>
    <x v="6"/>
    <x v="1"/>
    <n v="52.8"/>
    <x v="142"/>
    <d v="2025-01-25T00:00:00"/>
    <d v="2025-01-26T00:00:00"/>
    <x v="2"/>
    <x v="1"/>
    <x v="1"/>
    <x v="0"/>
    <x v="21"/>
    <x v="3"/>
    <x v="3"/>
    <x v="2"/>
  </r>
  <r>
    <x v="572"/>
    <x v="2"/>
    <x v="0"/>
    <n v="101.7"/>
    <x v="530"/>
    <d v="2025-01-25T00:00:00"/>
    <d v="2025-01-26T00:00:00"/>
    <x v="1"/>
    <x v="0"/>
    <x v="0"/>
    <x v="0"/>
    <x v="1"/>
    <x v="3"/>
    <x v="3"/>
    <x v="1"/>
  </r>
  <r>
    <x v="573"/>
    <x v="4"/>
    <x v="9"/>
    <n v="26.9"/>
    <x v="531"/>
    <d v="2025-01-25T00:00:00"/>
    <d v="2025-01-30T00:00:00"/>
    <x v="2"/>
    <x v="1"/>
    <x v="1"/>
    <x v="0"/>
    <x v="22"/>
    <x v="0"/>
    <x v="3"/>
    <x v="2"/>
  </r>
  <r>
    <x v="574"/>
    <x v="2"/>
    <x v="12"/>
    <n v="211"/>
    <x v="532"/>
    <d v="2025-01-25T00:00:00"/>
    <d v="2025-01-25T00:00:00"/>
    <x v="2"/>
    <x v="1"/>
    <x v="1"/>
    <x v="0"/>
    <x v="3"/>
    <x v="7"/>
    <x v="3"/>
    <x v="2"/>
  </r>
  <r>
    <x v="575"/>
    <x v="0"/>
    <x v="12"/>
    <n v="21.1"/>
    <x v="533"/>
    <d v="2025-01-25T00:00:00"/>
    <d v="2025-01-28T00:00:00"/>
    <x v="1"/>
    <x v="4"/>
    <x v="0"/>
    <x v="0"/>
    <x v="3"/>
    <x v="2"/>
    <x v="3"/>
    <x v="1"/>
  </r>
  <r>
    <x v="576"/>
    <x v="10"/>
    <x v="0"/>
    <n v="26.6"/>
    <x v="534"/>
    <d v="2025-01-25T00:00:00"/>
    <d v="2025-01-27T00:00:00"/>
    <x v="1"/>
    <x v="0"/>
    <x v="4"/>
    <x v="0"/>
    <x v="3"/>
    <x v="1"/>
    <x v="3"/>
    <x v="1"/>
  </r>
  <r>
    <x v="577"/>
    <x v="12"/>
    <x v="12"/>
    <n v="51.2"/>
    <x v="403"/>
    <d v="2025-01-25T00:00:00"/>
    <d v="2025-01-26T00:00:00"/>
    <x v="2"/>
    <x v="3"/>
    <x v="0"/>
    <x v="0"/>
    <x v="47"/>
    <x v="3"/>
    <x v="3"/>
    <x v="2"/>
  </r>
  <r>
    <x v="578"/>
    <x v="0"/>
    <x v="9"/>
    <n v="10.6"/>
    <x v="535"/>
    <d v="2025-01-25T00:00:00"/>
    <d v="2025-01-29T00:00:00"/>
    <x v="2"/>
    <x v="0"/>
    <x v="0"/>
    <x v="0"/>
    <x v="8"/>
    <x v="5"/>
    <x v="3"/>
    <x v="2"/>
  </r>
  <r>
    <x v="579"/>
    <x v="6"/>
    <x v="2"/>
    <n v="43.4"/>
    <x v="33"/>
    <d v="2025-01-25T00:00:00"/>
    <d v="2025-01-28T00:00:00"/>
    <x v="2"/>
    <x v="4"/>
    <x v="0"/>
    <x v="0"/>
    <x v="8"/>
    <x v="2"/>
    <x v="3"/>
    <x v="2"/>
  </r>
  <r>
    <x v="580"/>
    <x v="12"/>
    <x v="0"/>
    <n v="80"/>
    <x v="479"/>
    <d v="2025-01-25T00:00:00"/>
    <d v="2025-01-25T00:00:00"/>
    <x v="2"/>
    <x v="0"/>
    <x v="2"/>
    <x v="0"/>
    <x v="8"/>
    <x v="7"/>
    <x v="3"/>
    <x v="2"/>
  </r>
  <r>
    <x v="581"/>
    <x v="10"/>
    <x v="12"/>
    <n v="64.7"/>
    <x v="536"/>
    <d v="2025-01-25T00:00:00"/>
    <d v="2025-01-27T00:00:00"/>
    <x v="2"/>
    <x v="1"/>
    <x v="4"/>
    <x v="0"/>
    <x v="8"/>
    <x v="1"/>
    <x v="3"/>
    <x v="2"/>
  </r>
  <r>
    <x v="582"/>
    <x v="8"/>
    <x v="5"/>
    <n v="26.3"/>
    <x v="537"/>
    <d v="2025-01-26T00:00:00"/>
    <d v="2025-01-26T00:00:00"/>
    <x v="2"/>
    <x v="4"/>
    <x v="1"/>
    <x v="0"/>
    <x v="26"/>
    <x v="7"/>
    <x v="4"/>
    <x v="2"/>
  </r>
  <r>
    <x v="583"/>
    <x v="10"/>
    <x v="0"/>
    <n v="28.5"/>
    <x v="425"/>
    <d v="2025-01-26T00:00:00"/>
    <d v="2025-01-26T00:00:00"/>
    <x v="1"/>
    <x v="0"/>
    <x v="1"/>
    <x v="0"/>
    <x v="9"/>
    <x v="7"/>
    <x v="4"/>
    <x v="1"/>
  </r>
  <r>
    <x v="584"/>
    <x v="17"/>
    <x v="0"/>
    <n v="47.8"/>
    <x v="538"/>
    <d v="2025-01-26T00:00:00"/>
    <d v="2025-01-28T00:00:00"/>
    <x v="2"/>
    <x v="0"/>
    <x v="1"/>
    <x v="0"/>
    <x v="9"/>
    <x v="1"/>
    <x v="4"/>
    <x v="2"/>
  </r>
  <r>
    <x v="585"/>
    <x v="10"/>
    <x v="2"/>
    <n v="42.8"/>
    <x v="539"/>
    <d v="2025-01-26T00:00:00"/>
    <d v="2025-01-29T00:00:00"/>
    <x v="2"/>
    <x v="4"/>
    <x v="1"/>
    <x v="0"/>
    <x v="11"/>
    <x v="2"/>
    <x v="4"/>
    <x v="2"/>
  </r>
  <r>
    <x v="586"/>
    <x v="6"/>
    <x v="9"/>
    <n v="46.8"/>
    <x v="540"/>
    <d v="2025-01-26T00:00:00"/>
    <d v="2025-01-31T00:00:00"/>
    <x v="2"/>
    <x v="1"/>
    <x v="2"/>
    <x v="0"/>
    <x v="11"/>
    <x v="0"/>
    <x v="4"/>
    <x v="2"/>
  </r>
  <r>
    <x v="587"/>
    <x v="1"/>
    <x v="7"/>
    <n v="64.099999999999994"/>
    <x v="541"/>
    <d v="2025-01-26T00:00:00"/>
    <d v="2025-01-27T00:00:00"/>
    <x v="1"/>
    <x v="1"/>
    <x v="0"/>
    <x v="0"/>
    <x v="11"/>
    <x v="3"/>
    <x v="4"/>
    <x v="1"/>
  </r>
  <r>
    <x v="588"/>
    <x v="2"/>
    <x v="0"/>
    <n v="89.1"/>
    <x v="542"/>
    <d v="2025-01-26T00:00:00"/>
    <d v="2025-01-27T00:00:00"/>
    <x v="2"/>
    <x v="0"/>
    <x v="1"/>
    <x v="0"/>
    <x v="20"/>
    <x v="3"/>
    <x v="4"/>
    <x v="2"/>
  </r>
  <r>
    <x v="589"/>
    <x v="2"/>
    <x v="2"/>
    <n v="83.1"/>
    <x v="543"/>
    <d v="2025-01-26T00:00:00"/>
    <d v="2025-01-27T00:00:00"/>
    <x v="2"/>
    <x v="2"/>
    <x v="1"/>
    <x v="0"/>
    <x v="13"/>
    <x v="3"/>
    <x v="4"/>
    <x v="2"/>
  </r>
  <r>
    <x v="590"/>
    <x v="8"/>
    <x v="2"/>
    <n v="40.9"/>
    <x v="544"/>
    <d v="2025-01-26T00:00:00"/>
    <d v="2025-01-27T00:00:00"/>
    <x v="1"/>
    <x v="0"/>
    <x v="0"/>
    <x v="0"/>
    <x v="1"/>
    <x v="3"/>
    <x v="4"/>
    <x v="1"/>
  </r>
  <r>
    <x v="591"/>
    <x v="2"/>
    <x v="1"/>
    <n v="125.7"/>
    <x v="545"/>
    <d v="2025-01-26T00:00:00"/>
    <d v="2025-01-27T00:00:00"/>
    <x v="2"/>
    <x v="3"/>
    <x v="0"/>
    <x v="0"/>
    <x v="2"/>
    <x v="3"/>
    <x v="4"/>
    <x v="2"/>
  </r>
  <r>
    <x v="592"/>
    <x v="3"/>
    <x v="1"/>
    <n v="30.9"/>
    <x v="546"/>
    <d v="2025-01-26T00:00:00"/>
    <d v="2025-01-26T00:00:00"/>
    <x v="2"/>
    <x v="2"/>
    <x v="2"/>
    <x v="0"/>
    <x v="22"/>
    <x v="7"/>
    <x v="4"/>
    <x v="2"/>
  </r>
  <r>
    <x v="593"/>
    <x v="8"/>
    <x v="1"/>
    <n v="18.3"/>
    <x v="547"/>
    <d v="2025-01-26T00:00:00"/>
    <d v="2025-01-27T00:00:00"/>
    <x v="2"/>
    <x v="1"/>
    <x v="0"/>
    <x v="0"/>
    <x v="3"/>
    <x v="3"/>
    <x v="4"/>
    <x v="2"/>
  </r>
  <r>
    <x v="594"/>
    <x v="4"/>
    <x v="1"/>
    <n v="56.5"/>
    <x v="548"/>
    <d v="2025-01-26T00:00:00"/>
    <d v="2025-01-30T00:00:00"/>
    <x v="1"/>
    <x v="2"/>
    <x v="2"/>
    <x v="0"/>
    <x v="3"/>
    <x v="5"/>
    <x v="4"/>
    <x v="1"/>
  </r>
  <r>
    <x v="595"/>
    <x v="10"/>
    <x v="3"/>
    <n v="29.9"/>
    <x v="549"/>
    <d v="2025-01-26T00:00:00"/>
    <d v="2025-01-28T00:00:00"/>
    <x v="1"/>
    <x v="4"/>
    <x v="2"/>
    <x v="0"/>
    <x v="3"/>
    <x v="1"/>
    <x v="4"/>
    <x v="1"/>
  </r>
  <r>
    <x v="596"/>
    <x v="5"/>
    <x v="1"/>
    <n v="50.4"/>
    <x v="90"/>
    <d v="2025-01-26T00:00:00"/>
    <d v="2025-01-27T00:00:00"/>
    <x v="2"/>
    <x v="2"/>
    <x v="0"/>
    <x v="0"/>
    <x v="3"/>
    <x v="3"/>
    <x v="4"/>
    <x v="2"/>
  </r>
  <r>
    <x v="597"/>
    <x v="2"/>
    <x v="0"/>
    <n v="85.8"/>
    <x v="550"/>
    <d v="2025-01-26T00:00:00"/>
    <d v="2025-01-26T00:00:00"/>
    <x v="2"/>
    <x v="2"/>
    <x v="2"/>
    <x v="0"/>
    <x v="3"/>
    <x v="7"/>
    <x v="4"/>
    <x v="2"/>
  </r>
  <r>
    <x v="598"/>
    <x v="4"/>
    <x v="27"/>
    <n v="66.599999999999994"/>
    <x v="551"/>
    <d v="2025-01-26T00:00:00"/>
    <d v="2025-01-28T00:00:00"/>
    <x v="1"/>
    <x v="1"/>
    <x v="0"/>
    <x v="0"/>
    <x v="3"/>
    <x v="1"/>
    <x v="4"/>
    <x v="1"/>
  </r>
  <r>
    <x v="599"/>
    <x v="6"/>
    <x v="12"/>
    <n v="70.3"/>
    <x v="552"/>
    <d v="2025-01-26T00:00:00"/>
    <d v="2025-01-27T00:00:00"/>
    <x v="2"/>
    <x v="0"/>
    <x v="1"/>
    <x v="0"/>
    <x v="3"/>
    <x v="3"/>
    <x v="4"/>
    <x v="2"/>
  </r>
  <r>
    <x v="600"/>
    <x v="8"/>
    <x v="12"/>
    <n v="31"/>
    <x v="553"/>
    <d v="2025-01-26T00:00:00"/>
    <d v="2025-01-29T00:00:00"/>
    <x v="1"/>
    <x v="0"/>
    <x v="2"/>
    <x v="0"/>
    <x v="3"/>
    <x v="2"/>
    <x v="4"/>
    <x v="1"/>
  </r>
  <r>
    <x v="601"/>
    <x v="7"/>
    <x v="13"/>
    <n v="81.599999999999994"/>
    <x v="554"/>
    <d v="2025-01-26T00:00:00"/>
    <d v="2025-01-27T00:00:00"/>
    <x v="2"/>
    <x v="1"/>
    <x v="1"/>
    <x v="0"/>
    <x v="37"/>
    <x v="3"/>
    <x v="4"/>
    <x v="2"/>
  </r>
  <r>
    <x v="602"/>
    <x v="1"/>
    <x v="30"/>
    <n v="58.3"/>
    <x v="555"/>
    <d v="2025-01-26T00:00:00"/>
    <d v="2025-01-27T00:00:00"/>
    <x v="2"/>
    <x v="0"/>
    <x v="0"/>
    <x v="0"/>
    <x v="16"/>
    <x v="3"/>
    <x v="4"/>
    <x v="2"/>
  </r>
  <r>
    <x v="603"/>
    <x v="1"/>
    <x v="12"/>
    <n v="35.1"/>
    <x v="381"/>
    <d v="2025-01-26T00:00:00"/>
    <d v="2025-01-28T00:00:00"/>
    <x v="1"/>
    <x v="0"/>
    <x v="2"/>
    <x v="0"/>
    <x v="8"/>
    <x v="1"/>
    <x v="4"/>
    <x v="1"/>
  </r>
  <r>
    <x v="604"/>
    <x v="2"/>
    <x v="0"/>
    <n v="80.2"/>
    <x v="556"/>
    <d v="2025-01-26T00:00:00"/>
    <d v="2025-01-27T00:00:00"/>
    <x v="1"/>
    <x v="3"/>
    <x v="2"/>
    <x v="0"/>
    <x v="8"/>
    <x v="3"/>
    <x v="4"/>
    <x v="1"/>
  </r>
  <r>
    <x v="605"/>
    <x v="14"/>
    <x v="2"/>
    <n v="39.200000000000003"/>
    <x v="557"/>
    <d v="2025-01-26T00:00:00"/>
    <d v="2025-01-28T00:00:00"/>
    <x v="2"/>
    <x v="1"/>
    <x v="0"/>
    <x v="0"/>
    <x v="9"/>
    <x v="1"/>
    <x v="4"/>
    <x v="2"/>
  </r>
  <r>
    <x v="606"/>
    <x v="0"/>
    <x v="1"/>
    <n v="15.4"/>
    <x v="558"/>
    <d v="2025-01-26T00:00:00"/>
    <d v="2025-01-26T00:00:00"/>
    <x v="2"/>
    <x v="3"/>
    <x v="0"/>
    <x v="0"/>
    <x v="48"/>
    <x v="7"/>
    <x v="4"/>
    <x v="2"/>
  </r>
  <r>
    <x v="607"/>
    <x v="3"/>
    <x v="2"/>
    <n v="65.400000000000006"/>
    <x v="338"/>
    <d v="2025-01-26T00:00:00"/>
    <d v="2025-01-29T00:00:00"/>
    <x v="1"/>
    <x v="3"/>
    <x v="0"/>
    <x v="0"/>
    <x v="18"/>
    <x v="2"/>
    <x v="4"/>
    <x v="1"/>
  </r>
  <r>
    <x v="608"/>
    <x v="1"/>
    <x v="8"/>
    <n v="63.2"/>
    <x v="559"/>
    <d v="2025-01-26T00:00:00"/>
    <d v="2025-01-28T00:00:00"/>
    <x v="2"/>
    <x v="1"/>
    <x v="0"/>
    <x v="0"/>
    <x v="19"/>
    <x v="1"/>
    <x v="4"/>
    <x v="2"/>
  </r>
  <r>
    <x v="609"/>
    <x v="1"/>
    <x v="13"/>
    <n v="35.700000000000003"/>
    <x v="560"/>
    <d v="2025-01-26T00:00:00"/>
    <d v="2025-01-30T00:00:00"/>
    <x v="2"/>
    <x v="4"/>
    <x v="1"/>
    <x v="0"/>
    <x v="19"/>
    <x v="5"/>
    <x v="4"/>
    <x v="2"/>
  </r>
  <r>
    <x v="610"/>
    <x v="0"/>
    <x v="28"/>
    <n v="26.2"/>
    <x v="561"/>
    <d v="2025-01-26T00:00:00"/>
    <d v="2025-01-27T00:00:00"/>
    <x v="2"/>
    <x v="3"/>
    <x v="0"/>
    <x v="0"/>
    <x v="21"/>
    <x v="3"/>
    <x v="4"/>
    <x v="2"/>
  </r>
  <r>
    <x v="611"/>
    <x v="7"/>
    <x v="1"/>
    <n v="31"/>
    <x v="85"/>
    <d v="2025-01-26T00:00:00"/>
    <d v="2025-01-27T00:00:00"/>
    <x v="2"/>
    <x v="0"/>
    <x v="2"/>
    <x v="0"/>
    <x v="1"/>
    <x v="3"/>
    <x v="4"/>
    <x v="2"/>
  </r>
  <r>
    <x v="612"/>
    <x v="8"/>
    <x v="12"/>
    <n v="37.700000000000003"/>
    <x v="562"/>
    <d v="2025-01-26T00:00:00"/>
    <d v="2025-01-27T00:00:00"/>
    <x v="2"/>
    <x v="1"/>
    <x v="0"/>
    <x v="0"/>
    <x v="22"/>
    <x v="3"/>
    <x v="4"/>
    <x v="2"/>
  </r>
  <r>
    <x v="613"/>
    <x v="10"/>
    <x v="33"/>
    <n v="43.6"/>
    <x v="563"/>
    <d v="2025-01-26T00:00:00"/>
    <d v="2025-01-28T00:00:00"/>
    <x v="2"/>
    <x v="4"/>
    <x v="1"/>
    <x v="0"/>
    <x v="3"/>
    <x v="1"/>
    <x v="4"/>
    <x v="2"/>
  </r>
  <r>
    <x v="614"/>
    <x v="9"/>
    <x v="12"/>
    <n v="26.5"/>
    <x v="101"/>
    <d v="2025-01-26T00:00:00"/>
    <d v="2025-01-28T00:00:00"/>
    <x v="1"/>
    <x v="0"/>
    <x v="4"/>
    <x v="0"/>
    <x v="3"/>
    <x v="1"/>
    <x v="4"/>
    <x v="1"/>
  </r>
  <r>
    <x v="615"/>
    <x v="0"/>
    <x v="1"/>
    <n v="34.6"/>
    <x v="564"/>
    <d v="2025-01-26T00:00:00"/>
    <d v="2025-01-27T00:00:00"/>
    <x v="1"/>
    <x v="4"/>
    <x v="1"/>
    <x v="0"/>
    <x v="3"/>
    <x v="3"/>
    <x v="4"/>
    <x v="1"/>
  </r>
  <r>
    <x v="616"/>
    <x v="8"/>
    <x v="1"/>
    <n v="58.2"/>
    <x v="565"/>
    <d v="2025-01-26T00:00:00"/>
    <d v="2025-01-27T00:00:00"/>
    <x v="1"/>
    <x v="2"/>
    <x v="2"/>
    <x v="0"/>
    <x v="3"/>
    <x v="3"/>
    <x v="4"/>
    <x v="1"/>
  </r>
  <r>
    <x v="617"/>
    <x v="7"/>
    <x v="0"/>
    <n v="30.2"/>
    <x v="242"/>
    <d v="2025-01-27T00:00:00"/>
    <d v="2025-01-28T00:00:00"/>
    <x v="2"/>
    <x v="2"/>
    <x v="1"/>
    <x v="0"/>
    <x v="3"/>
    <x v="3"/>
    <x v="4"/>
    <x v="2"/>
  </r>
  <r>
    <x v="618"/>
    <x v="1"/>
    <x v="7"/>
    <n v="53.2"/>
    <x v="566"/>
    <d v="2025-01-27T00:00:00"/>
    <d v="2025-01-28T00:00:00"/>
    <x v="1"/>
    <x v="0"/>
    <x v="2"/>
    <x v="0"/>
    <x v="5"/>
    <x v="3"/>
    <x v="4"/>
    <x v="1"/>
  </r>
  <r>
    <x v="619"/>
    <x v="12"/>
    <x v="13"/>
    <n v="51.1"/>
    <x v="567"/>
    <d v="2025-01-27T00:00:00"/>
    <d v="2025-01-27T00:00:00"/>
    <x v="1"/>
    <x v="1"/>
    <x v="2"/>
    <x v="0"/>
    <x v="5"/>
    <x v="7"/>
    <x v="4"/>
    <x v="1"/>
  </r>
  <r>
    <x v="620"/>
    <x v="1"/>
    <x v="0"/>
    <n v="105.4"/>
    <x v="568"/>
    <d v="2025-01-27T00:00:00"/>
    <d v="2025-01-31T00:00:00"/>
    <x v="2"/>
    <x v="1"/>
    <x v="2"/>
    <x v="0"/>
    <x v="23"/>
    <x v="5"/>
    <x v="4"/>
    <x v="2"/>
  </r>
  <r>
    <x v="621"/>
    <x v="7"/>
    <x v="0"/>
    <n v="57.7"/>
    <x v="569"/>
    <d v="2025-01-27T00:00:00"/>
    <d v="2025-01-27T00:00:00"/>
    <x v="1"/>
    <x v="0"/>
    <x v="4"/>
    <x v="0"/>
    <x v="8"/>
    <x v="7"/>
    <x v="4"/>
    <x v="1"/>
  </r>
  <r>
    <x v="622"/>
    <x v="15"/>
    <x v="1"/>
    <n v="72.400000000000006"/>
    <x v="353"/>
    <d v="2025-01-27T00:00:00"/>
    <d v="2025-02-01T00:00:00"/>
    <x v="2"/>
    <x v="0"/>
    <x v="0"/>
    <x v="0"/>
    <x v="17"/>
    <x v="0"/>
    <x v="4"/>
    <x v="2"/>
  </r>
  <r>
    <x v="623"/>
    <x v="6"/>
    <x v="1"/>
    <n v="62.5"/>
    <x v="570"/>
    <d v="2025-01-27T00:00:00"/>
    <d v="2025-01-28T00:00:00"/>
    <x v="0"/>
    <x v="0"/>
    <x v="2"/>
    <x v="0"/>
    <x v="11"/>
    <x v="3"/>
    <x v="4"/>
    <x v="0"/>
  </r>
  <r>
    <x v="624"/>
    <x v="0"/>
    <x v="32"/>
    <n v="11.6"/>
    <x v="281"/>
    <d v="2025-01-27T00:00:00"/>
    <d v="2025-01-29T00:00:00"/>
    <x v="2"/>
    <x v="3"/>
    <x v="2"/>
    <x v="0"/>
    <x v="18"/>
    <x v="1"/>
    <x v="4"/>
    <x v="2"/>
  </r>
  <r>
    <x v="625"/>
    <x v="10"/>
    <x v="7"/>
    <n v="39.6"/>
    <x v="501"/>
    <d v="2025-01-27T00:00:00"/>
    <d v="2025-01-29T00:00:00"/>
    <x v="2"/>
    <x v="2"/>
    <x v="2"/>
    <x v="0"/>
    <x v="18"/>
    <x v="1"/>
    <x v="4"/>
    <x v="2"/>
  </r>
  <r>
    <x v="626"/>
    <x v="8"/>
    <x v="1"/>
    <n v="40.1"/>
    <x v="556"/>
    <d v="2025-01-27T00:00:00"/>
    <d v="2025-01-28T00:00:00"/>
    <x v="2"/>
    <x v="2"/>
    <x v="0"/>
    <x v="0"/>
    <x v="18"/>
    <x v="3"/>
    <x v="4"/>
    <x v="2"/>
  </r>
  <r>
    <x v="627"/>
    <x v="8"/>
    <x v="2"/>
    <n v="18.600000000000001"/>
    <x v="571"/>
    <d v="2025-01-27T00:00:00"/>
    <d v="2025-01-28T00:00:00"/>
    <x v="2"/>
    <x v="2"/>
    <x v="0"/>
    <x v="0"/>
    <x v="21"/>
    <x v="3"/>
    <x v="4"/>
    <x v="2"/>
  </r>
  <r>
    <x v="628"/>
    <x v="4"/>
    <x v="0"/>
    <n v="58.8"/>
    <x v="572"/>
    <d v="2025-01-27T00:00:00"/>
    <d v="2025-01-29T00:00:00"/>
    <x v="2"/>
    <x v="0"/>
    <x v="1"/>
    <x v="0"/>
    <x v="21"/>
    <x v="1"/>
    <x v="4"/>
    <x v="2"/>
  </r>
  <r>
    <x v="629"/>
    <x v="8"/>
    <x v="1"/>
    <n v="22.1"/>
    <x v="573"/>
    <d v="2025-01-27T00:00:00"/>
    <d v="2025-01-30T00:00:00"/>
    <x v="1"/>
    <x v="1"/>
    <x v="2"/>
    <x v="0"/>
    <x v="21"/>
    <x v="2"/>
    <x v="4"/>
    <x v="1"/>
  </r>
  <r>
    <x v="630"/>
    <x v="2"/>
    <x v="0"/>
    <n v="114.9"/>
    <x v="574"/>
    <d v="2025-01-28T00:00:00"/>
    <d v="2025-01-29T00:00:00"/>
    <x v="2"/>
    <x v="1"/>
    <x v="1"/>
    <x v="0"/>
    <x v="22"/>
    <x v="3"/>
    <x v="4"/>
    <x v="2"/>
  </r>
  <r>
    <x v="631"/>
    <x v="9"/>
    <x v="9"/>
    <n v="75.8"/>
    <x v="575"/>
    <d v="2025-01-28T00:00:00"/>
    <d v="2025-01-29T00:00:00"/>
    <x v="1"/>
    <x v="0"/>
    <x v="2"/>
    <x v="0"/>
    <x v="3"/>
    <x v="3"/>
    <x v="4"/>
    <x v="1"/>
  </r>
  <r>
    <x v="632"/>
    <x v="14"/>
    <x v="9"/>
    <n v="20.6"/>
    <x v="576"/>
    <d v="2025-01-28T00:00:00"/>
    <d v="2025-01-29T00:00:00"/>
    <x v="1"/>
    <x v="2"/>
    <x v="2"/>
    <x v="0"/>
    <x v="3"/>
    <x v="3"/>
    <x v="4"/>
    <x v="1"/>
  </r>
  <r>
    <x v="633"/>
    <x v="17"/>
    <x v="2"/>
    <n v="67.900000000000006"/>
    <x v="577"/>
    <d v="2025-01-28T00:00:00"/>
    <d v="2025-01-29T00:00:00"/>
    <x v="2"/>
    <x v="1"/>
    <x v="1"/>
    <x v="0"/>
    <x v="3"/>
    <x v="3"/>
    <x v="4"/>
    <x v="2"/>
  </r>
  <r>
    <x v="634"/>
    <x v="0"/>
    <x v="9"/>
    <n v="27"/>
    <x v="340"/>
    <d v="2025-01-28T00:00:00"/>
    <d v="2025-02-04T00:00:00"/>
    <x v="2"/>
    <x v="0"/>
    <x v="2"/>
    <x v="0"/>
    <x v="3"/>
    <x v="6"/>
    <x v="4"/>
    <x v="2"/>
  </r>
  <r>
    <x v="635"/>
    <x v="13"/>
    <x v="0"/>
    <n v="50.6"/>
    <x v="578"/>
    <d v="2025-01-28T00:00:00"/>
    <d v="2025-01-28T00:00:00"/>
    <x v="1"/>
    <x v="0"/>
    <x v="1"/>
    <x v="0"/>
    <x v="3"/>
    <x v="7"/>
    <x v="4"/>
    <x v="1"/>
  </r>
  <r>
    <x v="636"/>
    <x v="4"/>
    <x v="9"/>
    <n v="22.1"/>
    <x v="579"/>
    <d v="2025-01-28T00:00:00"/>
    <d v="2025-02-02T00:00:00"/>
    <x v="1"/>
    <x v="0"/>
    <x v="0"/>
    <x v="0"/>
    <x v="3"/>
    <x v="0"/>
    <x v="4"/>
    <x v="1"/>
  </r>
  <r>
    <x v="637"/>
    <x v="8"/>
    <x v="2"/>
    <n v="42.9"/>
    <x v="580"/>
    <d v="2025-01-28T00:00:00"/>
    <d v="2025-01-30T00:00:00"/>
    <x v="2"/>
    <x v="0"/>
    <x v="0"/>
    <x v="0"/>
    <x v="3"/>
    <x v="1"/>
    <x v="4"/>
    <x v="2"/>
  </r>
  <r>
    <x v="638"/>
    <x v="1"/>
    <x v="5"/>
    <n v="62.4"/>
    <x v="581"/>
    <d v="2025-01-28T00:00:00"/>
    <d v="2025-01-30T00:00:00"/>
    <x v="2"/>
    <x v="2"/>
    <x v="0"/>
    <x v="0"/>
    <x v="3"/>
    <x v="1"/>
    <x v="4"/>
    <x v="2"/>
  </r>
  <r>
    <x v="639"/>
    <x v="13"/>
    <x v="11"/>
    <n v="36.4"/>
    <x v="582"/>
    <d v="2025-01-28T00:00:00"/>
    <d v="2025-01-30T00:00:00"/>
    <x v="2"/>
    <x v="0"/>
    <x v="2"/>
    <x v="0"/>
    <x v="3"/>
    <x v="1"/>
    <x v="4"/>
    <x v="2"/>
  </r>
  <r>
    <x v="640"/>
    <x v="0"/>
    <x v="1"/>
    <n v="22.5"/>
    <x v="583"/>
    <d v="2025-01-28T00:00:00"/>
    <d v="2025-01-31T00:00:00"/>
    <x v="1"/>
    <x v="0"/>
    <x v="0"/>
    <x v="0"/>
    <x v="3"/>
    <x v="2"/>
    <x v="4"/>
    <x v="1"/>
  </r>
  <r>
    <x v="641"/>
    <x v="6"/>
    <x v="12"/>
    <n v="70.8"/>
    <x v="584"/>
    <d v="2025-01-28T00:00:00"/>
    <d v="2025-01-30T00:00:00"/>
    <x v="2"/>
    <x v="4"/>
    <x v="0"/>
    <x v="0"/>
    <x v="3"/>
    <x v="1"/>
    <x v="4"/>
    <x v="2"/>
  </r>
  <r>
    <x v="642"/>
    <x v="6"/>
    <x v="9"/>
    <n v="56.6"/>
    <x v="585"/>
    <d v="2025-01-28T00:00:00"/>
    <d v="2025-01-30T00:00:00"/>
    <x v="1"/>
    <x v="0"/>
    <x v="1"/>
    <x v="0"/>
    <x v="4"/>
    <x v="1"/>
    <x v="4"/>
    <x v="1"/>
  </r>
  <r>
    <x v="643"/>
    <x v="6"/>
    <x v="1"/>
    <n v="47.9"/>
    <x v="586"/>
    <d v="2025-01-28T00:00:00"/>
    <d v="2025-01-29T00:00:00"/>
    <x v="2"/>
    <x v="0"/>
    <x v="0"/>
    <x v="0"/>
    <x v="6"/>
    <x v="3"/>
    <x v="4"/>
    <x v="2"/>
  </r>
  <r>
    <x v="644"/>
    <x v="6"/>
    <x v="8"/>
    <n v="78.400000000000006"/>
    <x v="587"/>
    <d v="2025-01-28T00:00:00"/>
    <d v="2025-01-30T00:00:00"/>
    <x v="2"/>
    <x v="1"/>
    <x v="0"/>
    <x v="0"/>
    <x v="6"/>
    <x v="1"/>
    <x v="4"/>
    <x v="2"/>
  </r>
  <r>
    <x v="645"/>
    <x v="2"/>
    <x v="21"/>
    <n v="122.1"/>
    <x v="588"/>
    <d v="2025-01-28T00:00:00"/>
    <d v="2025-02-02T00:00:00"/>
    <x v="2"/>
    <x v="0"/>
    <x v="2"/>
    <x v="0"/>
    <x v="6"/>
    <x v="0"/>
    <x v="4"/>
    <x v="2"/>
  </r>
  <r>
    <x v="646"/>
    <x v="2"/>
    <x v="1"/>
    <n v="83.7"/>
    <x v="589"/>
    <d v="2025-01-29T00:00:00"/>
    <d v="2025-01-29T00:00:00"/>
    <x v="0"/>
    <x v="1"/>
    <x v="2"/>
    <x v="0"/>
    <x v="7"/>
    <x v="7"/>
    <x v="4"/>
    <x v="0"/>
  </r>
  <r>
    <x v="647"/>
    <x v="3"/>
    <x v="12"/>
    <n v="97.9"/>
    <x v="590"/>
    <d v="2025-01-29T00:00:00"/>
    <d v="2025-02-02T00:00:00"/>
    <x v="2"/>
    <x v="3"/>
    <x v="2"/>
    <x v="0"/>
    <x v="7"/>
    <x v="5"/>
    <x v="4"/>
    <x v="2"/>
  </r>
  <r>
    <x v="648"/>
    <x v="14"/>
    <x v="0"/>
    <n v="15"/>
    <x v="591"/>
    <d v="2025-01-29T00:00:00"/>
    <d v="2025-02-03T00:00:00"/>
    <x v="2"/>
    <x v="3"/>
    <x v="0"/>
    <x v="0"/>
    <x v="8"/>
    <x v="0"/>
    <x v="4"/>
    <x v="2"/>
  </r>
  <r>
    <x v="649"/>
    <x v="12"/>
    <x v="2"/>
    <n v="94.6"/>
    <x v="592"/>
    <d v="2025-01-29T00:00:00"/>
    <d v="2025-01-30T00:00:00"/>
    <x v="1"/>
    <x v="2"/>
    <x v="1"/>
    <x v="0"/>
    <x v="8"/>
    <x v="3"/>
    <x v="4"/>
    <x v="1"/>
  </r>
  <r>
    <x v="650"/>
    <x v="0"/>
    <x v="13"/>
    <n v="19.7"/>
    <x v="593"/>
    <d v="2025-01-29T00:00:00"/>
    <d v="2025-02-09T00:00:00"/>
    <x v="2"/>
    <x v="0"/>
    <x v="2"/>
    <x v="0"/>
    <x v="8"/>
    <x v="11"/>
    <x v="4"/>
    <x v="2"/>
  </r>
  <r>
    <x v="651"/>
    <x v="7"/>
    <x v="0"/>
    <n v="46.7"/>
    <x v="594"/>
    <d v="2025-01-29T00:00:00"/>
    <d v="2025-02-01T00:00:00"/>
    <x v="2"/>
    <x v="2"/>
    <x v="0"/>
    <x v="0"/>
    <x v="17"/>
    <x v="2"/>
    <x v="4"/>
    <x v="2"/>
  </r>
  <r>
    <x v="652"/>
    <x v="1"/>
    <x v="12"/>
    <n v="43"/>
    <x v="595"/>
    <d v="2025-01-29T00:00:00"/>
    <d v="2025-01-30T00:00:00"/>
    <x v="1"/>
    <x v="2"/>
    <x v="2"/>
    <x v="0"/>
    <x v="17"/>
    <x v="3"/>
    <x v="4"/>
    <x v="1"/>
  </r>
  <r>
    <x v="653"/>
    <x v="6"/>
    <x v="2"/>
    <n v="68.2"/>
    <x v="214"/>
    <d v="2025-01-29T00:00:00"/>
    <d v="2025-02-04T00:00:00"/>
    <x v="2"/>
    <x v="0"/>
    <x v="0"/>
    <x v="0"/>
    <x v="9"/>
    <x v="4"/>
    <x v="4"/>
    <x v="2"/>
  </r>
  <r>
    <x v="654"/>
    <x v="10"/>
    <x v="7"/>
    <n v="24.3"/>
    <x v="596"/>
    <d v="2025-01-29T00:00:00"/>
    <d v="2025-01-30T00:00:00"/>
    <x v="1"/>
    <x v="0"/>
    <x v="2"/>
    <x v="0"/>
    <x v="10"/>
    <x v="3"/>
    <x v="4"/>
    <x v="1"/>
  </r>
  <r>
    <x v="655"/>
    <x v="7"/>
    <x v="1"/>
    <n v="86.8"/>
    <x v="597"/>
    <d v="2025-01-29T00:00:00"/>
    <d v="2025-02-02T00:00:00"/>
    <x v="2"/>
    <x v="4"/>
    <x v="2"/>
    <x v="0"/>
    <x v="11"/>
    <x v="5"/>
    <x v="4"/>
    <x v="2"/>
  </r>
  <r>
    <x v="656"/>
    <x v="0"/>
    <x v="1"/>
    <n v="15.8"/>
    <x v="35"/>
    <d v="2025-01-29T00:00:00"/>
    <d v="2025-01-31T00:00:00"/>
    <x v="1"/>
    <x v="1"/>
    <x v="0"/>
    <x v="0"/>
    <x v="11"/>
    <x v="1"/>
    <x v="4"/>
    <x v="1"/>
  </r>
  <r>
    <x v="657"/>
    <x v="2"/>
    <x v="12"/>
    <n v="61.6"/>
    <x v="598"/>
    <d v="2025-01-29T00:00:00"/>
    <d v="2025-01-30T00:00:00"/>
    <x v="1"/>
    <x v="2"/>
    <x v="0"/>
    <x v="0"/>
    <x v="11"/>
    <x v="3"/>
    <x v="4"/>
    <x v="1"/>
  </r>
  <r>
    <x v="658"/>
    <x v="6"/>
    <x v="2"/>
    <n v="48.7"/>
    <x v="599"/>
    <d v="2025-01-29T00:00:00"/>
    <d v="2025-02-04T00:00:00"/>
    <x v="2"/>
    <x v="1"/>
    <x v="2"/>
    <x v="0"/>
    <x v="45"/>
    <x v="4"/>
    <x v="4"/>
    <x v="2"/>
  </r>
  <r>
    <x v="659"/>
    <x v="8"/>
    <x v="12"/>
    <n v="24.3"/>
    <x v="451"/>
    <d v="2025-01-29T00:00:00"/>
    <d v="2025-01-31T00:00:00"/>
    <x v="2"/>
    <x v="1"/>
    <x v="2"/>
    <x v="0"/>
    <x v="21"/>
    <x v="1"/>
    <x v="4"/>
    <x v="2"/>
  </r>
  <r>
    <x v="660"/>
    <x v="2"/>
    <x v="1"/>
    <n v="130.69999999999999"/>
    <x v="600"/>
    <d v="2025-01-29T00:00:00"/>
    <d v="2025-01-30T00:00:00"/>
    <x v="2"/>
    <x v="2"/>
    <x v="0"/>
    <x v="0"/>
    <x v="44"/>
    <x v="3"/>
    <x v="4"/>
    <x v="2"/>
  </r>
  <r>
    <x v="661"/>
    <x v="10"/>
    <x v="0"/>
    <n v="26"/>
    <x v="601"/>
    <d v="2025-01-29T00:00:00"/>
    <d v="2025-01-31T00:00:00"/>
    <x v="1"/>
    <x v="0"/>
    <x v="0"/>
    <x v="0"/>
    <x v="3"/>
    <x v="1"/>
    <x v="4"/>
    <x v="1"/>
  </r>
  <r>
    <x v="662"/>
    <x v="2"/>
    <x v="9"/>
    <n v="94.4"/>
    <x v="602"/>
    <d v="2025-01-29T00:00:00"/>
    <d v="2025-01-30T00:00:00"/>
    <x v="2"/>
    <x v="0"/>
    <x v="0"/>
    <x v="0"/>
    <x v="3"/>
    <x v="3"/>
    <x v="4"/>
    <x v="2"/>
  </r>
  <r>
    <x v="663"/>
    <x v="0"/>
    <x v="13"/>
    <n v="23.7"/>
    <x v="60"/>
    <d v="2025-01-29T00:00:00"/>
    <d v="2025-01-31T00:00:00"/>
    <x v="1"/>
    <x v="2"/>
    <x v="2"/>
    <x v="0"/>
    <x v="3"/>
    <x v="1"/>
    <x v="4"/>
    <x v="1"/>
  </r>
  <r>
    <x v="664"/>
    <x v="9"/>
    <x v="4"/>
    <n v="37.4"/>
    <x v="603"/>
    <d v="2025-01-29T00:00:00"/>
    <d v="2025-01-31T00:00:00"/>
    <x v="1"/>
    <x v="2"/>
    <x v="0"/>
    <x v="0"/>
    <x v="3"/>
    <x v="1"/>
    <x v="4"/>
    <x v="1"/>
  </r>
  <r>
    <x v="665"/>
    <x v="1"/>
    <x v="34"/>
    <n v="55.2"/>
    <x v="604"/>
    <d v="2025-01-29T00:00:00"/>
    <d v="2025-01-29T00:00:00"/>
    <x v="2"/>
    <x v="3"/>
    <x v="1"/>
    <x v="0"/>
    <x v="3"/>
    <x v="7"/>
    <x v="4"/>
    <x v="2"/>
  </r>
  <r>
    <x v="666"/>
    <x v="2"/>
    <x v="11"/>
    <n v="57.1"/>
    <x v="605"/>
    <d v="2025-01-29T00:00:00"/>
    <d v="2025-01-31T00:00:00"/>
    <x v="1"/>
    <x v="0"/>
    <x v="2"/>
    <x v="0"/>
    <x v="3"/>
    <x v="1"/>
    <x v="4"/>
    <x v="1"/>
  </r>
  <r>
    <x v="667"/>
    <x v="12"/>
    <x v="0"/>
    <n v="55.3"/>
    <x v="6"/>
    <d v="2025-01-29T00:00:00"/>
    <d v="2025-01-30T00:00:00"/>
    <x v="2"/>
    <x v="2"/>
    <x v="2"/>
    <x v="0"/>
    <x v="3"/>
    <x v="3"/>
    <x v="4"/>
    <x v="2"/>
  </r>
  <r>
    <x v="668"/>
    <x v="15"/>
    <x v="3"/>
    <n v="23.9"/>
    <x v="606"/>
    <d v="2025-01-29T00:00:00"/>
    <d v="2025-01-30T00:00:00"/>
    <x v="2"/>
    <x v="4"/>
    <x v="1"/>
    <x v="0"/>
    <x v="3"/>
    <x v="3"/>
    <x v="4"/>
    <x v="2"/>
  </r>
  <r>
    <x v="669"/>
    <x v="0"/>
    <x v="0"/>
    <n v="34.1"/>
    <x v="607"/>
    <d v="2025-01-29T00:00:00"/>
    <d v="2025-02-05T00:00:00"/>
    <x v="2"/>
    <x v="2"/>
    <x v="0"/>
    <x v="0"/>
    <x v="3"/>
    <x v="6"/>
    <x v="4"/>
    <x v="2"/>
  </r>
  <r>
    <x v="670"/>
    <x v="12"/>
    <x v="12"/>
    <n v="38.5"/>
    <x v="608"/>
    <d v="2025-01-29T00:00:00"/>
    <d v="2025-02-09T00:00:00"/>
    <x v="2"/>
    <x v="0"/>
    <x v="0"/>
    <x v="0"/>
    <x v="3"/>
    <x v="11"/>
    <x v="4"/>
    <x v="2"/>
  </r>
  <r>
    <x v="671"/>
    <x v="7"/>
    <x v="1"/>
    <n v="105"/>
    <x v="609"/>
    <d v="2025-01-29T00:00:00"/>
    <d v="2025-02-04T00:00:00"/>
    <x v="2"/>
    <x v="0"/>
    <x v="2"/>
    <x v="0"/>
    <x v="3"/>
    <x v="4"/>
    <x v="4"/>
    <x v="2"/>
  </r>
  <r>
    <x v="672"/>
    <x v="8"/>
    <x v="9"/>
    <n v="45.2"/>
    <x v="326"/>
    <d v="2025-01-29T00:00:00"/>
    <d v="2025-01-31T00:00:00"/>
    <x v="2"/>
    <x v="0"/>
    <x v="2"/>
    <x v="0"/>
    <x v="3"/>
    <x v="1"/>
    <x v="4"/>
    <x v="2"/>
  </r>
  <r>
    <x v="673"/>
    <x v="17"/>
    <x v="2"/>
    <n v="24.8"/>
    <x v="610"/>
    <d v="2025-01-29T00:00:00"/>
    <d v="2025-01-29T00:00:00"/>
    <x v="0"/>
    <x v="0"/>
    <x v="1"/>
    <x v="0"/>
    <x v="3"/>
    <x v="7"/>
    <x v="4"/>
    <x v="0"/>
  </r>
  <r>
    <x v="674"/>
    <x v="11"/>
    <x v="12"/>
    <n v="43.8"/>
    <x v="122"/>
    <d v="2025-01-29T00:00:00"/>
    <d v="2025-02-05T00:00:00"/>
    <x v="2"/>
    <x v="1"/>
    <x v="2"/>
    <x v="0"/>
    <x v="6"/>
    <x v="6"/>
    <x v="4"/>
    <x v="2"/>
  </r>
  <r>
    <x v="675"/>
    <x v="1"/>
    <x v="0"/>
    <n v="75"/>
    <x v="611"/>
    <d v="2025-01-29T00:00:00"/>
    <d v="2025-01-31T00:00:00"/>
    <x v="2"/>
    <x v="4"/>
    <x v="1"/>
    <x v="0"/>
    <x v="6"/>
    <x v="1"/>
    <x v="4"/>
    <x v="2"/>
  </r>
  <r>
    <x v="676"/>
    <x v="2"/>
    <x v="0"/>
    <n v="169.9"/>
    <x v="612"/>
    <d v="2025-01-29T00:00:00"/>
    <d v="2025-01-30T00:00:00"/>
    <x v="1"/>
    <x v="2"/>
    <x v="0"/>
    <x v="0"/>
    <x v="6"/>
    <x v="3"/>
    <x v="4"/>
    <x v="1"/>
  </r>
  <r>
    <x v="677"/>
    <x v="9"/>
    <x v="1"/>
    <n v="72.2"/>
    <x v="613"/>
    <d v="2025-01-29T00:00:00"/>
    <d v="2025-01-31T00:00:00"/>
    <x v="2"/>
    <x v="4"/>
    <x v="1"/>
    <x v="0"/>
    <x v="6"/>
    <x v="1"/>
    <x v="4"/>
    <x v="2"/>
  </r>
  <r>
    <x v="678"/>
    <x v="0"/>
    <x v="0"/>
    <n v="20"/>
    <x v="614"/>
    <d v="2025-01-30T00:00:00"/>
    <d v="2025-02-02T00:00:00"/>
    <x v="2"/>
    <x v="2"/>
    <x v="1"/>
    <x v="0"/>
    <x v="7"/>
    <x v="2"/>
    <x v="4"/>
    <x v="2"/>
  </r>
  <r>
    <x v="679"/>
    <x v="9"/>
    <x v="1"/>
    <n v="40.799999999999997"/>
    <x v="330"/>
    <d v="2025-01-30T00:00:00"/>
    <d v="2025-02-01T00:00:00"/>
    <x v="2"/>
    <x v="3"/>
    <x v="2"/>
    <x v="0"/>
    <x v="8"/>
    <x v="1"/>
    <x v="4"/>
    <x v="2"/>
  </r>
  <r>
    <x v="680"/>
    <x v="10"/>
    <x v="12"/>
    <n v="58"/>
    <x v="615"/>
    <d v="2025-01-30T00:00:00"/>
    <d v="2025-02-03T00:00:00"/>
    <x v="2"/>
    <x v="0"/>
    <x v="0"/>
    <x v="0"/>
    <x v="8"/>
    <x v="5"/>
    <x v="4"/>
    <x v="2"/>
  </r>
  <r>
    <x v="681"/>
    <x v="12"/>
    <x v="1"/>
    <n v="43.1"/>
    <x v="616"/>
    <d v="2025-01-30T00:00:00"/>
    <d v="2025-01-31T00:00:00"/>
    <x v="2"/>
    <x v="1"/>
    <x v="2"/>
    <x v="0"/>
    <x v="8"/>
    <x v="3"/>
    <x v="4"/>
    <x v="2"/>
  </r>
  <r>
    <x v="682"/>
    <x v="6"/>
    <x v="11"/>
    <n v="74.7"/>
    <x v="617"/>
    <d v="2025-01-30T00:00:00"/>
    <d v="2025-02-01T00:00:00"/>
    <x v="1"/>
    <x v="0"/>
    <x v="2"/>
    <x v="0"/>
    <x v="8"/>
    <x v="1"/>
    <x v="4"/>
    <x v="1"/>
  </r>
  <r>
    <x v="683"/>
    <x v="6"/>
    <x v="0"/>
    <n v="128.19999999999999"/>
    <x v="618"/>
    <d v="2025-01-30T00:00:00"/>
    <d v="2025-01-30T00:00:00"/>
    <x v="1"/>
    <x v="1"/>
    <x v="0"/>
    <x v="0"/>
    <x v="8"/>
    <x v="7"/>
    <x v="4"/>
    <x v="1"/>
  </r>
  <r>
    <x v="684"/>
    <x v="14"/>
    <x v="12"/>
    <n v="26.7"/>
    <x v="619"/>
    <d v="2025-01-30T00:00:00"/>
    <d v="2025-01-31T00:00:00"/>
    <x v="1"/>
    <x v="1"/>
    <x v="0"/>
    <x v="0"/>
    <x v="8"/>
    <x v="3"/>
    <x v="4"/>
    <x v="1"/>
  </r>
  <r>
    <x v="685"/>
    <x v="17"/>
    <x v="13"/>
    <n v="31.5"/>
    <x v="620"/>
    <d v="2025-01-30T00:00:00"/>
    <d v="2025-01-31T00:00:00"/>
    <x v="2"/>
    <x v="2"/>
    <x v="0"/>
    <x v="0"/>
    <x v="17"/>
    <x v="3"/>
    <x v="4"/>
    <x v="2"/>
  </r>
  <r>
    <x v="686"/>
    <x v="3"/>
    <x v="3"/>
    <n v="64.7"/>
    <x v="621"/>
    <d v="2025-01-30T00:00:00"/>
    <d v="2025-01-31T00:00:00"/>
    <x v="2"/>
    <x v="0"/>
    <x v="2"/>
    <x v="0"/>
    <x v="9"/>
    <x v="3"/>
    <x v="4"/>
    <x v="2"/>
  </r>
  <r>
    <x v="687"/>
    <x v="5"/>
    <x v="1"/>
    <n v="55.6"/>
    <x v="622"/>
    <d v="2025-01-30T00:00:00"/>
    <d v="2025-02-02T00:00:00"/>
    <x v="2"/>
    <x v="3"/>
    <x v="0"/>
    <x v="0"/>
    <x v="11"/>
    <x v="2"/>
    <x v="4"/>
    <x v="2"/>
  </r>
  <r>
    <x v="688"/>
    <x v="3"/>
    <x v="1"/>
    <n v="36.200000000000003"/>
    <x v="623"/>
    <d v="2025-01-30T00:00:00"/>
    <d v="2025-01-31T00:00:00"/>
    <x v="2"/>
    <x v="3"/>
    <x v="0"/>
    <x v="0"/>
    <x v="11"/>
    <x v="3"/>
    <x v="4"/>
    <x v="2"/>
  </r>
  <r>
    <x v="689"/>
    <x v="0"/>
    <x v="0"/>
    <n v="26.6"/>
    <x v="534"/>
    <d v="2025-01-30T00:00:00"/>
    <d v="2025-01-31T00:00:00"/>
    <x v="0"/>
    <x v="1"/>
    <x v="1"/>
    <x v="0"/>
    <x v="19"/>
    <x v="3"/>
    <x v="4"/>
    <x v="0"/>
  </r>
  <r>
    <x v="690"/>
    <x v="10"/>
    <x v="12"/>
    <n v="31.5"/>
    <x v="624"/>
    <d v="2025-01-30T00:00:00"/>
    <d v="2025-02-01T00:00:00"/>
    <x v="1"/>
    <x v="0"/>
    <x v="0"/>
    <x v="0"/>
    <x v="31"/>
    <x v="1"/>
    <x v="4"/>
    <x v="1"/>
  </r>
  <r>
    <x v="691"/>
    <x v="10"/>
    <x v="0"/>
    <n v="27"/>
    <x v="49"/>
    <d v="2025-01-30T00:00:00"/>
    <d v="2025-02-01T00:00:00"/>
    <x v="2"/>
    <x v="1"/>
    <x v="2"/>
    <x v="0"/>
    <x v="13"/>
    <x v="1"/>
    <x v="4"/>
    <x v="2"/>
  </r>
  <r>
    <x v="692"/>
    <x v="4"/>
    <x v="0"/>
    <n v="32"/>
    <x v="109"/>
    <d v="2025-01-30T00:00:00"/>
    <d v="2025-02-02T00:00:00"/>
    <x v="1"/>
    <x v="3"/>
    <x v="0"/>
    <x v="0"/>
    <x v="21"/>
    <x v="2"/>
    <x v="4"/>
    <x v="1"/>
  </r>
  <r>
    <x v="693"/>
    <x v="1"/>
    <x v="2"/>
    <n v="48.1"/>
    <x v="625"/>
    <d v="2025-01-30T00:00:00"/>
    <d v="2025-02-01T00:00:00"/>
    <x v="1"/>
    <x v="2"/>
    <x v="1"/>
    <x v="0"/>
    <x v="1"/>
    <x v="1"/>
    <x v="4"/>
    <x v="1"/>
  </r>
  <r>
    <x v="694"/>
    <x v="9"/>
    <x v="1"/>
    <n v="43.4"/>
    <x v="626"/>
    <d v="2025-01-30T00:00:00"/>
    <d v="2025-01-31T00:00:00"/>
    <x v="1"/>
    <x v="1"/>
    <x v="1"/>
    <x v="0"/>
    <x v="22"/>
    <x v="3"/>
    <x v="4"/>
    <x v="1"/>
  </r>
  <r>
    <x v="695"/>
    <x v="6"/>
    <x v="1"/>
    <n v="42.6"/>
    <x v="464"/>
    <d v="2025-01-30T00:00:00"/>
    <d v="2025-02-02T00:00:00"/>
    <x v="2"/>
    <x v="3"/>
    <x v="0"/>
    <x v="0"/>
    <x v="22"/>
    <x v="2"/>
    <x v="4"/>
    <x v="2"/>
  </r>
  <r>
    <x v="696"/>
    <x v="8"/>
    <x v="1"/>
    <n v="15.9"/>
    <x v="627"/>
    <d v="2025-01-30T00:00:00"/>
    <d v="2025-01-31T00:00:00"/>
    <x v="2"/>
    <x v="0"/>
    <x v="0"/>
    <x v="0"/>
    <x v="34"/>
    <x v="3"/>
    <x v="4"/>
    <x v="2"/>
  </r>
  <r>
    <x v="697"/>
    <x v="9"/>
    <x v="1"/>
    <n v="63.2"/>
    <x v="628"/>
    <d v="2025-01-30T00:00:00"/>
    <d v="2025-01-31T00:00:00"/>
    <x v="1"/>
    <x v="1"/>
    <x v="0"/>
    <x v="0"/>
    <x v="3"/>
    <x v="3"/>
    <x v="4"/>
    <x v="1"/>
  </r>
  <r>
    <x v="698"/>
    <x v="7"/>
    <x v="12"/>
    <n v="64.8"/>
    <x v="629"/>
    <d v="2025-01-30T00:00:00"/>
    <d v="2025-02-01T00:00:00"/>
    <x v="0"/>
    <x v="4"/>
    <x v="1"/>
    <x v="0"/>
    <x v="3"/>
    <x v="1"/>
    <x v="4"/>
    <x v="0"/>
  </r>
  <r>
    <x v="699"/>
    <x v="7"/>
    <x v="2"/>
    <n v="79.8"/>
    <x v="342"/>
    <d v="2025-01-30T00:00:00"/>
    <d v="2025-01-31T00:00:00"/>
    <x v="1"/>
    <x v="0"/>
    <x v="0"/>
    <x v="0"/>
    <x v="3"/>
    <x v="3"/>
    <x v="4"/>
    <x v="1"/>
  </r>
  <r>
    <x v="700"/>
    <x v="9"/>
    <x v="0"/>
    <n v="54.4"/>
    <x v="630"/>
    <d v="2025-01-30T00:00:00"/>
    <d v="2025-02-01T00:00:00"/>
    <x v="2"/>
    <x v="4"/>
    <x v="2"/>
    <x v="0"/>
    <x v="3"/>
    <x v="1"/>
    <x v="4"/>
    <x v="2"/>
  </r>
  <r>
    <x v="701"/>
    <x v="6"/>
    <x v="0"/>
    <n v="87.3"/>
    <x v="631"/>
    <d v="2025-01-30T00:00:00"/>
    <d v="2025-01-31T00:00:00"/>
    <x v="1"/>
    <x v="1"/>
    <x v="0"/>
    <x v="0"/>
    <x v="3"/>
    <x v="3"/>
    <x v="4"/>
    <x v="1"/>
  </r>
  <r>
    <x v="702"/>
    <x v="8"/>
    <x v="12"/>
    <n v="32.4"/>
    <x v="632"/>
    <d v="2025-01-30T00:00:00"/>
    <d v="2025-01-30T00:00:00"/>
    <x v="1"/>
    <x v="1"/>
    <x v="0"/>
    <x v="0"/>
    <x v="3"/>
    <x v="7"/>
    <x v="4"/>
    <x v="1"/>
  </r>
  <r>
    <x v="703"/>
    <x v="2"/>
    <x v="0"/>
    <n v="177.4"/>
    <x v="633"/>
    <d v="2025-01-30T00:00:00"/>
    <d v="2025-02-03T00:00:00"/>
    <x v="1"/>
    <x v="0"/>
    <x v="2"/>
    <x v="0"/>
    <x v="3"/>
    <x v="5"/>
    <x v="4"/>
    <x v="1"/>
  </r>
  <r>
    <x v="704"/>
    <x v="7"/>
    <x v="1"/>
    <n v="70.099999999999994"/>
    <x v="634"/>
    <d v="2025-01-30T00:00:00"/>
    <d v="2025-01-31T00:00:00"/>
    <x v="1"/>
    <x v="3"/>
    <x v="1"/>
    <x v="0"/>
    <x v="3"/>
    <x v="3"/>
    <x v="4"/>
    <x v="1"/>
  </r>
  <r>
    <x v="705"/>
    <x v="9"/>
    <x v="13"/>
    <n v="51.1"/>
    <x v="567"/>
    <d v="2025-01-30T00:00:00"/>
    <d v="2025-01-31T00:00:00"/>
    <x v="2"/>
    <x v="0"/>
    <x v="0"/>
    <x v="0"/>
    <x v="3"/>
    <x v="3"/>
    <x v="4"/>
    <x v="2"/>
  </r>
  <r>
    <x v="706"/>
    <x v="2"/>
    <x v="9"/>
    <n v="79.900000000000006"/>
    <x v="635"/>
    <d v="2025-01-30T00:00:00"/>
    <d v="2025-02-01T00:00:00"/>
    <x v="1"/>
    <x v="3"/>
    <x v="2"/>
    <x v="0"/>
    <x v="24"/>
    <x v="1"/>
    <x v="4"/>
    <x v="1"/>
  </r>
  <r>
    <x v="707"/>
    <x v="6"/>
    <x v="0"/>
    <n v="57.6"/>
    <x v="636"/>
    <d v="2025-01-31T00:00:00"/>
    <d v="2025-02-05T00:00:00"/>
    <x v="1"/>
    <x v="0"/>
    <x v="2"/>
    <x v="0"/>
    <x v="49"/>
    <x v="0"/>
    <x v="4"/>
    <x v="1"/>
  </r>
  <r>
    <x v="708"/>
    <x v="8"/>
    <x v="7"/>
    <n v="59.7"/>
    <x v="637"/>
    <d v="2025-01-31T00:00:00"/>
    <d v="2025-02-04T00:00:00"/>
    <x v="1"/>
    <x v="2"/>
    <x v="0"/>
    <x v="0"/>
    <x v="25"/>
    <x v="5"/>
    <x v="4"/>
    <x v="1"/>
  </r>
  <r>
    <x v="709"/>
    <x v="8"/>
    <x v="9"/>
    <n v="30"/>
    <x v="638"/>
    <d v="2025-01-31T00:00:00"/>
    <d v="2025-02-02T00:00:00"/>
    <x v="1"/>
    <x v="1"/>
    <x v="0"/>
    <x v="0"/>
    <x v="6"/>
    <x v="1"/>
    <x v="4"/>
    <x v="1"/>
  </r>
  <r>
    <x v="710"/>
    <x v="10"/>
    <x v="1"/>
    <n v="69.2"/>
    <x v="639"/>
    <d v="2025-01-31T00:00:00"/>
    <d v="2025-02-02T00:00:00"/>
    <x v="0"/>
    <x v="2"/>
    <x v="1"/>
    <x v="0"/>
    <x v="6"/>
    <x v="1"/>
    <x v="4"/>
    <x v="0"/>
  </r>
  <r>
    <x v="711"/>
    <x v="0"/>
    <x v="8"/>
    <n v="10.9"/>
    <x v="640"/>
    <d v="2025-01-31T00:00:00"/>
    <d v="2025-02-01T00:00:00"/>
    <x v="2"/>
    <x v="0"/>
    <x v="2"/>
    <x v="0"/>
    <x v="6"/>
    <x v="3"/>
    <x v="4"/>
    <x v="2"/>
  </r>
  <r>
    <x v="712"/>
    <x v="16"/>
    <x v="1"/>
    <n v="48.6"/>
    <x v="451"/>
    <d v="2025-01-31T00:00:00"/>
    <d v="2025-02-04T00:00:00"/>
    <x v="1"/>
    <x v="1"/>
    <x v="2"/>
    <x v="0"/>
    <x v="6"/>
    <x v="5"/>
    <x v="4"/>
    <x v="1"/>
  </r>
  <r>
    <x v="713"/>
    <x v="2"/>
    <x v="1"/>
    <n v="61.1"/>
    <x v="641"/>
    <d v="2025-01-31T00:00:00"/>
    <d v="2025-02-03T00:00:00"/>
    <x v="2"/>
    <x v="1"/>
    <x v="2"/>
    <x v="0"/>
    <x v="7"/>
    <x v="2"/>
    <x v="4"/>
    <x v="2"/>
  </r>
  <r>
    <x v="714"/>
    <x v="8"/>
    <x v="1"/>
    <n v="23.2"/>
    <x v="434"/>
    <d v="2025-01-31T00:00:00"/>
    <d v="2025-02-01T00:00:00"/>
    <x v="1"/>
    <x v="3"/>
    <x v="2"/>
    <x v="0"/>
    <x v="8"/>
    <x v="3"/>
    <x v="4"/>
    <x v="1"/>
  </r>
  <r>
    <x v="715"/>
    <x v="12"/>
    <x v="12"/>
    <n v="55.8"/>
    <x v="642"/>
    <d v="2025-01-31T00:00:00"/>
    <d v="2025-02-01T00:00:00"/>
    <x v="1"/>
    <x v="0"/>
    <x v="0"/>
    <x v="0"/>
    <x v="8"/>
    <x v="3"/>
    <x v="4"/>
    <x v="1"/>
  </r>
  <r>
    <x v="716"/>
    <x v="9"/>
    <x v="12"/>
    <n v="24.8"/>
    <x v="643"/>
    <d v="2025-01-31T00:00:00"/>
    <d v="2025-02-01T00:00:00"/>
    <x v="2"/>
    <x v="0"/>
    <x v="2"/>
    <x v="0"/>
    <x v="8"/>
    <x v="3"/>
    <x v="4"/>
    <x v="2"/>
  </r>
  <r>
    <x v="717"/>
    <x v="10"/>
    <x v="1"/>
    <n v="27.9"/>
    <x v="391"/>
    <d v="2025-01-31T00:00:00"/>
    <d v="2025-01-31T00:00:00"/>
    <x v="1"/>
    <x v="2"/>
    <x v="2"/>
    <x v="0"/>
    <x v="8"/>
    <x v="7"/>
    <x v="4"/>
    <x v="1"/>
  </r>
  <r>
    <x v="718"/>
    <x v="10"/>
    <x v="13"/>
    <n v="51.1"/>
    <x v="567"/>
    <d v="2025-01-31T00:00:00"/>
    <d v="2025-01-31T00:00:00"/>
    <x v="2"/>
    <x v="3"/>
    <x v="0"/>
    <x v="0"/>
    <x v="8"/>
    <x v="7"/>
    <x v="4"/>
    <x v="2"/>
  </r>
  <r>
    <x v="719"/>
    <x v="17"/>
    <x v="5"/>
    <n v="32.700000000000003"/>
    <x v="644"/>
    <d v="2025-01-31T00:00:00"/>
    <d v="2025-02-01T00:00:00"/>
    <x v="1"/>
    <x v="4"/>
    <x v="2"/>
    <x v="0"/>
    <x v="17"/>
    <x v="3"/>
    <x v="4"/>
    <x v="1"/>
  </r>
  <r>
    <x v="720"/>
    <x v="8"/>
    <x v="12"/>
    <n v="22.5"/>
    <x v="645"/>
    <d v="2025-01-31T00:00:00"/>
    <d v="2025-01-31T00:00:00"/>
    <x v="1"/>
    <x v="0"/>
    <x v="2"/>
    <x v="0"/>
    <x v="26"/>
    <x v="7"/>
    <x v="4"/>
    <x v="1"/>
  </r>
  <r>
    <x v="721"/>
    <x v="0"/>
    <x v="3"/>
    <n v="14.6"/>
    <x v="646"/>
    <d v="2025-01-31T00:00:00"/>
    <d v="2025-02-01T00:00:00"/>
    <x v="2"/>
    <x v="2"/>
    <x v="0"/>
    <x v="0"/>
    <x v="41"/>
    <x v="3"/>
    <x v="4"/>
    <x v="2"/>
  </r>
  <r>
    <x v="722"/>
    <x v="5"/>
    <x v="2"/>
    <n v="32.5"/>
    <x v="647"/>
    <d v="2025-01-31T00:00:00"/>
    <d v="2025-02-03T00:00:00"/>
    <x v="1"/>
    <x v="0"/>
    <x v="0"/>
    <x v="0"/>
    <x v="10"/>
    <x v="2"/>
    <x v="4"/>
    <x v="1"/>
  </r>
  <r>
    <x v="723"/>
    <x v="18"/>
    <x v="0"/>
    <n v="78.099999999999994"/>
    <x v="648"/>
    <d v="2025-01-31T00:00:00"/>
    <d v="2025-02-03T00:00:00"/>
    <x v="1"/>
    <x v="0"/>
    <x v="2"/>
    <x v="0"/>
    <x v="11"/>
    <x v="2"/>
    <x v="4"/>
    <x v="1"/>
  </r>
  <r>
    <x v="724"/>
    <x v="12"/>
    <x v="13"/>
    <n v="110.2"/>
    <x v="649"/>
    <d v="2025-01-31T00:00:00"/>
    <d v="2025-01-31T00:00:00"/>
    <x v="1"/>
    <x v="1"/>
    <x v="4"/>
    <x v="0"/>
    <x v="13"/>
    <x v="7"/>
    <x v="4"/>
    <x v="1"/>
  </r>
  <r>
    <x v="725"/>
    <x v="6"/>
    <x v="2"/>
    <n v="86.3"/>
    <x v="650"/>
    <d v="2025-01-31T00:00:00"/>
    <d v="2025-02-02T00:00:00"/>
    <x v="2"/>
    <x v="3"/>
    <x v="0"/>
    <x v="0"/>
    <x v="21"/>
    <x v="1"/>
    <x v="4"/>
    <x v="2"/>
  </r>
  <r>
    <x v="726"/>
    <x v="1"/>
    <x v="13"/>
    <n v="73.599999999999994"/>
    <x v="651"/>
    <d v="2025-01-31T00:00:00"/>
    <d v="2025-02-02T00:00:00"/>
    <x v="3"/>
    <x v="3"/>
    <x v="4"/>
    <x v="0"/>
    <x v="44"/>
    <x v="1"/>
    <x v="4"/>
    <x v="3"/>
  </r>
  <r>
    <x v="727"/>
    <x v="6"/>
    <x v="15"/>
    <n v="67.7"/>
    <x v="652"/>
    <d v="2025-01-31T00:00:00"/>
    <d v="2025-02-02T00:00:00"/>
    <x v="2"/>
    <x v="0"/>
    <x v="2"/>
    <x v="0"/>
    <x v="3"/>
    <x v="1"/>
    <x v="4"/>
    <x v="2"/>
  </r>
  <r>
    <x v="728"/>
    <x v="7"/>
    <x v="13"/>
    <n v="142.19999999999999"/>
    <x v="653"/>
    <d v="2025-01-31T00:00:00"/>
    <d v="2025-02-01T00:00:00"/>
    <x v="2"/>
    <x v="2"/>
    <x v="4"/>
    <x v="0"/>
    <x v="3"/>
    <x v="3"/>
    <x v="4"/>
    <x v="2"/>
  </r>
  <r>
    <x v="729"/>
    <x v="1"/>
    <x v="11"/>
    <n v="45.8"/>
    <x v="654"/>
    <d v="2025-01-31T00:00:00"/>
    <d v="2025-02-02T00:00:00"/>
    <x v="2"/>
    <x v="1"/>
    <x v="2"/>
    <x v="0"/>
    <x v="3"/>
    <x v="1"/>
    <x v="4"/>
    <x v="2"/>
  </r>
  <r>
    <x v="730"/>
    <x v="10"/>
    <x v="1"/>
    <n v="24.2"/>
    <x v="655"/>
    <d v="2025-02-01T00:00:00"/>
    <d v="2025-02-04T00:00:00"/>
    <x v="2"/>
    <x v="3"/>
    <x v="2"/>
    <x v="0"/>
    <x v="3"/>
    <x v="2"/>
    <x v="4"/>
    <x v="2"/>
  </r>
  <r>
    <x v="731"/>
    <x v="2"/>
    <x v="2"/>
    <n v="144.9"/>
    <x v="656"/>
    <d v="2025-02-01T00:00:00"/>
    <d v="2025-02-02T00:00:00"/>
    <x v="3"/>
    <x v="2"/>
    <x v="2"/>
    <x v="0"/>
    <x v="3"/>
    <x v="3"/>
    <x v="4"/>
    <x v="3"/>
  </r>
  <r>
    <x v="732"/>
    <x v="11"/>
    <x v="9"/>
    <n v="32.799999999999997"/>
    <x v="657"/>
    <d v="2025-02-01T00:00:00"/>
    <d v="2025-02-04T00:00:00"/>
    <x v="2"/>
    <x v="2"/>
    <x v="0"/>
    <x v="0"/>
    <x v="23"/>
    <x v="2"/>
    <x v="4"/>
    <x v="2"/>
  </r>
  <r>
    <x v="733"/>
    <x v="7"/>
    <x v="7"/>
    <n v="35.700000000000003"/>
    <x v="658"/>
    <d v="2025-02-01T00:00:00"/>
    <d v="2025-02-01T00:00:00"/>
    <x v="2"/>
    <x v="0"/>
    <x v="1"/>
    <x v="0"/>
    <x v="6"/>
    <x v="7"/>
    <x v="4"/>
    <x v="2"/>
  </r>
  <r>
    <x v="734"/>
    <x v="9"/>
    <x v="1"/>
    <n v="54.6"/>
    <x v="659"/>
    <d v="2025-02-01T00:00:00"/>
    <d v="2025-02-02T00:00:00"/>
    <x v="2"/>
    <x v="2"/>
    <x v="0"/>
    <x v="0"/>
    <x v="6"/>
    <x v="3"/>
    <x v="4"/>
    <x v="2"/>
  </r>
  <r>
    <x v="735"/>
    <x v="8"/>
    <x v="1"/>
    <n v="35.700000000000003"/>
    <x v="660"/>
    <d v="2025-02-01T00:00:00"/>
    <d v="2025-02-04T00:00:00"/>
    <x v="0"/>
    <x v="0"/>
    <x v="1"/>
    <x v="0"/>
    <x v="6"/>
    <x v="2"/>
    <x v="4"/>
    <x v="0"/>
  </r>
  <r>
    <x v="736"/>
    <x v="10"/>
    <x v="1"/>
    <n v="52.4"/>
    <x v="661"/>
    <d v="2025-02-01T00:00:00"/>
    <d v="2025-02-01T00:00:00"/>
    <x v="2"/>
    <x v="0"/>
    <x v="3"/>
    <x v="0"/>
    <x v="6"/>
    <x v="7"/>
    <x v="4"/>
    <x v="2"/>
  </r>
  <r>
    <x v="737"/>
    <x v="8"/>
    <x v="21"/>
    <n v="16.2"/>
    <x v="662"/>
    <d v="2025-02-01T00:00:00"/>
    <d v="2025-02-02T00:00:00"/>
    <x v="0"/>
    <x v="0"/>
    <x v="1"/>
    <x v="0"/>
    <x v="8"/>
    <x v="3"/>
    <x v="4"/>
    <x v="0"/>
  </r>
  <r>
    <x v="738"/>
    <x v="6"/>
    <x v="35"/>
    <n v="42.8"/>
    <x v="663"/>
    <d v="2025-02-01T00:00:00"/>
    <d v="2025-02-02T00:00:00"/>
    <x v="2"/>
    <x v="0"/>
    <x v="0"/>
    <x v="0"/>
    <x v="8"/>
    <x v="3"/>
    <x v="4"/>
    <x v="2"/>
  </r>
  <r>
    <x v="739"/>
    <x v="6"/>
    <x v="11"/>
    <n v="144.4"/>
    <x v="664"/>
    <d v="2025-02-01T00:00:00"/>
    <d v="2025-02-04T00:00:00"/>
    <x v="2"/>
    <x v="4"/>
    <x v="0"/>
    <x v="0"/>
    <x v="8"/>
    <x v="2"/>
    <x v="4"/>
    <x v="2"/>
  </r>
  <r>
    <x v="740"/>
    <x v="3"/>
    <x v="34"/>
    <n v="30.6"/>
    <x v="665"/>
    <d v="2025-02-01T00:00:00"/>
    <d v="2025-02-05T00:00:00"/>
    <x v="2"/>
    <x v="2"/>
    <x v="2"/>
    <x v="0"/>
    <x v="11"/>
    <x v="5"/>
    <x v="4"/>
    <x v="2"/>
  </r>
  <r>
    <x v="741"/>
    <x v="2"/>
    <x v="1"/>
    <n v="117.5"/>
    <x v="666"/>
    <d v="2025-02-01T00:00:00"/>
    <d v="2025-02-02T00:00:00"/>
    <x v="1"/>
    <x v="0"/>
    <x v="0"/>
    <x v="0"/>
    <x v="19"/>
    <x v="3"/>
    <x v="4"/>
    <x v="1"/>
  </r>
  <r>
    <x v="742"/>
    <x v="6"/>
    <x v="1"/>
    <n v="105.7"/>
    <x v="667"/>
    <d v="2025-02-01T00:00:00"/>
    <d v="2025-02-02T00:00:00"/>
    <x v="2"/>
    <x v="2"/>
    <x v="2"/>
    <x v="0"/>
    <x v="21"/>
    <x v="3"/>
    <x v="4"/>
    <x v="2"/>
  </r>
  <r>
    <x v="743"/>
    <x v="3"/>
    <x v="2"/>
    <n v="133.69999999999999"/>
    <x v="668"/>
    <d v="2025-02-01T00:00:00"/>
    <d v="2025-02-02T00:00:00"/>
    <x v="0"/>
    <x v="4"/>
    <x v="2"/>
    <x v="0"/>
    <x v="21"/>
    <x v="3"/>
    <x v="4"/>
    <x v="0"/>
  </r>
  <r>
    <x v="744"/>
    <x v="4"/>
    <x v="9"/>
    <n v="46.8"/>
    <x v="540"/>
    <d v="2025-02-02T00:00:00"/>
    <d v="2025-02-10T00:00:00"/>
    <x v="2"/>
    <x v="0"/>
    <x v="1"/>
    <x v="0"/>
    <x v="21"/>
    <x v="9"/>
    <x v="5"/>
    <x v="2"/>
  </r>
  <r>
    <x v="745"/>
    <x v="10"/>
    <x v="2"/>
    <n v="58.4"/>
    <x v="122"/>
    <d v="2025-02-02T00:00:00"/>
    <d v="2025-02-04T00:00:00"/>
    <x v="2"/>
    <x v="0"/>
    <x v="0"/>
    <x v="0"/>
    <x v="1"/>
    <x v="1"/>
    <x v="5"/>
    <x v="2"/>
  </r>
  <r>
    <x v="746"/>
    <x v="6"/>
    <x v="11"/>
    <n v="65.099999999999994"/>
    <x v="669"/>
    <d v="2025-02-02T00:00:00"/>
    <d v="2025-02-06T00:00:00"/>
    <x v="1"/>
    <x v="1"/>
    <x v="2"/>
    <x v="0"/>
    <x v="22"/>
    <x v="5"/>
    <x v="5"/>
    <x v="1"/>
  </r>
  <r>
    <x v="747"/>
    <x v="8"/>
    <x v="0"/>
    <n v="18.600000000000001"/>
    <x v="670"/>
    <d v="2025-02-02T00:00:00"/>
    <d v="2025-02-05T00:00:00"/>
    <x v="2"/>
    <x v="0"/>
    <x v="4"/>
    <x v="0"/>
    <x v="22"/>
    <x v="2"/>
    <x v="5"/>
    <x v="2"/>
  </r>
  <r>
    <x v="748"/>
    <x v="1"/>
    <x v="5"/>
    <n v="92.3"/>
    <x v="671"/>
    <d v="2025-02-02T00:00:00"/>
    <d v="2025-02-04T00:00:00"/>
    <x v="1"/>
    <x v="1"/>
    <x v="0"/>
    <x v="0"/>
    <x v="3"/>
    <x v="1"/>
    <x v="5"/>
    <x v="1"/>
  </r>
  <r>
    <x v="749"/>
    <x v="6"/>
    <x v="2"/>
    <n v="81.7"/>
    <x v="672"/>
    <d v="2025-02-02T00:00:00"/>
    <d v="2025-02-03T00:00:00"/>
    <x v="0"/>
    <x v="4"/>
    <x v="4"/>
    <x v="0"/>
    <x v="3"/>
    <x v="3"/>
    <x v="5"/>
    <x v="0"/>
  </r>
  <r>
    <x v="750"/>
    <x v="8"/>
    <x v="1"/>
    <n v="40.9"/>
    <x v="673"/>
    <d v="2025-02-02T00:00:00"/>
    <d v="2025-02-04T00:00:00"/>
    <x v="1"/>
    <x v="0"/>
    <x v="1"/>
    <x v="0"/>
    <x v="3"/>
    <x v="1"/>
    <x v="5"/>
    <x v="1"/>
  </r>
  <r>
    <x v="751"/>
    <x v="6"/>
    <x v="12"/>
    <n v="43.2"/>
    <x v="162"/>
    <d v="2025-02-02T00:00:00"/>
    <d v="2025-02-08T00:00:00"/>
    <x v="2"/>
    <x v="0"/>
    <x v="1"/>
    <x v="0"/>
    <x v="3"/>
    <x v="4"/>
    <x v="5"/>
    <x v="2"/>
  </r>
  <r>
    <x v="752"/>
    <x v="8"/>
    <x v="5"/>
    <n v="25.8"/>
    <x v="674"/>
    <d v="2025-02-02T00:00:00"/>
    <d v="2025-02-05T00:00:00"/>
    <x v="1"/>
    <x v="2"/>
    <x v="1"/>
    <x v="0"/>
    <x v="3"/>
    <x v="2"/>
    <x v="5"/>
    <x v="1"/>
  </r>
  <r>
    <x v="753"/>
    <x v="15"/>
    <x v="12"/>
    <n v="36.4"/>
    <x v="675"/>
    <d v="2025-02-02T00:00:00"/>
    <d v="2025-02-03T00:00:00"/>
    <x v="1"/>
    <x v="0"/>
    <x v="0"/>
    <x v="0"/>
    <x v="3"/>
    <x v="3"/>
    <x v="5"/>
    <x v="1"/>
  </r>
  <r>
    <x v="754"/>
    <x v="10"/>
    <x v="0"/>
    <n v="59.1"/>
    <x v="676"/>
    <d v="2025-02-02T00:00:00"/>
    <d v="2025-02-03T00:00:00"/>
    <x v="2"/>
    <x v="2"/>
    <x v="0"/>
    <x v="0"/>
    <x v="7"/>
    <x v="3"/>
    <x v="5"/>
    <x v="2"/>
  </r>
  <r>
    <x v="755"/>
    <x v="2"/>
    <x v="14"/>
    <n v="74.5"/>
    <x v="677"/>
    <d v="2025-02-02T00:00:00"/>
    <d v="2025-02-04T00:00:00"/>
    <x v="1"/>
    <x v="4"/>
    <x v="0"/>
    <x v="0"/>
    <x v="18"/>
    <x v="1"/>
    <x v="5"/>
    <x v="1"/>
  </r>
  <r>
    <x v="756"/>
    <x v="5"/>
    <x v="0"/>
    <n v="72.8"/>
    <x v="236"/>
    <d v="2025-02-02T00:00:00"/>
    <d v="2025-02-03T00:00:00"/>
    <x v="2"/>
    <x v="0"/>
    <x v="1"/>
    <x v="0"/>
    <x v="19"/>
    <x v="3"/>
    <x v="5"/>
    <x v="2"/>
  </r>
  <r>
    <x v="757"/>
    <x v="6"/>
    <x v="12"/>
    <n v="137.30000000000001"/>
    <x v="678"/>
    <d v="2025-02-02T00:00:00"/>
    <d v="2025-02-05T00:00:00"/>
    <x v="2"/>
    <x v="0"/>
    <x v="0"/>
    <x v="0"/>
    <x v="13"/>
    <x v="2"/>
    <x v="5"/>
    <x v="2"/>
  </r>
  <r>
    <x v="758"/>
    <x v="1"/>
    <x v="2"/>
    <n v="48.7"/>
    <x v="599"/>
    <d v="2025-02-02T00:00:00"/>
    <d v="2025-02-07T00:00:00"/>
    <x v="2"/>
    <x v="0"/>
    <x v="1"/>
    <x v="0"/>
    <x v="21"/>
    <x v="0"/>
    <x v="5"/>
    <x v="2"/>
  </r>
  <r>
    <x v="759"/>
    <x v="6"/>
    <x v="12"/>
    <n v="53.7"/>
    <x v="679"/>
    <d v="2025-02-02T00:00:00"/>
    <d v="2025-02-06T00:00:00"/>
    <x v="1"/>
    <x v="1"/>
    <x v="4"/>
    <x v="0"/>
    <x v="2"/>
    <x v="5"/>
    <x v="5"/>
    <x v="1"/>
  </r>
  <r>
    <x v="760"/>
    <x v="2"/>
    <x v="3"/>
    <n v="100.9"/>
    <x v="680"/>
    <d v="2025-02-02T00:00:00"/>
    <d v="2025-02-04T00:00:00"/>
    <x v="2"/>
    <x v="0"/>
    <x v="1"/>
    <x v="0"/>
    <x v="2"/>
    <x v="1"/>
    <x v="5"/>
    <x v="2"/>
  </r>
  <r>
    <x v="761"/>
    <x v="10"/>
    <x v="1"/>
    <n v="41.8"/>
    <x v="681"/>
    <d v="2025-02-02T00:00:00"/>
    <d v="2025-02-06T00:00:00"/>
    <x v="1"/>
    <x v="3"/>
    <x v="2"/>
    <x v="0"/>
    <x v="22"/>
    <x v="5"/>
    <x v="5"/>
    <x v="1"/>
  </r>
  <r>
    <x v="762"/>
    <x v="4"/>
    <x v="8"/>
    <n v="28.5"/>
    <x v="416"/>
    <d v="2025-02-02T00:00:00"/>
    <d v="2025-02-04T00:00:00"/>
    <x v="1"/>
    <x v="2"/>
    <x v="1"/>
    <x v="0"/>
    <x v="3"/>
    <x v="1"/>
    <x v="5"/>
    <x v="1"/>
  </r>
  <r>
    <x v="763"/>
    <x v="7"/>
    <x v="12"/>
    <n v="88.9"/>
    <x v="682"/>
    <d v="2025-02-02T00:00:00"/>
    <d v="2025-02-05T00:00:00"/>
    <x v="2"/>
    <x v="0"/>
    <x v="2"/>
    <x v="0"/>
    <x v="3"/>
    <x v="2"/>
    <x v="5"/>
    <x v="2"/>
  </r>
  <r>
    <x v="764"/>
    <x v="6"/>
    <x v="0"/>
    <n v="62.5"/>
    <x v="683"/>
    <d v="2025-02-02T00:00:00"/>
    <d v="2025-02-11T00:00:00"/>
    <x v="2"/>
    <x v="0"/>
    <x v="2"/>
    <x v="0"/>
    <x v="3"/>
    <x v="8"/>
    <x v="5"/>
    <x v="2"/>
  </r>
  <r>
    <x v="765"/>
    <x v="1"/>
    <x v="2"/>
    <n v="46.9"/>
    <x v="684"/>
    <d v="2025-02-02T00:00:00"/>
    <d v="2025-02-03T00:00:00"/>
    <x v="1"/>
    <x v="0"/>
    <x v="2"/>
    <x v="0"/>
    <x v="3"/>
    <x v="3"/>
    <x v="5"/>
    <x v="1"/>
  </r>
  <r>
    <x v="766"/>
    <x v="8"/>
    <x v="2"/>
    <n v="45"/>
    <x v="340"/>
    <d v="2025-02-02T00:00:00"/>
    <d v="2025-02-16T00:00:00"/>
    <x v="1"/>
    <x v="1"/>
    <x v="0"/>
    <x v="0"/>
    <x v="3"/>
    <x v="12"/>
    <x v="5"/>
    <x v="1"/>
  </r>
  <r>
    <x v="767"/>
    <x v="6"/>
    <x v="2"/>
    <n v="45.2"/>
    <x v="685"/>
    <d v="2025-02-02T00:00:00"/>
    <d v="2025-02-04T00:00:00"/>
    <x v="1"/>
    <x v="4"/>
    <x v="2"/>
    <x v="0"/>
    <x v="3"/>
    <x v="1"/>
    <x v="5"/>
    <x v="1"/>
  </r>
  <r>
    <x v="768"/>
    <x v="4"/>
    <x v="1"/>
    <n v="60.1"/>
    <x v="493"/>
    <d v="2025-02-02T00:00:00"/>
    <d v="2025-02-03T00:00:00"/>
    <x v="2"/>
    <x v="0"/>
    <x v="2"/>
    <x v="0"/>
    <x v="3"/>
    <x v="3"/>
    <x v="5"/>
    <x v="2"/>
  </r>
  <r>
    <x v="769"/>
    <x v="12"/>
    <x v="12"/>
    <n v="118.7"/>
    <x v="686"/>
    <d v="2025-02-02T00:00:00"/>
    <d v="2025-02-04T00:00:00"/>
    <x v="2"/>
    <x v="0"/>
    <x v="0"/>
    <x v="0"/>
    <x v="3"/>
    <x v="1"/>
    <x v="5"/>
    <x v="2"/>
  </r>
  <r>
    <x v="770"/>
    <x v="9"/>
    <x v="0"/>
    <n v="57.8"/>
    <x v="687"/>
    <d v="2025-02-02T00:00:00"/>
    <d v="2025-02-11T00:00:00"/>
    <x v="2"/>
    <x v="1"/>
    <x v="0"/>
    <x v="0"/>
    <x v="3"/>
    <x v="8"/>
    <x v="5"/>
    <x v="2"/>
  </r>
  <r>
    <x v="771"/>
    <x v="4"/>
    <x v="0"/>
    <n v="19.5"/>
    <x v="688"/>
    <d v="2025-02-02T00:00:00"/>
    <d v="2025-02-03T00:00:00"/>
    <x v="1"/>
    <x v="1"/>
    <x v="1"/>
    <x v="0"/>
    <x v="3"/>
    <x v="3"/>
    <x v="5"/>
    <x v="1"/>
  </r>
  <r>
    <x v="772"/>
    <x v="12"/>
    <x v="0"/>
    <n v="42.6"/>
    <x v="440"/>
    <d v="2025-02-02T00:00:00"/>
    <d v="2025-02-03T00:00:00"/>
    <x v="1"/>
    <x v="0"/>
    <x v="1"/>
    <x v="0"/>
    <x v="3"/>
    <x v="3"/>
    <x v="5"/>
    <x v="1"/>
  </r>
  <r>
    <x v="773"/>
    <x v="6"/>
    <x v="1"/>
    <n v="74.8"/>
    <x v="689"/>
    <d v="2025-02-02T00:00:00"/>
    <d v="2025-02-03T00:00:00"/>
    <x v="2"/>
    <x v="3"/>
    <x v="2"/>
    <x v="0"/>
    <x v="37"/>
    <x v="3"/>
    <x v="5"/>
    <x v="2"/>
  </r>
  <r>
    <x v="774"/>
    <x v="8"/>
    <x v="2"/>
    <n v="32.5"/>
    <x v="647"/>
    <d v="2025-02-02T00:00:00"/>
    <d v="2025-02-03T00:00:00"/>
    <x v="1"/>
    <x v="2"/>
    <x v="4"/>
    <x v="0"/>
    <x v="16"/>
    <x v="3"/>
    <x v="5"/>
    <x v="1"/>
  </r>
  <r>
    <x v="775"/>
    <x v="2"/>
    <x v="2"/>
    <n v="60.5"/>
    <x v="690"/>
    <d v="2025-02-02T00:00:00"/>
    <d v="2025-02-02T00:00:00"/>
    <x v="2"/>
    <x v="1"/>
    <x v="2"/>
    <x v="0"/>
    <x v="25"/>
    <x v="7"/>
    <x v="5"/>
    <x v="2"/>
  </r>
  <r>
    <x v="776"/>
    <x v="1"/>
    <x v="3"/>
    <n v="57.2"/>
    <x v="691"/>
    <d v="2025-02-02T00:00:00"/>
    <d v="2025-02-04T00:00:00"/>
    <x v="0"/>
    <x v="2"/>
    <x v="0"/>
    <x v="0"/>
    <x v="25"/>
    <x v="1"/>
    <x v="5"/>
    <x v="0"/>
  </r>
  <r>
    <x v="777"/>
    <x v="16"/>
    <x v="1"/>
    <n v="112"/>
    <x v="692"/>
    <d v="2025-02-02T00:00:00"/>
    <d v="2025-02-03T00:00:00"/>
    <x v="2"/>
    <x v="1"/>
    <x v="1"/>
    <x v="0"/>
    <x v="5"/>
    <x v="3"/>
    <x v="5"/>
    <x v="2"/>
  </r>
  <r>
    <x v="778"/>
    <x v="7"/>
    <x v="7"/>
    <n v="49"/>
    <x v="157"/>
    <d v="2025-02-02T00:00:00"/>
    <d v="2025-02-03T00:00:00"/>
    <x v="3"/>
    <x v="2"/>
    <x v="1"/>
    <x v="0"/>
    <x v="6"/>
    <x v="3"/>
    <x v="5"/>
    <x v="3"/>
  </r>
  <r>
    <x v="779"/>
    <x v="0"/>
    <x v="1"/>
    <n v="33.700000000000003"/>
    <x v="693"/>
    <d v="2025-02-02T00:00:00"/>
    <d v="2025-02-06T00:00:00"/>
    <x v="2"/>
    <x v="3"/>
    <x v="0"/>
    <x v="0"/>
    <x v="6"/>
    <x v="5"/>
    <x v="5"/>
    <x v="2"/>
  </r>
  <r>
    <x v="780"/>
    <x v="4"/>
    <x v="2"/>
    <n v="35.6"/>
    <x v="694"/>
    <d v="2025-02-02T00:00:00"/>
    <d v="2025-02-05T00:00:00"/>
    <x v="2"/>
    <x v="0"/>
    <x v="2"/>
    <x v="0"/>
    <x v="6"/>
    <x v="2"/>
    <x v="5"/>
    <x v="2"/>
  </r>
  <r>
    <x v="781"/>
    <x v="4"/>
    <x v="36"/>
    <n v="30.4"/>
    <x v="695"/>
    <d v="2025-02-03T00:00:00"/>
    <d v="2025-02-03T00:00:00"/>
    <x v="2"/>
    <x v="0"/>
    <x v="1"/>
    <x v="0"/>
    <x v="7"/>
    <x v="7"/>
    <x v="5"/>
    <x v="2"/>
  </r>
  <r>
    <x v="782"/>
    <x v="10"/>
    <x v="4"/>
    <n v="50.2"/>
    <x v="696"/>
    <d v="2025-02-03T00:00:00"/>
    <d v="2025-02-04T00:00:00"/>
    <x v="1"/>
    <x v="4"/>
    <x v="0"/>
    <x v="0"/>
    <x v="8"/>
    <x v="3"/>
    <x v="5"/>
    <x v="1"/>
  </r>
  <r>
    <x v="783"/>
    <x v="1"/>
    <x v="1"/>
    <n v="43.7"/>
    <x v="697"/>
    <d v="2025-02-03T00:00:00"/>
    <d v="2025-02-05T00:00:00"/>
    <x v="2"/>
    <x v="0"/>
    <x v="0"/>
    <x v="0"/>
    <x v="8"/>
    <x v="1"/>
    <x v="5"/>
    <x v="2"/>
  </r>
  <r>
    <x v="784"/>
    <x v="10"/>
    <x v="0"/>
    <n v="33.299999999999997"/>
    <x v="698"/>
    <d v="2025-02-03T00:00:00"/>
    <d v="2025-02-04T00:00:00"/>
    <x v="2"/>
    <x v="2"/>
    <x v="1"/>
    <x v="0"/>
    <x v="8"/>
    <x v="3"/>
    <x v="5"/>
    <x v="2"/>
  </r>
  <r>
    <x v="785"/>
    <x v="8"/>
    <x v="12"/>
    <n v="15.1"/>
    <x v="266"/>
    <d v="2025-02-03T00:00:00"/>
    <d v="2025-02-05T00:00:00"/>
    <x v="2"/>
    <x v="4"/>
    <x v="2"/>
    <x v="0"/>
    <x v="8"/>
    <x v="1"/>
    <x v="5"/>
    <x v="2"/>
  </r>
  <r>
    <x v="786"/>
    <x v="6"/>
    <x v="9"/>
    <n v="118.2"/>
    <x v="699"/>
    <d v="2025-02-03T00:00:00"/>
    <d v="2025-02-04T00:00:00"/>
    <x v="2"/>
    <x v="3"/>
    <x v="4"/>
    <x v="0"/>
    <x v="8"/>
    <x v="3"/>
    <x v="5"/>
    <x v="2"/>
  </r>
  <r>
    <x v="787"/>
    <x v="10"/>
    <x v="2"/>
    <n v="28.9"/>
    <x v="700"/>
    <d v="2025-02-03T00:00:00"/>
    <d v="2025-02-05T00:00:00"/>
    <x v="2"/>
    <x v="2"/>
    <x v="1"/>
    <x v="0"/>
    <x v="8"/>
    <x v="1"/>
    <x v="5"/>
    <x v="2"/>
  </r>
  <r>
    <x v="788"/>
    <x v="4"/>
    <x v="2"/>
    <n v="55.6"/>
    <x v="701"/>
    <d v="2025-02-03T00:00:00"/>
    <d v="2025-02-04T00:00:00"/>
    <x v="1"/>
    <x v="0"/>
    <x v="1"/>
    <x v="0"/>
    <x v="8"/>
    <x v="3"/>
    <x v="5"/>
    <x v="1"/>
  </r>
  <r>
    <x v="789"/>
    <x v="9"/>
    <x v="12"/>
    <n v="25.6"/>
    <x v="298"/>
    <d v="2025-02-03T00:00:00"/>
    <d v="2025-02-05T00:00:00"/>
    <x v="2"/>
    <x v="0"/>
    <x v="1"/>
    <x v="0"/>
    <x v="8"/>
    <x v="1"/>
    <x v="5"/>
    <x v="2"/>
  </r>
  <r>
    <x v="790"/>
    <x v="7"/>
    <x v="2"/>
    <n v="31.3"/>
    <x v="442"/>
    <d v="2025-02-03T00:00:00"/>
    <d v="2025-02-04T00:00:00"/>
    <x v="1"/>
    <x v="0"/>
    <x v="0"/>
    <x v="0"/>
    <x v="17"/>
    <x v="3"/>
    <x v="5"/>
    <x v="1"/>
  </r>
  <r>
    <x v="791"/>
    <x v="0"/>
    <x v="2"/>
    <n v="22.1"/>
    <x v="702"/>
    <d v="2025-02-03T00:00:00"/>
    <d v="2025-02-07T00:00:00"/>
    <x v="1"/>
    <x v="0"/>
    <x v="0"/>
    <x v="0"/>
    <x v="17"/>
    <x v="5"/>
    <x v="5"/>
    <x v="1"/>
  </r>
  <r>
    <x v="792"/>
    <x v="2"/>
    <x v="21"/>
    <n v="99.4"/>
    <x v="703"/>
    <d v="2025-02-03T00:00:00"/>
    <d v="2025-02-04T00:00:00"/>
    <x v="1"/>
    <x v="1"/>
    <x v="0"/>
    <x v="0"/>
    <x v="11"/>
    <x v="3"/>
    <x v="5"/>
    <x v="1"/>
  </r>
  <r>
    <x v="793"/>
    <x v="7"/>
    <x v="13"/>
    <n v="66.599999999999994"/>
    <x v="704"/>
    <d v="2025-02-03T00:00:00"/>
    <d v="2025-02-04T00:00:00"/>
    <x v="2"/>
    <x v="0"/>
    <x v="0"/>
    <x v="0"/>
    <x v="11"/>
    <x v="3"/>
    <x v="5"/>
    <x v="2"/>
  </r>
  <r>
    <x v="794"/>
    <x v="8"/>
    <x v="1"/>
    <n v="22.6"/>
    <x v="705"/>
    <d v="2025-02-03T00:00:00"/>
    <d v="2025-02-06T00:00:00"/>
    <x v="1"/>
    <x v="0"/>
    <x v="0"/>
    <x v="0"/>
    <x v="11"/>
    <x v="2"/>
    <x v="5"/>
    <x v="1"/>
  </r>
  <r>
    <x v="795"/>
    <x v="2"/>
    <x v="16"/>
    <n v="66.8"/>
    <x v="706"/>
    <d v="2025-02-03T00:00:00"/>
    <d v="2025-02-04T00:00:00"/>
    <x v="2"/>
    <x v="0"/>
    <x v="4"/>
    <x v="0"/>
    <x v="13"/>
    <x v="3"/>
    <x v="5"/>
    <x v="2"/>
  </r>
  <r>
    <x v="796"/>
    <x v="0"/>
    <x v="12"/>
    <n v="20.8"/>
    <x v="707"/>
    <d v="2025-02-03T00:00:00"/>
    <d v="2025-02-10T00:00:00"/>
    <x v="1"/>
    <x v="1"/>
    <x v="4"/>
    <x v="0"/>
    <x v="1"/>
    <x v="6"/>
    <x v="5"/>
    <x v="1"/>
  </r>
  <r>
    <x v="797"/>
    <x v="2"/>
    <x v="3"/>
    <n v="102.5"/>
    <x v="708"/>
    <d v="2025-02-03T00:00:00"/>
    <d v="2025-02-04T00:00:00"/>
    <x v="2"/>
    <x v="4"/>
    <x v="2"/>
    <x v="0"/>
    <x v="3"/>
    <x v="3"/>
    <x v="5"/>
    <x v="2"/>
  </r>
  <r>
    <x v="798"/>
    <x v="0"/>
    <x v="16"/>
    <n v="24.8"/>
    <x v="709"/>
    <d v="2025-02-03T00:00:00"/>
    <d v="2025-02-07T00:00:00"/>
    <x v="2"/>
    <x v="0"/>
    <x v="0"/>
    <x v="0"/>
    <x v="3"/>
    <x v="5"/>
    <x v="5"/>
    <x v="2"/>
  </r>
  <r>
    <x v="799"/>
    <x v="4"/>
    <x v="37"/>
    <n v="31.4"/>
    <x v="710"/>
    <d v="2025-02-03T00:00:00"/>
    <d v="2025-02-04T00:00:00"/>
    <x v="2"/>
    <x v="3"/>
    <x v="0"/>
    <x v="0"/>
    <x v="3"/>
    <x v="3"/>
    <x v="5"/>
    <x v="2"/>
  </r>
  <r>
    <x v="800"/>
    <x v="9"/>
    <x v="9"/>
    <n v="59.3"/>
    <x v="711"/>
    <d v="2025-02-03T00:00:00"/>
    <d v="2025-02-06T00:00:00"/>
    <x v="1"/>
    <x v="1"/>
    <x v="2"/>
    <x v="0"/>
    <x v="43"/>
    <x v="2"/>
    <x v="5"/>
    <x v="1"/>
  </r>
  <r>
    <x v="801"/>
    <x v="11"/>
    <x v="13"/>
    <n v="39"/>
    <x v="540"/>
    <d v="2025-02-03T00:00:00"/>
    <d v="2025-02-06T00:00:00"/>
    <x v="1"/>
    <x v="1"/>
    <x v="0"/>
    <x v="0"/>
    <x v="6"/>
    <x v="2"/>
    <x v="5"/>
    <x v="1"/>
  </r>
  <r>
    <x v="802"/>
    <x v="5"/>
    <x v="13"/>
    <n v="98.6"/>
    <x v="712"/>
    <d v="2025-02-03T00:00:00"/>
    <d v="2025-02-05T00:00:00"/>
    <x v="2"/>
    <x v="1"/>
    <x v="0"/>
    <x v="0"/>
    <x v="6"/>
    <x v="1"/>
    <x v="5"/>
    <x v="2"/>
  </r>
  <r>
    <x v="803"/>
    <x v="8"/>
    <x v="0"/>
    <n v="20"/>
    <x v="614"/>
    <d v="2025-02-04T00:00:00"/>
    <d v="2025-02-05T00:00:00"/>
    <x v="1"/>
    <x v="3"/>
    <x v="2"/>
    <x v="0"/>
    <x v="8"/>
    <x v="3"/>
    <x v="5"/>
    <x v="1"/>
  </r>
  <r>
    <x v="804"/>
    <x v="1"/>
    <x v="1"/>
    <n v="42.9"/>
    <x v="550"/>
    <d v="2025-02-04T00:00:00"/>
    <d v="2025-02-06T00:00:00"/>
    <x v="2"/>
    <x v="0"/>
    <x v="2"/>
    <x v="0"/>
    <x v="8"/>
    <x v="1"/>
    <x v="5"/>
    <x v="2"/>
  </r>
  <r>
    <x v="805"/>
    <x v="7"/>
    <x v="3"/>
    <n v="55.6"/>
    <x v="713"/>
    <d v="2025-02-04T00:00:00"/>
    <d v="2025-02-06T00:00:00"/>
    <x v="2"/>
    <x v="2"/>
    <x v="1"/>
    <x v="0"/>
    <x v="8"/>
    <x v="1"/>
    <x v="5"/>
    <x v="2"/>
  </r>
  <r>
    <x v="806"/>
    <x v="8"/>
    <x v="12"/>
    <n v="19.2"/>
    <x v="714"/>
    <d v="2025-02-04T00:00:00"/>
    <d v="2025-02-09T00:00:00"/>
    <x v="2"/>
    <x v="0"/>
    <x v="0"/>
    <x v="0"/>
    <x v="41"/>
    <x v="0"/>
    <x v="5"/>
    <x v="2"/>
  </r>
  <r>
    <x v="807"/>
    <x v="5"/>
    <x v="1"/>
    <n v="28.8"/>
    <x v="636"/>
    <d v="2025-02-04T00:00:00"/>
    <d v="2025-02-06T00:00:00"/>
    <x v="1"/>
    <x v="1"/>
    <x v="0"/>
    <x v="0"/>
    <x v="18"/>
    <x v="1"/>
    <x v="5"/>
    <x v="1"/>
  </r>
  <r>
    <x v="808"/>
    <x v="4"/>
    <x v="0"/>
    <n v="29.7"/>
    <x v="47"/>
    <d v="2025-02-04T00:00:00"/>
    <d v="2025-02-06T00:00:00"/>
    <x v="2"/>
    <x v="2"/>
    <x v="4"/>
    <x v="0"/>
    <x v="20"/>
    <x v="1"/>
    <x v="5"/>
    <x v="2"/>
  </r>
  <r>
    <x v="809"/>
    <x v="6"/>
    <x v="13"/>
    <n v="63.3"/>
    <x v="715"/>
    <d v="2025-02-04T00:00:00"/>
    <d v="2025-02-05T00:00:00"/>
    <x v="0"/>
    <x v="0"/>
    <x v="2"/>
    <x v="0"/>
    <x v="21"/>
    <x v="3"/>
    <x v="5"/>
    <x v="0"/>
  </r>
  <r>
    <x v="810"/>
    <x v="4"/>
    <x v="0"/>
    <n v="46"/>
    <x v="716"/>
    <d v="2025-02-04T00:00:00"/>
    <d v="2025-02-05T00:00:00"/>
    <x v="2"/>
    <x v="0"/>
    <x v="2"/>
    <x v="0"/>
    <x v="21"/>
    <x v="3"/>
    <x v="5"/>
    <x v="2"/>
  </r>
  <r>
    <x v="811"/>
    <x v="11"/>
    <x v="2"/>
    <n v="38"/>
    <x v="717"/>
    <d v="2025-02-04T00:00:00"/>
    <d v="2025-02-06T00:00:00"/>
    <x v="2"/>
    <x v="1"/>
    <x v="2"/>
    <x v="0"/>
    <x v="21"/>
    <x v="1"/>
    <x v="5"/>
    <x v="2"/>
  </r>
  <r>
    <x v="812"/>
    <x v="10"/>
    <x v="15"/>
    <n v="34.6"/>
    <x v="327"/>
    <d v="2025-02-04T00:00:00"/>
    <d v="2025-02-06T00:00:00"/>
    <x v="2"/>
    <x v="0"/>
    <x v="1"/>
    <x v="0"/>
    <x v="21"/>
    <x v="1"/>
    <x v="5"/>
    <x v="2"/>
  </r>
  <r>
    <x v="813"/>
    <x v="3"/>
    <x v="7"/>
    <n v="79.7"/>
    <x v="718"/>
    <d v="2025-02-04T00:00:00"/>
    <d v="2025-02-05T00:00:00"/>
    <x v="2"/>
    <x v="4"/>
    <x v="1"/>
    <x v="0"/>
    <x v="21"/>
    <x v="3"/>
    <x v="5"/>
    <x v="2"/>
  </r>
  <r>
    <x v="814"/>
    <x v="8"/>
    <x v="8"/>
    <n v="30.5"/>
    <x v="719"/>
    <d v="2025-02-04T00:00:00"/>
    <d v="2025-02-08T00:00:00"/>
    <x v="1"/>
    <x v="3"/>
    <x v="0"/>
    <x v="0"/>
    <x v="1"/>
    <x v="5"/>
    <x v="5"/>
    <x v="1"/>
  </r>
  <r>
    <x v="815"/>
    <x v="0"/>
    <x v="1"/>
    <n v="20.8"/>
    <x v="480"/>
    <d v="2025-02-04T00:00:00"/>
    <d v="2025-02-05T00:00:00"/>
    <x v="2"/>
    <x v="0"/>
    <x v="0"/>
    <x v="0"/>
    <x v="2"/>
    <x v="3"/>
    <x v="5"/>
    <x v="2"/>
  </r>
  <r>
    <x v="816"/>
    <x v="11"/>
    <x v="3"/>
    <n v="48.5"/>
    <x v="720"/>
    <d v="2025-02-04T00:00:00"/>
    <d v="2025-02-08T00:00:00"/>
    <x v="2"/>
    <x v="2"/>
    <x v="2"/>
    <x v="0"/>
    <x v="2"/>
    <x v="5"/>
    <x v="5"/>
    <x v="2"/>
  </r>
  <r>
    <x v="817"/>
    <x v="2"/>
    <x v="12"/>
    <n v="61.8"/>
    <x v="721"/>
    <d v="2025-02-04T00:00:00"/>
    <d v="2025-02-08T00:00:00"/>
    <x v="2"/>
    <x v="4"/>
    <x v="0"/>
    <x v="0"/>
    <x v="22"/>
    <x v="5"/>
    <x v="5"/>
    <x v="2"/>
  </r>
  <r>
    <x v="818"/>
    <x v="10"/>
    <x v="0"/>
    <n v="46.1"/>
    <x v="722"/>
    <d v="2025-02-04T00:00:00"/>
    <d v="2025-02-05T00:00:00"/>
    <x v="3"/>
    <x v="2"/>
    <x v="0"/>
    <x v="0"/>
    <x v="3"/>
    <x v="3"/>
    <x v="5"/>
    <x v="3"/>
  </r>
  <r>
    <x v="819"/>
    <x v="4"/>
    <x v="13"/>
    <n v="44"/>
    <x v="723"/>
    <d v="2025-02-04T00:00:00"/>
    <d v="2025-02-05T00:00:00"/>
    <x v="2"/>
    <x v="0"/>
    <x v="0"/>
    <x v="0"/>
    <x v="3"/>
    <x v="3"/>
    <x v="5"/>
    <x v="2"/>
  </r>
  <r>
    <x v="820"/>
    <x v="18"/>
    <x v="1"/>
    <n v="95.7"/>
    <x v="724"/>
    <d v="2025-02-04T00:00:00"/>
    <d v="2025-02-10T00:00:00"/>
    <x v="2"/>
    <x v="3"/>
    <x v="2"/>
    <x v="0"/>
    <x v="3"/>
    <x v="4"/>
    <x v="5"/>
    <x v="2"/>
  </r>
  <r>
    <x v="821"/>
    <x v="7"/>
    <x v="9"/>
    <n v="46.4"/>
    <x v="615"/>
    <d v="2025-02-04T00:00:00"/>
    <d v="2025-02-07T00:00:00"/>
    <x v="2"/>
    <x v="0"/>
    <x v="0"/>
    <x v="0"/>
    <x v="3"/>
    <x v="2"/>
    <x v="5"/>
    <x v="2"/>
  </r>
  <r>
    <x v="822"/>
    <x v="6"/>
    <x v="1"/>
    <n v="47.2"/>
    <x v="725"/>
    <d v="2025-02-04T00:00:00"/>
    <d v="2025-02-06T00:00:00"/>
    <x v="2"/>
    <x v="0"/>
    <x v="2"/>
    <x v="0"/>
    <x v="3"/>
    <x v="1"/>
    <x v="5"/>
    <x v="2"/>
  </r>
  <r>
    <x v="823"/>
    <x v="7"/>
    <x v="1"/>
    <n v="58.6"/>
    <x v="726"/>
    <d v="2025-02-04T00:00:00"/>
    <d v="2025-02-05T00:00:00"/>
    <x v="2"/>
    <x v="2"/>
    <x v="1"/>
    <x v="0"/>
    <x v="3"/>
    <x v="3"/>
    <x v="5"/>
    <x v="2"/>
  </r>
  <r>
    <x v="824"/>
    <x v="4"/>
    <x v="2"/>
    <n v="57"/>
    <x v="727"/>
    <d v="2025-02-04T00:00:00"/>
    <d v="2025-02-05T00:00:00"/>
    <x v="1"/>
    <x v="0"/>
    <x v="2"/>
    <x v="0"/>
    <x v="3"/>
    <x v="3"/>
    <x v="5"/>
    <x v="1"/>
  </r>
  <r>
    <x v="825"/>
    <x v="8"/>
    <x v="12"/>
    <n v="28.9"/>
    <x v="446"/>
    <d v="2025-02-04T00:00:00"/>
    <d v="2025-02-08T00:00:00"/>
    <x v="1"/>
    <x v="2"/>
    <x v="0"/>
    <x v="0"/>
    <x v="3"/>
    <x v="5"/>
    <x v="5"/>
    <x v="1"/>
  </r>
  <r>
    <x v="826"/>
    <x v="12"/>
    <x v="9"/>
    <n v="60.7"/>
    <x v="728"/>
    <d v="2025-02-04T00:00:00"/>
    <d v="2025-02-08T00:00:00"/>
    <x v="0"/>
    <x v="1"/>
    <x v="1"/>
    <x v="0"/>
    <x v="3"/>
    <x v="5"/>
    <x v="5"/>
    <x v="0"/>
  </r>
  <r>
    <x v="827"/>
    <x v="6"/>
    <x v="9"/>
    <n v="60.8"/>
    <x v="729"/>
    <d v="2025-02-04T00:00:00"/>
    <d v="2025-02-08T00:00:00"/>
    <x v="1"/>
    <x v="0"/>
    <x v="1"/>
    <x v="0"/>
    <x v="3"/>
    <x v="5"/>
    <x v="5"/>
    <x v="1"/>
  </r>
  <r>
    <x v="828"/>
    <x v="6"/>
    <x v="9"/>
    <n v="64.599999999999994"/>
    <x v="730"/>
    <d v="2025-02-04T00:00:00"/>
    <d v="2025-02-05T00:00:00"/>
    <x v="2"/>
    <x v="3"/>
    <x v="0"/>
    <x v="0"/>
    <x v="3"/>
    <x v="3"/>
    <x v="5"/>
    <x v="2"/>
  </r>
  <r>
    <x v="829"/>
    <x v="8"/>
    <x v="0"/>
    <n v="21.9"/>
    <x v="731"/>
    <d v="2025-02-04T00:00:00"/>
    <d v="2025-02-07T00:00:00"/>
    <x v="1"/>
    <x v="1"/>
    <x v="2"/>
    <x v="0"/>
    <x v="4"/>
    <x v="2"/>
    <x v="5"/>
    <x v="1"/>
  </r>
  <r>
    <x v="830"/>
    <x v="4"/>
    <x v="4"/>
    <n v="33.4"/>
    <x v="732"/>
    <d v="2025-02-04T00:00:00"/>
    <d v="2025-02-06T00:00:00"/>
    <x v="2"/>
    <x v="0"/>
    <x v="0"/>
    <x v="0"/>
    <x v="23"/>
    <x v="1"/>
    <x v="5"/>
    <x v="2"/>
  </r>
  <r>
    <x v="831"/>
    <x v="2"/>
    <x v="0"/>
    <n v="51.7"/>
    <x v="733"/>
    <d v="2025-02-04T00:00:00"/>
    <d v="2025-02-05T00:00:00"/>
    <x v="0"/>
    <x v="0"/>
    <x v="0"/>
    <x v="0"/>
    <x v="6"/>
    <x v="3"/>
    <x v="5"/>
    <x v="0"/>
  </r>
  <r>
    <x v="832"/>
    <x v="1"/>
    <x v="12"/>
    <n v="84.9"/>
    <x v="734"/>
    <d v="2025-02-04T00:00:00"/>
    <d v="2025-02-05T00:00:00"/>
    <x v="2"/>
    <x v="1"/>
    <x v="1"/>
    <x v="0"/>
    <x v="6"/>
    <x v="3"/>
    <x v="5"/>
    <x v="2"/>
  </r>
  <r>
    <x v="833"/>
    <x v="1"/>
    <x v="5"/>
    <n v="62.3"/>
    <x v="735"/>
    <d v="2025-02-04T00:00:00"/>
    <d v="2025-02-05T00:00:00"/>
    <x v="2"/>
    <x v="2"/>
    <x v="2"/>
    <x v="0"/>
    <x v="7"/>
    <x v="3"/>
    <x v="5"/>
    <x v="2"/>
  </r>
  <r>
    <x v="834"/>
    <x v="4"/>
    <x v="0"/>
    <n v="50.7"/>
    <x v="163"/>
    <d v="2025-02-04T00:00:00"/>
    <d v="2025-02-06T00:00:00"/>
    <x v="1"/>
    <x v="2"/>
    <x v="2"/>
    <x v="0"/>
    <x v="8"/>
    <x v="1"/>
    <x v="5"/>
    <x v="1"/>
  </r>
  <r>
    <x v="835"/>
    <x v="18"/>
    <x v="0"/>
    <n v="39.5"/>
    <x v="736"/>
    <d v="2025-02-04T00:00:00"/>
    <d v="2025-02-05T00:00:00"/>
    <x v="1"/>
    <x v="4"/>
    <x v="1"/>
    <x v="0"/>
    <x v="8"/>
    <x v="3"/>
    <x v="5"/>
    <x v="1"/>
  </r>
  <r>
    <x v="836"/>
    <x v="12"/>
    <x v="2"/>
    <n v="30.9"/>
    <x v="737"/>
    <d v="2025-02-04T00:00:00"/>
    <d v="2025-02-05T00:00:00"/>
    <x v="0"/>
    <x v="4"/>
    <x v="2"/>
    <x v="0"/>
    <x v="8"/>
    <x v="3"/>
    <x v="5"/>
    <x v="0"/>
  </r>
  <r>
    <x v="837"/>
    <x v="1"/>
    <x v="3"/>
    <n v="36.4"/>
    <x v="133"/>
    <d v="2025-02-04T00:00:00"/>
    <d v="2025-02-07T00:00:00"/>
    <x v="2"/>
    <x v="0"/>
    <x v="2"/>
    <x v="0"/>
    <x v="8"/>
    <x v="2"/>
    <x v="5"/>
    <x v="2"/>
  </r>
  <r>
    <x v="838"/>
    <x v="6"/>
    <x v="8"/>
    <n v="105.6"/>
    <x v="738"/>
    <d v="2025-02-04T00:00:00"/>
    <d v="2025-02-14T00:00:00"/>
    <x v="2"/>
    <x v="0"/>
    <x v="0"/>
    <x v="0"/>
    <x v="8"/>
    <x v="14"/>
    <x v="5"/>
    <x v="2"/>
  </r>
  <r>
    <x v="839"/>
    <x v="8"/>
    <x v="1"/>
    <n v="22.1"/>
    <x v="573"/>
    <d v="2025-02-04T00:00:00"/>
    <d v="2025-02-05T00:00:00"/>
    <x v="2"/>
    <x v="0"/>
    <x v="2"/>
    <x v="0"/>
    <x v="17"/>
    <x v="3"/>
    <x v="5"/>
    <x v="2"/>
  </r>
  <r>
    <x v="840"/>
    <x v="0"/>
    <x v="2"/>
    <n v="22.6"/>
    <x v="418"/>
    <d v="2025-02-04T00:00:00"/>
    <d v="2025-02-05T00:00:00"/>
    <x v="2"/>
    <x v="2"/>
    <x v="0"/>
    <x v="0"/>
    <x v="17"/>
    <x v="3"/>
    <x v="5"/>
    <x v="2"/>
  </r>
  <r>
    <x v="841"/>
    <x v="10"/>
    <x v="13"/>
    <n v="26.3"/>
    <x v="739"/>
    <d v="2025-02-04T00:00:00"/>
    <d v="2025-02-04T00:00:00"/>
    <x v="2"/>
    <x v="2"/>
    <x v="0"/>
    <x v="0"/>
    <x v="9"/>
    <x v="7"/>
    <x v="5"/>
    <x v="2"/>
  </r>
  <r>
    <x v="842"/>
    <x v="1"/>
    <x v="12"/>
    <n v="37.799999999999997"/>
    <x v="277"/>
    <d v="2025-02-04T00:00:00"/>
    <d v="2025-02-05T00:00:00"/>
    <x v="2"/>
    <x v="0"/>
    <x v="2"/>
    <x v="0"/>
    <x v="11"/>
    <x v="3"/>
    <x v="5"/>
    <x v="2"/>
  </r>
  <r>
    <x v="843"/>
    <x v="6"/>
    <x v="14"/>
    <n v="96"/>
    <x v="740"/>
    <d v="2025-02-04T00:00:00"/>
    <d v="2025-02-07T00:00:00"/>
    <x v="2"/>
    <x v="4"/>
    <x v="1"/>
    <x v="0"/>
    <x v="18"/>
    <x v="2"/>
    <x v="5"/>
    <x v="2"/>
  </r>
  <r>
    <x v="844"/>
    <x v="1"/>
    <x v="0"/>
    <n v="83.6"/>
    <x v="681"/>
    <d v="2025-02-04T00:00:00"/>
    <d v="2025-02-07T00:00:00"/>
    <x v="2"/>
    <x v="2"/>
    <x v="1"/>
    <x v="0"/>
    <x v="19"/>
    <x v="2"/>
    <x v="5"/>
    <x v="2"/>
  </r>
  <r>
    <x v="845"/>
    <x v="2"/>
    <x v="13"/>
    <n v="72.599999999999994"/>
    <x v="349"/>
    <d v="2025-02-04T00:00:00"/>
    <d v="2025-02-05T00:00:00"/>
    <x v="2"/>
    <x v="0"/>
    <x v="0"/>
    <x v="0"/>
    <x v="21"/>
    <x v="3"/>
    <x v="5"/>
    <x v="2"/>
  </r>
  <r>
    <x v="846"/>
    <x v="5"/>
    <x v="28"/>
    <n v="69.099999999999994"/>
    <x v="741"/>
    <d v="2025-02-05T00:00:00"/>
    <d v="2025-02-11T00:00:00"/>
    <x v="1"/>
    <x v="0"/>
    <x v="2"/>
    <x v="0"/>
    <x v="21"/>
    <x v="4"/>
    <x v="5"/>
    <x v="1"/>
  </r>
  <r>
    <x v="847"/>
    <x v="4"/>
    <x v="1"/>
    <n v="22.6"/>
    <x v="705"/>
    <d v="2025-02-05T00:00:00"/>
    <d v="2025-02-07T00:00:00"/>
    <x v="2"/>
    <x v="1"/>
    <x v="2"/>
    <x v="0"/>
    <x v="21"/>
    <x v="1"/>
    <x v="5"/>
    <x v="2"/>
  </r>
  <r>
    <x v="848"/>
    <x v="6"/>
    <x v="1"/>
    <n v="45.3"/>
    <x v="742"/>
    <d v="2025-02-05T00:00:00"/>
    <d v="2025-02-09T00:00:00"/>
    <x v="1"/>
    <x v="4"/>
    <x v="2"/>
    <x v="0"/>
    <x v="21"/>
    <x v="5"/>
    <x v="5"/>
    <x v="1"/>
  </r>
  <r>
    <x v="849"/>
    <x v="2"/>
    <x v="1"/>
    <n v="115.1"/>
    <x v="743"/>
    <d v="2025-02-05T00:00:00"/>
    <d v="2025-02-06T00:00:00"/>
    <x v="2"/>
    <x v="1"/>
    <x v="0"/>
    <x v="0"/>
    <x v="1"/>
    <x v="3"/>
    <x v="5"/>
    <x v="2"/>
  </r>
  <r>
    <x v="850"/>
    <x v="18"/>
    <x v="12"/>
    <n v="79"/>
    <x v="744"/>
    <d v="2025-02-05T00:00:00"/>
    <d v="2025-02-07T00:00:00"/>
    <x v="1"/>
    <x v="2"/>
    <x v="4"/>
    <x v="0"/>
    <x v="1"/>
    <x v="1"/>
    <x v="5"/>
    <x v="1"/>
  </r>
  <r>
    <x v="851"/>
    <x v="6"/>
    <x v="9"/>
    <n v="52.8"/>
    <x v="723"/>
    <d v="2025-02-05T00:00:00"/>
    <d v="2025-02-06T00:00:00"/>
    <x v="2"/>
    <x v="0"/>
    <x v="0"/>
    <x v="0"/>
    <x v="42"/>
    <x v="3"/>
    <x v="5"/>
    <x v="2"/>
  </r>
  <r>
    <x v="852"/>
    <x v="8"/>
    <x v="1"/>
    <n v="34.1"/>
    <x v="745"/>
    <d v="2025-02-05T00:00:00"/>
    <d v="2025-02-06T00:00:00"/>
    <x v="1"/>
    <x v="3"/>
    <x v="2"/>
    <x v="0"/>
    <x v="44"/>
    <x v="3"/>
    <x v="5"/>
    <x v="1"/>
  </r>
  <r>
    <x v="853"/>
    <x v="6"/>
    <x v="9"/>
    <n v="107.9"/>
    <x v="746"/>
    <d v="2025-02-05T00:00:00"/>
    <d v="2025-02-05T00:00:00"/>
    <x v="2"/>
    <x v="0"/>
    <x v="2"/>
    <x v="0"/>
    <x v="50"/>
    <x v="7"/>
    <x v="5"/>
    <x v="2"/>
  </r>
  <r>
    <x v="854"/>
    <x v="8"/>
    <x v="15"/>
    <n v="48.5"/>
    <x v="747"/>
    <d v="2025-02-05T00:00:00"/>
    <d v="2025-02-05T00:00:00"/>
    <x v="1"/>
    <x v="2"/>
    <x v="2"/>
    <x v="0"/>
    <x v="3"/>
    <x v="7"/>
    <x v="5"/>
    <x v="1"/>
  </r>
  <r>
    <x v="855"/>
    <x v="5"/>
    <x v="2"/>
    <n v="34.700000000000003"/>
    <x v="748"/>
    <d v="2025-02-05T00:00:00"/>
    <d v="2025-02-06T00:00:00"/>
    <x v="0"/>
    <x v="4"/>
    <x v="1"/>
    <x v="0"/>
    <x v="3"/>
    <x v="3"/>
    <x v="5"/>
    <x v="0"/>
  </r>
  <r>
    <x v="856"/>
    <x v="8"/>
    <x v="0"/>
    <n v="16.8"/>
    <x v="749"/>
    <d v="2025-02-05T00:00:00"/>
    <d v="2025-02-07T00:00:00"/>
    <x v="2"/>
    <x v="3"/>
    <x v="0"/>
    <x v="0"/>
    <x v="3"/>
    <x v="1"/>
    <x v="5"/>
    <x v="2"/>
  </r>
  <r>
    <x v="857"/>
    <x v="8"/>
    <x v="13"/>
    <n v="18.3"/>
    <x v="17"/>
    <d v="2025-02-05T00:00:00"/>
    <d v="2025-02-08T00:00:00"/>
    <x v="2"/>
    <x v="0"/>
    <x v="0"/>
    <x v="0"/>
    <x v="3"/>
    <x v="2"/>
    <x v="5"/>
    <x v="2"/>
  </r>
  <r>
    <x v="858"/>
    <x v="18"/>
    <x v="2"/>
    <n v="55.9"/>
    <x v="750"/>
    <d v="2025-02-05T00:00:00"/>
    <d v="2025-02-11T00:00:00"/>
    <x v="1"/>
    <x v="3"/>
    <x v="1"/>
    <x v="0"/>
    <x v="3"/>
    <x v="4"/>
    <x v="5"/>
    <x v="1"/>
  </r>
  <r>
    <x v="859"/>
    <x v="8"/>
    <x v="2"/>
    <n v="39.200000000000003"/>
    <x v="557"/>
    <d v="2025-02-05T00:00:00"/>
    <d v="2025-02-07T00:00:00"/>
    <x v="2"/>
    <x v="0"/>
    <x v="1"/>
    <x v="0"/>
    <x v="3"/>
    <x v="1"/>
    <x v="5"/>
    <x v="2"/>
  </r>
  <r>
    <x v="860"/>
    <x v="15"/>
    <x v="12"/>
    <n v="66.5"/>
    <x v="751"/>
    <d v="2025-02-05T00:00:00"/>
    <d v="2025-02-07T00:00:00"/>
    <x v="0"/>
    <x v="3"/>
    <x v="1"/>
    <x v="0"/>
    <x v="3"/>
    <x v="1"/>
    <x v="5"/>
    <x v="0"/>
  </r>
  <r>
    <x v="861"/>
    <x v="6"/>
    <x v="13"/>
    <n v="52.1"/>
    <x v="752"/>
    <d v="2025-02-05T00:00:00"/>
    <d v="2025-02-07T00:00:00"/>
    <x v="1"/>
    <x v="1"/>
    <x v="1"/>
    <x v="0"/>
    <x v="16"/>
    <x v="1"/>
    <x v="5"/>
    <x v="1"/>
  </r>
  <r>
    <x v="862"/>
    <x v="8"/>
    <x v="1"/>
    <n v="19"/>
    <x v="753"/>
    <d v="2025-02-05T00:00:00"/>
    <d v="2025-02-06T00:00:00"/>
    <x v="1"/>
    <x v="4"/>
    <x v="2"/>
    <x v="0"/>
    <x v="6"/>
    <x v="3"/>
    <x v="5"/>
    <x v="1"/>
  </r>
  <r>
    <x v="863"/>
    <x v="7"/>
    <x v="2"/>
    <n v="84.8"/>
    <x v="754"/>
    <d v="2025-02-05T00:00:00"/>
    <d v="2025-02-07T00:00:00"/>
    <x v="2"/>
    <x v="2"/>
    <x v="0"/>
    <x v="0"/>
    <x v="8"/>
    <x v="1"/>
    <x v="5"/>
    <x v="2"/>
  </r>
  <r>
    <x v="864"/>
    <x v="2"/>
    <x v="12"/>
    <n v="63.9"/>
    <x v="755"/>
    <d v="2025-02-05T00:00:00"/>
    <d v="2025-02-08T00:00:00"/>
    <x v="2"/>
    <x v="0"/>
    <x v="0"/>
    <x v="0"/>
    <x v="8"/>
    <x v="2"/>
    <x v="5"/>
    <x v="2"/>
  </r>
  <r>
    <x v="865"/>
    <x v="2"/>
    <x v="2"/>
    <n v="65.5"/>
    <x v="756"/>
    <d v="2025-02-05T00:00:00"/>
    <d v="2025-02-05T00:00:00"/>
    <x v="2"/>
    <x v="1"/>
    <x v="1"/>
    <x v="0"/>
    <x v="8"/>
    <x v="7"/>
    <x v="5"/>
    <x v="2"/>
  </r>
  <r>
    <x v="866"/>
    <x v="12"/>
    <x v="1"/>
    <n v="116.2"/>
    <x v="757"/>
    <d v="2025-02-05T00:00:00"/>
    <d v="2025-02-11T00:00:00"/>
    <x v="1"/>
    <x v="3"/>
    <x v="0"/>
    <x v="0"/>
    <x v="17"/>
    <x v="4"/>
    <x v="5"/>
    <x v="1"/>
  </r>
  <r>
    <x v="867"/>
    <x v="10"/>
    <x v="12"/>
    <n v="22.9"/>
    <x v="758"/>
    <d v="2025-02-05T00:00:00"/>
    <d v="2025-02-07T00:00:00"/>
    <x v="2"/>
    <x v="2"/>
    <x v="1"/>
    <x v="0"/>
    <x v="38"/>
    <x v="1"/>
    <x v="5"/>
    <x v="2"/>
  </r>
  <r>
    <x v="868"/>
    <x v="10"/>
    <x v="2"/>
    <n v="53.7"/>
    <x v="759"/>
    <d v="2025-02-05T00:00:00"/>
    <d v="2025-02-06T00:00:00"/>
    <x v="1"/>
    <x v="0"/>
    <x v="4"/>
    <x v="0"/>
    <x v="18"/>
    <x v="3"/>
    <x v="5"/>
    <x v="1"/>
  </r>
  <r>
    <x v="869"/>
    <x v="6"/>
    <x v="9"/>
    <n v="43.2"/>
    <x v="760"/>
    <d v="2025-02-05T00:00:00"/>
    <d v="2025-02-07T00:00:00"/>
    <x v="2"/>
    <x v="0"/>
    <x v="0"/>
    <x v="0"/>
    <x v="19"/>
    <x v="1"/>
    <x v="5"/>
    <x v="2"/>
  </r>
  <r>
    <x v="870"/>
    <x v="1"/>
    <x v="2"/>
    <n v="84.5"/>
    <x v="103"/>
    <d v="2025-02-05T00:00:00"/>
    <d v="2025-02-07T00:00:00"/>
    <x v="1"/>
    <x v="2"/>
    <x v="2"/>
    <x v="0"/>
    <x v="51"/>
    <x v="1"/>
    <x v="5"/>
    <x v="1"/>
  </r>
  <r>
    <x v="871"/>
    <x v="3"/>
    <x v="1"/>
    <n v="42.2"/>
    <x v="533"/>
    <d v="2025-02-05T00:00:00"/>
    <d v="2025-02-06T00:00:00"/>
    <x v="2"/>
    <x v="1"/>
    <x v="2"/>
    <x v="0"/>
    <x v="1"/>
    <x v="3"/>
    <x v="5"/>
    <x v="2"/>
  </r>
  <r>
    <x v="872"/>
    <x v="2"/>
    <x v="13"/>
    <n v="94.7"/>
    <x v="761"/>
    <d v="2025-02-05T00:00:00"/>
    <d v="2025-02-08T00:00:00"/>
    <x v="2"/>
    <x v="1"/>
    <x v="2"/>
    <x v="0"/>
    <x v="2"/>
    <x v="2"/>
    <x v="5"/>
    <x v="2"/>
  </r>
  <r>
    <x v="873"/>
    <x v="8"/>
    <x v="16"/>
    <n v="16.7"/>
    <x v="182"/>
    <d v="2025-02-05T00:00:00"/>
    <d v="2025-02-17T00:00:00"/>
    <x v="2"/>
    <x v="0"/>
    <x v="2"/>
    <x v="0"/>
    <x v="2"/>
    <x v="13"/>
    <x v="5"/>
    <x v="2"/>
  </r>
  <r>
    <x v="874"/>
    <x v="2"/>
    <x v="1"/>
    <n v="83.6"/>
    <x v="762"/>
    <d v="2025-02-05T00:00:00"/>
    <d v="2025-02-11T00:00:00"/>
    <x v="2"/>
    <x v="1"/>
    <x v="0"/>
    <x v="0"/>
    <x v="3"/>
    <x v="4"/>
    <x v="5"/>
    <x v="2"/>
  </r>
  <r>
    <x v="875"/>
    <x v="7"/>
    <x v="13"/>
    <n v="33.6"/>
    <x v="763"/>
    <d v="2025-02-06T00:00:00"/>
    <d v="2025-02-07T00:00:00"/>
    <x v="2"/>
    <x v="3"/>
    <x v="0"/>
    <x v="0"/>
    <x v="3"/>
    <x v="3"/>
    <x v="5"/>
    <x v="2"/>
  </r>
  <r>
    <x v="876"/>
    <x v="7"/>
    <x v="1"/>
    <n v="64.7"/>
    <x v="385"/>
    <d v="2025-02-06T00:00:00"/>
    <d v="2025-02-08T00:00:00"/>
    <x v="1"/>
    <x v="1"/>
    <x v="2"/>
    <x v="0"/>
    <x v="3"/>
    <x v="1"/>
    <x v="5"/>
    <x v="1"/>
  </r>
  <r>
    <x v="877"/>
    <x v="0"/>
    <x v="2"/>
    <n v="15.7"/>
    <x v="179"/>
    <d v="2025-02-06T00:00:00"/>
    <d v="2025-02-12T00:00:00"/>
    <x v="2"/>
    <x v="0"/>
    <x v="0"/>
    <x v="0"/>
    <x v="3"/>
    <x v="4"/>
    <x v="5"/>
    <x v="2"/>
  </r>
  <r>
    <x v="878"/>
    <x v="15"/>
    <x v="13"/>
    <n v="49.4"/>
    <x v="764"/>
    <d v="2025-02-06T00:00:00"/>
    <d v="2025-02-06T00:00:00"/>
    <x v="1"/>
    <x v="1"/>
    <x v="0"/>
    <x v="0"/>
    <x v="3"/>
    <x v="7"/>
    <x v="5"/>
    <x v="1"/>
  </r>
  <r>
    <x v="879"/>
    <x v="10"/>
    <x v="13"/>
    <n v="37"/>
    <x v="765"/>
    <d v="2025-02-06T00:00:00"/>
    <d v="2025-02-09T00:00:00"/>
    <x v="2"/>
    <x v="1"/>
    <x v="2"/>
    <x v="0"/>
    <x v="3"/>
    <x v="2"/>
    <x v="5"/>
    <x v="2"/>
  </r>
  <r>
    <x v="880"/>
    <x v="2"/>
    <x v="1"/>
    <n v="83.7"/>
    <x v="589"/>
    <d v="2025-02-06T00:00:00"/>
    <d v="2025-02-08T00:00:00"/>
    <x v="2"/>
    <x v="3"/>
    <x v="2"/>
    <x v="0"/>
    <x v="3"/>
    <x v="1"/>
    <x v="5"/>
    <x v="2"/>
  </r>
  <r>
    <x v="881"/>
    <x v="1"/>
    <x v="9"/>
    <n v="35.1"/>
    <x v="766"/>
    <d v="2025-02-06T00:00:00"/>
    <d v="2025-02-07T00:00:00"/>
    <x v="2"/>
    <x v="0"/>
    <x v="0"/>
    <x v="0"/>
    <x v="3"/>
    <x v="3"/>
    <x v="5"/>
    <x v="2"/>
  </r>
  <r>
    <x v="882"/>
    <x v="16"/>
    <x v="8"/>
    <n v="74"/>
    <x v="767"/>
    <d v="2025-02-06T00:00:00"/>
    <d v="2025-02-07T00:00:00"/>
    <x v="2"/>
    <x v="4"/>
    <x v="0"/>
    <x v="0"/>
    <x v="37"/>
    <x v="3"/>
    <x v="5"/>
    <x v="2"/>
  </r>
  <r>
    <x v="883"/>
    <x v="6"/>
    <x v="25"/>
    <n v="55.5"/>
    <x v="768"/>
    <d v="2025-02-06T00:00:00"/>
    <d v="2025-02-09T00:00:00"/>
    <x v="1"/>
    <x v="3"/>
    <x v="0"/>
    <x v="0"/>
    <x v="49"/>
    <x v="2"/>
    <x v="5"/>
    <x v="1"/>
  </r>
  <r>
    <x v="884"/>
    <x v="11"/>
    <x v="1"/>
    <n v="38.9"/>
    <x v="482"/>
    <d v="2025-02-06T00:00:00"/>
    <d v="2025-02-08T00:00:00"/>
    <x v="2"/>
    <x v="1"/>
    <x v="2"/>
    <x v="0"/>
    <x v="25"/>
    <x v="1"/>
    <x v="5"/>
    <x v="2"/>
  </r>
  <r>
    <x v="885"/>
    <x v="16"/>
    <x v="1"/>
    <n v="64.599999999999994"/>
    <x v="769"/>
    <d v="2025-02-06T00:00:00"/>
    <d v="2025-02-13T00:00:00"/>
    <x v="1"/>
    <x v="2"/>
    <x v="1"/>
    <x v="0"/>
    <x v="25"/>
    <x v="6"/>
    <x v="5"/>
    <x v="1"/>
  </r>
  <r>
    <x v="886"/>
    <x v="2"/>
    <x v="2"/>
    <n v="95.3"/>
    <x v="770"/>
    <d v="2025-02-06T00:00:00"/>
    <d v="2025-02-07T00:00:00"/>
    <x v="1"/>
    <x v="0"/>
    <x v="0"/>
    <x v="0"/>
    <x v="5"/>
    <x v="3"/>
    <x v="5"/>
    <x v="1"/>
  </r>
  <r>
    <x v="887"/>
    <x v="13"/>
    <x v="2"/>
    <n v="25.8"/>
    <x v="771"/>
    <d v="2025-02-06T00:00:00"/>
    <d v="2025-02-07T00:00:00"/>
    <x v="2"/>
    <x v="1"/>
    <x v="1"/>
    <x v="0"/>
    <x v="6"/>
    <x v="3"/>
    <x v="5"/>
    <x v="2"/>
  </r>
  <r>
    <x v="888"/>
    <x v="0"/>
    <x v="1"/>
    <n v="11.6"/>
    <x v="772"/>
    <d v="2025-02-06T00:00:00"/>
    <d v="2025-02-10T00:00:00"/>
    <x v="2"/>
    <x v="1"/>
    <x v="1"/>
    <x v="0"/>
    <x v="6"/>
    <x v="5"/>
    <x v="5"/>
    <x v="2"/>
  </r>
  <r>
    <x v="889"/>
    <x v="7"/>
    <x v="0"/>
    <n v="52.3"/>
    <x v="773"/>
    <d v="2025-02-06T00:00:00"/>
    <d v="2025-02-07T00:00:00"/>
    <x v="2"/>
    <x v="1"/>
    <x v="0"/>
    <x v="0"/>
    <x v="8"/>
    <x v="3"/>
    <x v="5"/>
    <x v="2"/>
  </r>
  <r>
    <x v="890"/>
    <x v="2"/>
    <x v="7"/>
    <n v="112.2"/>
    <x v="774"/>
    <d v="2025-02-06T00:00:00"/>
    <d v="2025-02-07T00:00:00"/>
    <x v="2"/>
    <x v="1"/>
    <x v="1"/>
    <x v="0"/>
    <x v="8"/>
    <x v="3"/>
    <x v="5"/>
    <x v="2"/>
  </r>
  <r>
    <x v="891"/>
    <x v="4"/>
    <x v="9"/>
    <n v="34.6"/>
    <x v="775"/>
    <d v="2025-02-06T00:00:00"/>
    <d v="2025-02-08T00:00:00"/>
    <x v="1"/>
    <x v="2"/>
    <x v="0"/>
    <x v="0"/>
    <x v="8"/>
    <x v="1"/>
    <x v="5"/>
    <x v="1"/>
  </r>
  <r>
    <x v="892"/>
    <x v="14"/>
    <x v="12"/>
    <n v="20.100000000000001"/>
    <x v="48"/>
    <d v="2025-02-06T00:00:00"/>
    <d v="2025-02-12T00:00:00"/>
    <x v="1"/>
    <x v="1"/>
    <x v="2"/>
    <x v="0"/>
    <x v="8"/>
    <x v="4"/>
    <x v="5"/>
    <x v="1"/>
  </r>
  <r>
    <x v="893"/>
    <x v="2"/>
    <x v="12"/>
    <n v="56.4"/>
    <x v="776"/>
    <d v="2025-02-06T00:00:00"/>
    <d v="2025-02-08T00:00:00"/>
    <x v="2"/>
    <x v="2"/>
    <x v="0"/>
    <x v="0"/>
    <x v="10"/>
    <x v="1"/>
    <x v="5"/>
    <x v="2"/>
  </r>
  <r>
    <x v="894"/>
    <x v="13"/>
    <x v="11"/>
    <n v="55.3"/>
    <x v="777"/>
    <d v="2025-02-06T00:00:00"/>
    <d v="2025-02-08T00:00:00"/>
    <x v="2"/>
    <x v="1"/>
    <x v="4"/>
    <x v="0"/>
    <x v="11"/>
    <x v="1"/>
    <x v="5"/>
    <x v="2"/>
  </r>
  <r>
    <x v="895"/>
    <x v="2"/>
    <x v="31"/>
    <n v="75.5"/>
    <x v="778"/>
    <d v="2025-02-06T00:00:00"/>
    <d v="2025-02-07T00:00:00"/>
    <x v="2"/>
    <x v="0"/>
    <x v="0"/>
    <x v="0"/>
    <x v="11"/>
    <x v="3"/>
    <x v="5"/>
    <x v="2"/>
  </r>
  <r>
    <x v="896"/>
    <x v="8"/>
    <x v="0"/>
    <n v="23.6"/>
    <x v="779"/>
    <d v="2025-02-06T00:00:00"/>
    <d v="2025-02-11T00:00:00"/>
    <x v="2"/>
    <x v="0"/>
    <x v="0"/>
    <x v="0"/>
    <x v="19"/>
    <x v="0"/>
    <x v="5"/>
    <x v="2"/>
  </r>
  <r>
    <x v="897"/>
    <x v="9"/>
    <x v="1"/>
    <n v="70.7"/>
    <x v="780"/>
    <d v="2025-02-06T00:00:00"/>
    <d v="2025-02-08T00:00:00"/>
    <x v="2"/>
    <x v="2"/>
    <x v="0"/>
    <x v="0"/>
    <x v="19"/>
    <x v="1"/>
    <x v="5"/>
    <x v="2"/>
  </r>
  <r>
    <x v="898"/>
    <x v="12"/>
    <x v="1"/>
    <n v="43.2"/>
    <x v="781"/>
    <d v="2025-02-06T00:00:00"/>
    <d v="2025-02-07T00:00:00"/>
    <x v="2"/>
    <x v="2"/>
    <x v="0"/>
    <x v="0"/>
    <x v="31"/>
    <x v="3"/>
    <x v="5"/>
    <x v="2"/>
  </r>
  <r>
    <x v="899"/>
    <x v="9"/>
    <x v="11"/>
    <n v="70"/>
    <x v="782"/>
    <d v="2025-02-06T00:00:00"/>
    <d v="2025-02-07T00:00:00"/>
    <x v="0"/>
    <x v="1"/>
    <x v="0"/>
    <x v="0"/>
    <x v="52"/>
    <x v="3"/>
    <x v="5"/>
    <x v="0"/>
  </r>
  <r>
    <x v="900"/>
    <x v="0"/>
    <x v="1"/>
    <n v="20.5"/>
    <x v="783"/>
    <d v="2025-02-06T00:00:00"/>
    <d v="2025-02-08T00:00:00"/>
    <x v="2"/>
    <x v="2"/>
    <x v="4"/>
    <x v="0"/>
    <x v="13"/>
    <x v="1"/>
    <x v="5"/>
    <x v="2"/>
  </r>
  <r>
    <x v="901"/>
    <x v="0"/>
    <x v="12"/>
    <n v="29.1"/>
    <x v="565"/>
    <d v="2025-02-06T00:00:00"/>
    <d v="2025-02-07T00:00:00"/>
    <x v="2"/>
    <x v="3"/>
    <x v="0"/>
    <x v="0"/>
    <x v="28"/>
    <x v="3"/>
    <x v="5"/>
    <x v="2"/>
  </r>
  <r>
    <x v="902"/>
    <x v="6"/>
    <x v="11"/>
    <n v="53.6"/>
    <x v="784"/>
    <d v="2025-02-06T00:00:00"/>
    <d v="2025-02-07T00:00:00"/>
    <x v="1"/>
    <x v="2"/>
    <x v="1"/>
    <x v="0"/>
    <x v="3"/>
    <x v="3"/>
    <x v="5"/>
    <x v="1"/>
  </r>
  <r>
    <x v="903"/>
    <x v="6"/>
    <x v="9"/>
    <n v="72.3"/>
    <x v="785"/>
    <d v="2025-02-06T00:00:00"/>
    <d v="2025-02-08T00:00:00"/>
    <x v="2"/>
    <x v="1"/>
    <x v="0"/>
    <x v="0"/>
    <x v="3"/>
    <x v="1"/>
    <x v="5"/>
    <x v="2"/>
  </r>
  <r>
    <x v="904"/>
    <x v="13"/>
    <x v="12"/>
    <n v="22.6"/>
    <x v="786"/>
    <d v="2025-02-06T00:00:00"/>
    <d v="2025-02-09T00:00:00"/>
    <x v="3"/>
    <x v="0"/>
    <x v="1"/>
    <x v="0"/>
    <x v="3"/>
    <x v="2"/>
    <x v="5"/>
    <x v="3"/>
  </r>
  <r>
    <x v="905"/>
    <x v="9"/>
    <x v="1"/>
    <n v="44.2"/>
    <x v="787"/>
    <d v="2025-02-06T00:00:00"/>
    <d v="2025-02-10T00:00:00"/>
    <x v="0"/>
    <x v="2"/>
    <x v="4"/>
    <x v="0"/>
    <x v="3"/>
    <x v="5"/>
    <x v="5"/>
    <x v="0"/>
  </r>
  <r>
    <x v="906"/>
    <x v="9"/>
    <x v="2"/>
    <n v="94.1"/>
    <x v="788"/>
    <d v="2025-02-06T00:00:00"/>
    <d v="2025-02-19T00:00:00"/>
    <x v="2"/>
    <x v="2"/>
    <x v="2"/>
    <x v="0"/>
    <x v="3"/>
    <x v="10"/>
    <x v="5"/>
    <x v="2"/>
  </r>
  <r>
    <x v="907"/>
    <x v="8"/>
    <x v="2"/>
    <n v="17.899999999999999"/>
    <x v="789"/>
    <d v="2025-02-06T00:00:00"/>
    <d v="2025-02-08T00:00:00"/>
    <x v="1"/>
    <x v="1"/>
    <x v="1"/>
    <x v="0"/>
    <x v="3"/>
    <x v="1"/>
    <x v="5"/>
    <x v="1"/>
  </r>
  <r>
    <x v="908"/>
    <x v="12"/>
    <x v="3"/>
    <n v="52.7"/>
    <x v="790"/>
    <d v="2025-02-06T00:00:00"/>
    <d v="2025-02-07T00:00:00"/>
    <x v="1"/>
    <x v="1"/>
    <x v="1"/>
    <x v="0"/>
    <x v="3"/>
    <x v="3"/>
    <x v="5"/>
    <x v="1"/>
  </r>
  <r>
    <x v="909"/>
    <x v="8"/>
    <x v="0"/>
    <n v="36.799999999999997"/>
    <x v="791"/>
    <d v="2025-02-06T00:00:00"/>
    <d v="2025-02-06T00:00:00"/>
    <x v="0"/>
    <x v="0"/>
    <x v="2"/>
    <x v="0"/>
    <x v="3"/>
    <x v="7"/>
    <x v="5"/>
    <x v="0"/>
  </r>
  <r>
    <x v="910"/>
    <x v="4"/>
    <x v="0"/>
    <n v="52.5"/>
    <x v="413"/>
    <d v="2025-02-06T00:00:00"/>
    <d v="2025-02-07T00:00:00"/>
    <x v="1"/>
    <x v="0"/>
    <x v="1"/>
    <x v="0"/>
    <x v="6"/>
    <x v="3"/>
    <x v="5"/>
    <x v="1"/>
  </r>
  <r>
    <x v="911"/>
    <x v="2"/>
    <x v="1"/>
    <n v="133.80000000000001"/>
    <x v="792"/>
    <d v="2025-02-06T00:00:00"/>
    <d v="2025-02-08T00:00:00"/>
    <x v="1"/>
    <x v="0"/>
    <x v="1"/>
    <x v="0"/>
    <x v="7"/>
    <x v="1"/>
    <x v="5"/>
    <x v="1"/>
  </r>
  <r>
    <x v="912"/>
    <x v="6"/>
    <x v="1"/>
    <n v="53.2"/>
    <x v="793"/>
    <d v="2025-02-06T00:00:00"/>
    <d v="2025-02-08T00:00:00"/>
    <x v="1"/>
    <x v="0"/>
    <x v="0"/>
    <x v="0"/>
    <x v="17"/>
    <x v="1"/>
    <x v="5"/>
    <x v="1"/>
  </r>
  <r>
    <x v="913"/>
    <x v="14"/>
    <x v="13"/>
    <n v="18.7"/>
    <x v="794"/>
    <d v="2025-02-06T00:00:00"/>
    <d v="2025-02-08T00:00:00"/>
    <x v="0"/>
    <x v="0"/>
    <x v="1"/>
    <x v="0"/>
    <x v="10"/>
    <x v="1"/>
    <x v="5"/>
    <x v="0"/>
  </r>
  <r>
    <x v="914"/>
    <x v="6"/>
    <x v="12"/>
    <n v="108.8"/>
    <x v="795"/>
    <d v="2025-02-06T00:00:00"/>
    <d v="2025-02-07T00:00:00"/>
    <x v="2"/>
    <x v="3"/>
    <x v="2"/>
    <x v="0"/>
    <x v="11"/>
    <x v="3"/>
    <x v="5"/>
    <x v="2"/>
  </r>
  <r>
    <x v="915"/>
    <x v="15"/>
    <x v="9"/>
    <n v="38.5"/>
    <x v="796"/>
    <d v="2025-02-06T00:00:00"/>
    <d v="2025-02-10T00:00:00"/>
    <x v="2"/>
    <x v="0"/>
    <x v="1"/>
    <x v="0"/>
    <x v="14"/>
    <x v="5"/>
    <x v="5"/>
    <x v="2"/>
  </r>
  <r>
    <x v="916"/>
    <x v="10"/>
    <x v="7"/>
    <n v="46.5"/>
    <x v="797"/>
    <d v="2025-02-06T00:00:00"/>
    <d v="2025-02-08T00:00:00"/>
    <x v="1"/>
    <x v="2"/>
    <x v="1"/>
    <x v="0"/>
    <x v="2"/>
    <x v="1"/>
    <x v="5"/>
    <x v="1"/>
  </r>
  <r>
    <x v="917"/>
    <x v="2"/>
    <x v="2"/>
    <n v="75.8"/>
    <x v="129"/>
    <d v="2025-02-06T00:00:00"/>
    <d v="2025-02-10T00:00:00"/>
    <x v="2"/>
    <x v="1"/>
    <x v="4"/>
    <x v="0"/>
    <x v="44"/>
    <x v="5"/>
    <x v="5"/>
    <x v="2"/>
  </r>
  <r>
    <x v="918"/>
    <x v="8"/>
    <x v="0"/>
    <n v="20.9"/>
    <x v="798"/>
    <d v="2025-02-06T00:00:00"/>
    <d v="2025-02-10T00:00:00"/>
    <x v="1"/>
    <x v="0"/>
    <x v="0"/>
    <x v="0"/>
    <x v="22"/>
    <x v="5"/>
    <x v="5"/>
    <x v="1"/>
  </r>
  <r>
    <x v="919"/>
    <x v="18"/>
    <x v="2"/>
    <n v="47.4"/>
    <x v="60"/>
    <d v="2025-02-06T00:00:00"/>
    <d v="2025-02-09T00:00:00"/>
    <x v="2"/>
    <x v="0"/>
    <x v="0"/>
    <x v="0"/>
    <x v="3"/>
    <x v="2"/>
    <x v="5"/>
    <x v="2"/>
  </r>
  <r>
    <x v="920"/>
    <x v="9"/>
    <x v="1"/>
    <n v="53.8"/>
    <x v="799"/>
    <d v="2025-02-06T00:00:00"/>
    <d v="2025-02-07T00:00:00"/>
    <x v="0"/>
    <x v="0"/>
    <x v="1"/>
    <x v="0"/>
    <x v="3"/>
    <x v="3"/>
    <x v="5"/>
    <x v="0"/>
  </r>
  <r>
    <x v="921"/>
    <x v="8"/>
    <x v="2"/>
    <n v="24.6"/>
    <x v="800"/>
    <d v="2025-02-06T00:00:00"/>
    <d v="2025-02-08T00:00:00"/>
    <x v="3"/>
    <x v="1"/>
    <x v="2"/>
    <x v="0"/>
    <x v="3"/>
    <x v="1"/>
    <x v="5"/>
    <x v="3"/>
  </r>
  <r>
    <x v="922"/>
    <x v="9"/>
    <x v="2"/>
    <n v="70.900000000000006"/>
    <x v="801"/>
    <d v="2025-02-06T00:00:00"/>
    <d v="2025-02-11T00:00:00"/>
    <x v="2"/>
    <x v="2"/>
    <x v="2"/>
    <x v="0"/>
    <x v="3"/>
    <x v="0"/>
    <x v="5"/>
    <x v="2"/>
  </r>
  <r>
    <x v="923"/>
    <x v="17"/>
    <x v="2"/>
    <n v="31.9"/>
    <x v="802"/>
    <d v="2025-02-06T00:00:00"/>
    <d v="2025-02-08T00:00:00"/>
    <x v="2"/>
    <x v="2"/>
    <x v="2"/>
    <x v="0"/>
    <x v="3"/>
    <x v="1"/>
    <x v="5"/>
    <x v="2"/>
  </r>
  <r>
    <x v="924"/>
    <x v="0"/>
    <x v="1"/>
    <n v="20.399999999999999"/>
    <x v="803"/>
    <d v="2025-02-06T00:00:00"/>
    <d v="2025-02-10T00:00:00"/>
    <x v="1"/>
    <x v="3"/>
    <x v="2"/>
    <x v="0"/>
    <x v="3"/>
    <x v="5"/>
    <x v="5"/>
    <x v="1"/>
  </r>
  <r>
    <x v="925"/>
    <x v="8"/>
    <x v="1"/>
    <n v="18.600000000000001"/>
    <x v="804"/>
    <d v="2025-02-06T00:00:00"/>
    <d v="2025-02-08T00:00:00"/>
    <x v="0"/>
    <x v="0"/>
    <x v="1"/>
    <x v="0"/>
    <x v="3"/>
    <x v="1"/>
    <x v="5"/>
    <x v="0"/>
  </r>
  <r>
    <x v="926"/>
    <x v="4"/>
    <x v="9"/>
    <n v="48.3"/>
    <x v="805"/>
    <d v="2025-02-06T00:00:00"/>
    <d v="2025-02-08T00:00:00"/>
    <x v="2"/>
    <x v="1"/>
    <x v="0"/>
    <x v="0"/>
    <x v="3"/>
    <x v="1"/>
    <x v="5"/>
    <x v="2"/>
  </r>
  <r>
    <x v="927"/>
    <x v="0"/>
    <x v="12"/>
    <n v="27.7"/>
    <x v="806"/>
    <d v="2025-02-06T00:00:00"/>
    <d v="2025-02-08T00:00:00"/>
    <x v="2"/>
    <x v="0"/>
    <x v="0"/>
    <x v="0"/>
    <x v="3"/>
    <x v="1"/>
    <x v="5"/>
    <x v="2"/>
  </r>
  <r>
    <x v="928"/>
    <x v="4"/>
    <x v="9"/>
    <n v="22.5"/>
    <x v="158"/>
    <d v="2025-02-06T00:00:00"/>
    <d v="2025-02-08T00:00:00"/>
    <x v="2"/>
    <x v="4"/>
    <x v="2"/>
    <x v="0"/>
    <x v="3"/>
    <x v="1"/>
    <x v="5"/>
    <x v="2"/>
  </r>
  <r>
    <x v="929"/>
    <x v="17"/>
    <x v="9"/>
    <n v="21.6"/>
    <x v="807"/>
    <d v="2025-02-06T00:00:00"/>
    <d v="2025-02-14T00:00:00"/>
    <x v="2"/>
    <x v="0"/>
    <x v="1"/>
    <x v="0"/>
    <x v="3"/>
    <x v="9"/>
    <x v="5"/>
    <x v="2"/>
  </r>
  <r>
    <x v="930"/>
    <x v="10"/>
    <x v="3"/>
    <n v="26.3"/>
    <x v="808"/>
    <d v="2025-02-06T00:00:00"/>
    <d v="2025-02-06T00:00:00"/>
    <x v="2"/>
    <x v="2"/>
    <x v="1"/>
    <x v="0"/>
    <x v="3"/>
    <x v="7"/>
    <x v="5"/>
    <x v="2"/>
  </r>
  <r>
    <x v="931"/>
    <x v="6"/>
    <x v="3"/>
    <n v="103"/>
    <x v="809"/>
    <d v="2025-02-07T00:00:00"/>
    <d v="2025-02-08T00:00:00"/>
    <x v="1"/>
    <x v="0"/>
    <x v="2"/>
    <x v="0"/>
    <x v="6"/>
    <x v="3"/>
    <x v="5"/>
    <x v="1"/>
  </r>
  <r>
    <x v="932"/>
    <x v="5"/>
    <x v="20"/>
    <n v="46.6"/>
    <x v="810"/>
    <d v="2025-02-07T00:00:00"/>
    <d v="2025-02-08T00:00:00"/>
    <x v="2"/>
    <x v="0"/>
    <x v="1"/>
    <x v="0"/>
    <x v="6"/>
    <x v="3"/>
    <x v="5"/>
    <x v="2"/>
  </r>
  <r>
    <x v="933"/>
    <x v="0"/>
    <x v="9"/>
    <n v="32.200000000000003"/>
    <x v="811"/>
    <d v="2025-02-07T00:00:00"/>
    <d v="2025-02-10T00:00:00"/>
    <x v="2"/>
    <x v="0"/>
    <x v="2"/>
    <x v="0"/>
    <x v="36"/>
    <x v="2"/>
    <x v="5"/>
    <x v="2"/>
  </r>
  <r>
    <x v="934"/>
    <x v="8"/>
    <x v="2"/>
    <n v="22"/>
    <x v="812"/>
    <d v="2025-02-07T00:00:00"/>
    <d v="2025-02-14T00:00:00"/>
    <x v="1"/>
    <x v="1"/>
    <x v="0"/>
    <x v="0"/>
    <x v="7"/>
    <x v="6"/>
    <x v="5"/>
    <x v="1"/>
  </r>
  <r>
    <x v="935"/>
    <x v="0"/>
    <x v="1"/>
    <n v="25.2"/>
    <x v="813"/>
    <d v="2025-02-07T00:00:00"/>
    <d v="2025-02-11T00:00:00"/>
    <x v="2"/>
    <x v="0"/>
    <x v="0"/>
    <x v="0"/>
    <x v="7"/>
    <x v="5"/>
    <x v="5"/>
    <x v="2"/>
  </r>
  <r>
    <x v="936"/>
    <x v="1"/>
    <x v="13"/>
    <n v="68.7"/>
    <x v="814"/>
    <d v="2025-02-07T00:00:00"/>
    <d v="2025-02-09T00:00:00"/>
    <x v="1"/>
    <x v="4"/>
    <x v="0"/>
    <x v="0"/>
    <x v="8"/>
    <x v="1"/>
    <x v="5"/>
    <x v="1"/>
  </r>
  <r>
    <x v="937"/>
    <x v="0"/>
    <x v="2"/>
    <n v="22.2"/>
    <x v="815"/>
    <d v="2025-02-07T00:00:00"/>
    <d v="2025-02-10T00:00:00"/>
    <x v="1"/>
    <x v="2"/>
    <x v="2"/>
    <x v="0"/>
    <x v="8"/>
    <x v="2"/>
    <x v="5"/>
    <x v="1"/>
  </r>
  <r>
    <x v="938"/>
    <x v="1"/>
    <x v="3"/>
    <n v="36"/>
    <x v="816"/>
    <d v="2025-02-07T00:00:00"/>
    <d v="2025-02-08T00:00:00"/>
    <x v="2"/>
    <x v="1"/>
    <x v="0"/>
    <x v="0"/>
    <x v="8"/>
    <x v="3"/>
    <x v="5"/>
    <x v="2"/>
  </r>
  <r>
    <x v="939"/>
    <x v="18"/>
    <x v="0"/>
    <n v="50.6"/>
    <x v="578"/>
    <d v="2025-02-07T00:00:00"/>
    <d v="2025-02-09T00:00:00"/>
    <x v="2"/>
    <x v="0"/>
    <x v="1"/>
    <x v="0"/>
    <x v="8"/>
    <x v="1"/>
    <x v="5"/>
    <x v="2"/>
  </r>
  <r>
    <x v="940"/>
    <x v="15"/>
    <x v="1"/>
    <n v="44.9"/>
    <x v="817"/>
    <d v="2025-02-07T00:00:00"/>
    <d v="2025-02-09T00:00:00"/>
    <x v="1"/>
    <x v="0"/>
    <x v="1"/>
    <x v="0"/>
    <x v="8"/>
    <x v="1"/>
    <x v="5"/>
    <x v="1"/>
  </r>
  <r>
    <x v="941"/>
    <x v="6"/>
    <x v="2"/>
    <n v="71.599999999999994"/>
    <x v="818"/>
    <d v="2025-02-07T00:00:00"/>
    <d v="2025-02-11T00:00:00"/>
    <x v="1"/>
    <x v="1"/>
    <x v="2"/>
    <x v="0"/>
    <x v="10"/>
    <x v="5"/>
    <x v="5"/>
    <x v="1"/>
  </r>
  <r>
    <x v="942"/>
    <x v="6"/>
    <x v="13"/>
    <n v="51.5"/>
    <x v="15"/>
    <d v="2025-02-07T00:00:00"/>
    <d v="2025-02-09T00:00:00"/>
    <x v="0"/>
    <x v="4"/>
    <x v="0"/>
    <x v="0"/>
    <x v="11"/>
    <x v="1"/>
    <x v="5"/>
    <x v="0"/>
  </r>
  <r>
    <x v="943"/>
    <x v="7"/>
    <x v="9"/>
    <n v="55.5"/>
    <x v="819"/>
    <d v="2025-02-07T00:00:00"/>
    <d v="2025-02-08T00:00:00"/>
    <x v="1"/>
    <x v="1"/>
    <x v="1"/>
    <x v="0"/>
    <x v="11"/>
    <x v="3"/>
    <x v="5"/>
    <x v="1"/>
  </r>
  <r>
    <x v="944"/>
    <x v="6"/>
    <x v="0"/>
    <n v="51.7"/>
    <x v="733"/>
    <d v="2025-02-07T00:00:00"/>
    <d v="2025-02-21T00:00:00"/>
    <x v="1"/>
    <x v="2"/>
    <x v="0"/>
    <x v="0"/>
    <x v="19"/>
    <x v="12"/>
    <x v="5"/>
    <x v="1"/>
  </r>
  <r>
    <x v="945"/>
    <x v="8"/>
    <x v="38"/>
    <n v="45.5"/>
    <x v="820"/>
    <d v="2025-02-07T00:00:00"/>
    <d v="2025-02-08T00:00:00"/>
    <x v="2"/>
    <x v="3"/>
    <x v="2"/>
    <x v="0"/>
    <x v="19"/>
    <x v="3"/>
    <x v="5"/>
    <x v="2"/>
  </r>
  <r>
    <x v="946"/>
    <x v="8"/>
    <x v="1"/>
    <n v="33.799999999999997"/>
    <x v="821"/>
    <d v="2025-02-07T00:00:00"/>
    <d v="2025-02-13T00:00:00"/>
    <x v="2"/>
    <x v="3"/>
    <x v="0"/>
    <x v="0"/>
    <x v="20"/>
    <x v="4"/>
    <x v="5"/>
    <x v="2"/>
  </r>
  <r>
    <x v="947"/>
    <x v="3"/>
    <x v="2"/>
    <n v="76.5"/>
    <x v="822"/>
    <d v="2025-02-07T00:00:00"/>
    <d v="2025-02-08T00:00:00"/>
    <x v="2"/>
    <x v="0"/>
    <x v="1"/>
    <x v="0"/>
    <x v="21"/>
    <x v="3"/>
    <x v="5"/>
    <x v="2"/>
  </r>
  <r>
    <x v="948"/>
    <x v="9"/>
    <x v="2"/>
    <n v="42.6"/>
    <x v="823"/>
    <d v="2025-02-07T00:00:00"/>
    <d v="2025-02-13T00:00:00"/>
    <x v="2"/>
    <x v="2"/>
    <x v="2"/>
    <x v="0"/>
    <x v="2"/>
    <x v="4"/>
    <x v="5"/>
    <x v="2"/>
  </r>
  <r>
    <x v="949"/>
    <x v="6"/>
    <x v="2"/>
    <n v="44.1"/>
    <x v="431"/>
    <d v="2025-02-07T00:00:00"/>
    <d v="2025-02-09T00:00:00"/>
    <x v="2"/>
    <x v="1"/>
    <x v="1"/>
    <x v="0"/>
    <x v="22"/>
    <x v="1"/>
    <x v="5"/>
    <x v="2"/>
  </r>
  <r>
    <x v="950"/>
    <x v="8"/>
    <x v="1"/>
    <n v="40.9"/>
    <x v="673"/>
    <d v="2025-02-07T00:00:00"/>
    <d v="2025-02-11T00:00:00"/>
    <x v="1"/>
    <x v="0"/>
    <x v="0"/>
    <x v="0"/>
    <x v="3"/>
    <x v="5"/>
    <x v="5"/>
    <x v="1"/>
  </r>
  <r>
    <x v="951"/>
    <x v="9"/>
    <x v="2"/>
    <n v="49.1"/>
    <x v="824"/>
    <d v="2025-02-07T00:00:00"/>
    <d v="2025-02-11T00:00:00"/>
    <x v="2"/>
    <x v="3"/>
    <x v="1"/>
    <x v="0"/>
    <x v="3"/>
    <x v="5"/>
    <x v="5"/>
    <x v="2"/>
  </r>
  <r>
    <x v="952"/>
    <x v="18"/>
    <x v="0"/>
    <n v="85.3"/>
    <x v="825"/>
    <d v="2025-02-07T00:00:00"/>
    <d v="2025-02-11T00:00:00"/>
    <x v="1"/>
    <x v="1"/>
    <x v="1"/>
    <x v="0"/>
    <x v="3"/>
    <x v="5"/>
    <x v="5"/>
    <x v="1"/>
  </r>
  <r>
    <x v="953"/>
    <x v="6"/>
    <x v="12"/>
    <n v="43.1"/>
    <x v="826"/>
    <d v="2025-02-08T00:00:00"/>
    <d v="2025-02-11T00:00:00"/>
    <x v="1"/>
    <x v="0"/>
    <x v="0"/>
    <x v="0"/>
    <x v="3"/>
    <x v="2"/>
    <x v="5"/>
    <x v="1"/>
  </r>
  <r>
    <x v="954"/>
    <x v="4"/>
    <x v="12"/>
    <n v="46.2"/>
    <x v="827"/>
    <d v="2025-02-08T00:00:00"/>
    <d v="2025-02-09T00:00:00"/>
    <x v="1"/>
    <x v="2"/>
    <x v="0"/>
    <x v="0"/>
    <x v="3"/>
    <x v="3"/>
    <x v="5"/>
    <x v="1"/>
  </r>
  <r>
    <x v="955"/>
    <x v="1"/>
    <x v="0"/>
    <n v="74.400000000000006"/>
    <x v="610"/>
    <d v="2025-02-08T00:00:00"/>
    <d v="2025-02-10T00:00:00"/>
    <x v="1"/>
    <x v="4"/>
    <x v="2"/>
    <x v="0"/>
    <x v="3"/>
    <x v="1"/>
    <x v="5"/>
    <x v="1"/>
  </r>
  <r>
    <x v="956"/>
    <x v="17"/>
    <x v="1"/>
    <n v="51.2"/>
    <x v="298"/>
    <d v="2025-02-08T00:00:00"/>
    <d v="2025-02-09T00:00:00"/>
    <x v="1"/>
    <x v="1"/>
    <x v="0"/>
    <x v="0"/>
    <x v="3"/>
    <x v="3"/>
    <x v="5"/>
    <x v="1"/>
  </r>
  <r>
    <x v="957"/>
    <x v="14"/>
    <x v="12"/>
    <n v="11.8"/>
    <x v="828"/>
    <d v="2025-02-08T00:00:00"/>
    <d v="2025-02-08T00:00:00"/>
    <x v="1"/>
    <x v="2"/>
    <x v="0"/>
    <x v="0"/>
    <x v="3"/>
    <x v="7"/>
    <x v="5"/>
    <x v="1"/>
  </r>
  <r>
    <x v="958"/>
    <x v="10"/>
    <x v="6"/>
    <n v="40.799999999999997"/>
    <x v="829"/>
    <d v="2025-02-08T00:00:00"/>
    <d v="2025-02-09T00:00:00"/>
    <x v="2"/>
    <x v="3"/>
    <x v="2"/>
    <x v="0"/>
    <x v="3"/>
    <x v="3"/>
    <x v="5"/>
    <x v="2"/>
  </r>
  <r>
    <x v="959"/>
    <x v="8"/>
    <x v="0"/>
    <n v="24.7"/>
    <x v="830"/>
    <d v="2025-02-08T00:00:00"/>
    <d v="2025-02-10T00:00:00"/>
    <x v="2"/>
    <x v="2"/>
    <x v="1"/>
    <x v="0"/>
    <x v="3"/>
    <x v="1"/>
    <x v="5"/>
    <x v="2"/>
  </r>
  <r>
    <x v="960"/>
    <x v="8"/>
    <x v="3"/>
    <n v="22.1"/>
    <x v="831"/>
    <d v="2025-02-08T00:00:00"/>
    <d v="2025-02-08T00:00:00"/>
    <x v="2"/>
    <x v="2"/>
    <x v="4"/>
    <x v="0"/>
    <x v="3"/>
    <x v="7"/>
    <x v="5"/>
    <x v="2"/>
  </r>
  <r>
    <x v="961"/>
    <x v="8"/>
    <x v="0"/>
    <n v="18.100000000000001"/>
    <x v="832"/>
    <d v="2025-02-08T00:00:00"/>
    <d v="2025-02-12T00:00:00"/>
    <x v="1"/>
    <x v="3"/>
    <x v="2"/>
    <x v="0"/>
    <x v="3"/>
    <x v="5"/>
    <x v="5"/>
    <x v="1"/>
  </r>
  <r>
    <x v="962"/>
    <x v="17"/>
    <x v="1"/>
    <n v="58.8"/>
    <x v="833"/>
    <d v="2025-02-08T00:00:00"/>
    <d v="2025-02-11T00:00:00"/>
    <x v="2"/>
    <x v="0"/>
    <x v="0"/>
    <x v="0"/>
    <x v="25"/>
    <x v="2"/>
    <x v="5"/>
    <x v="2"/>
  </r>
  <r>
    <x v="963"/>
    <x v="18"/>
    <x v="1"/>
    <n v="30.8"/>
    <x v="834"/>
    <d v="2025-02-08T00:00:00"/>
    <d v="2025-02-09T00:00:00"/>
    <x v="2"/>
    <x v="0"/>
    <x v="0"/>
    <x v="0"/>
    <x v="6"/>
    <x v="3"/>
    <x v="5"/>
    <x v="2"/>
  </r>
  <r>
    <x v="964"/>
    <x v="0"/>
    <x v="1"/>
    <n v="12"/>
    <x v="835"/>
    <d v="2025-02-08T00:00:00"/>
    <d v="2025-02-12T00:00:00"/>
    <x v="2"/>
    <x v="0"/>
    <x v="0"/>
    <x v="0"/>
    <x v="6"/>
    <x v="5"/>
    <x v="5"/>
    <x v="2"/>
  </r>
  <r>
    <x v="965"/>
    <x v="0"/>
    <x v="12"/>
    <n v="13.6"/>
    <x v="630"/>
    <d v="2025-02-08T00:00:00"/>
    <d v="2025-02-11T00:00:00"/>
    <x v="1"/>
    <x v="2"/>
    <x v="0"/>
    <x v="0"/>
    <x v="6"/>
    <x v="2"/>
    <x v="5"/>
    <x v="1"/>
  </r>
  <r>
    <x v="966"/>
    <x v="0"/>
    <x v="0"/>
    <n v="17.899999999999999"/>
    <x v="836"/>
    <d v="2025-02-08T00:00:00"/>
    <d v="2025-02-09T00:00:00"/>
    <x v="1"/>
    <x v="3"/>
    <x v="0"/>
    <x v="0"/>
    <x v="6"/>
    <x v="3"/>
    <x v="5"/>
    <x v="1"/>
  </r>
  <r>
    <x v="967"/>
    <x v="9"/>
    <x v="1"/>
    <n v="38.6"/>
    <x v="837"/>
    <d v="2025-02-08T00:00:00"/>
    <d v="2025-02-12T00:00:00"/>
    <x v="2"/>
    <x v="4"/>
    <x v="0"/>
    <x v="0"/>
    <x v="7"/>
    <x v="5"/>
    <x v="5"/>
    <x v="2"/>
  </r>
  <r>
    <x v="968"/>
    <x v="5"/>
    <x v="9"/>
    <n v="32.700000000000003"/>
    <x v="838"/>
    <d v="2025-02-08T00:00:00"/>
    <d v="2025-02-09T00:00:00"/>
    <x v="1"/>
    <x v="2"/>
    <x v="2"/>
    <x v="0"/>
    <x v="8"/>
    <x v="3"/>
    <x v="5"/>
    <x v="1"/>
  </r>
  <r>
    <x v="969"/>
    <x v="3"/>
    <x v="1"/>
    <n v="111.4"/>
    <x v="839"/>
    <d v="2025-02-08T00:00:00"/>
    <d v="2025-02-09T00:00:00"/>
    <x v="2"/>
    <x v="1"/>
    <x v="0"/>
    <x v="0"/>
    <x v="8"/>
    <x v="3"/>
    <x v="5"/>
    <x v="2"/>
  </r>
  <r>
    <x v="970"/>
    <x v="2"/>
    <x v="13"/>
    <n v="80.3"/>
    <x v="840"/>
    <d v="2025-02-08T00:00:00"/>
    <d v="2025-02-10T00:00:00"/>
    <x v="2"/>
    <x v="1"/>
    <x v="0"/>
    <x v="0"/>
    <x v="8"/>
    <x v="1"/>
    <x v="5"/>
    <x v="2"/>
  </r>
  <r>
    <x v="971"/>
    <x v="6"/>
    <x v="1"/>
    <n v="58.9"/>
    <x v="841"/>
    <d v="2025-02-08T00:00:00"/>
    <d v="2025-02-09T00:00:00"/>
    <x v="1"/>
    <x v="1"/>
    <x v="0"/>
    <x v="0"/>
    <x v="8"/>
    <x v="3"/>
    <x v="5"/>
    <x v="1"/>
  </r>
  <r>
    <x v="972"/>
    <x v="6"/>
    <x v="2"/>
    <n v="51.9"/>
    <x v="515"/>
    <d v="2025-02-08T00:00:00"/>
    <d v="2025-02-10T00:00:00"/>
    <x v="2"/>
    <x v="1"/>
    <x v="4"/>
    <x v="0"/>
    <x v="8"/>
    <x v="1"/>
    <x v="5"/>
    <x v="2"/>
  </r>
  <r>
    <x v="973"/>
    <x v="2"/>
    <x v="2"/>
    <n v="50.3"/>
    <x v="842"/>
    <d v="2025-02-08T00:00:00"/>
    <d v="2025-02-09T00:00:00"/>
    <x v="1"/>
    <x v="2"/>
    <x v="0"/>
    <x v="0"/>
    <x v="17"/>
    <x v="3"/>
    <x v="5"/>
    <x v="1"/>
  </r>
  <r>
    <x v="974"/>
    <x v="11"/>
    <x v="13"/>
    <n v="45"/>
    <x v="843"/>
    <d v="2025-02-08T00:00:00"/>
    <d v="2025-02-14T00:00:00"/>
    <x v="2"/>
    <x v="3"/>
    <x v="0"/>
    <x v="0"/>
    <x v="9"/>
    <x v="4"/>
    <x v="5"/>
    <x v="2"/>
  </r>
  <r>
    <x v="975"/>
    <x v="10"/>
    <x v="13"/>
    <n v="44.7"/>
    <x v="844"/>
    <d v="2025-02-08T00:00:00"/>
    <d v="2025-02-10T00:00:00"/>
    <x v="2"/>
    <x v="2"/>
    <x v="0"/>
    <x v="0"/>
    <x v="11"/>
    <x v="1"/>
    <x v="5"/>
    <x v="2"/>
  </r>
  <r>
    <x v="976"/>
    <x v="18"/>
    <x v="20"/>
    <n v="33"/>
    <x v="845"/>
    <d v="2025-02-08T00:00:00"/>
    <d v="2025-02-09T00:00:00"/>
    <x v="2"/>
    <x v="2"/>
    <x v="0"/>
    <x v="0"/>
    <x v="11"/>
    <x v="3"/>
    <x v="5"/>
    <x v="2"/>
  </r>
  <r>
    <x v="977"/>
    <x v="1"/>
    <x v="9"/>
    <n v="44.9"/>
    <x v="846"/>
    <d v="2025-02-08T00:00:00"/>
    <d v="2025-02-11T00:00:00"/>
    <x v="2"/>
    <x v="2"/>
    <x v="2"/>
    <x v="0"/>
    <x v="18"/>
    <x v="2"/>
    <x v="5"/>
    <x v="2"/>
  </r>
  <r>
    <x v="978"/>
    <x v="10"/>
    <x v="1"/>
    <n v="34.6"/>
    <x v="564"/>
    <d v="2025-02-08T00:00:00"/>
    <d v="2025-02-12T00:00:00"/>
    <x v="2"/>
    <x v="0"/>
    <x v="1"/>
    <x v="0"/>
    <x v="19"/>
    <x v="5"/>
    <x v="5"/>
    <x v="2"/>
  </r>
  <r>
    <x v="979"/>
    <x v="7"/>
    <x v="3"/>
    <n v="47.1"/>
    <x v="847"/>
    <d v="2025-02-08T00:00:00"/>
    <d v="2025-02-13T00:00:00"/>
    <x v="2"/>
    <x v="0"/>
    <x v="0"/>
    <x v="0"/>
    <x v="13"/>
    <x v="0"/>
    <x v="5"/>
    <x v="2"/>
  </r>
  <r>
    <x v="980"/>
    <x v="4"/>
    <x v="9"/>
    <n v="26.1"/>
    <x v="848"/>
    <d v="2025-02-08T00:00:00"/>
    <d v="2025-02-13T00:00:00"/>
    <x v="1"/>
    <x v="0"/>
    <x v="2"/>
    <x v="0"/>
    <x v="21"/>
    <x v="0"/>
    <x v="5"/>
    <x v="1"/>
  </r>
  <r>
    <x v="981"/>
    <x v="12"/>
    <x v="9"/>
    <n v="66.8"/>
    <x v="849"/>
    <d v="2025-02-08T00:00:00"/>
    <d v="2025-02-11T00:00:00"/>
    <x v="2"/>
    <x v="0"/>
    <x v="0"/>
    <x v="0"/>
    <x v="21"/>
    <x v="2"/>
    <x v="5"/>
    <x v="2"/>
  </r>
  <r>
    <x v="982"/>
    <x v="2"/>
    <x v="1"/>
    <n v="167.9"/>
    <x v="850"/>
    <d v="2025-02-08T00:00:00"/>
    <d v="2025-02-09T00:00:00"/>
    <x v="2"/>
    <x v="3"/>
    <x v="2"/>
    <x v="0"/>
    <x v="21"/>
    <x v="3"/>
    <x v="5"/>
    <x v="2"/>
  </r>
  <r>
    <x v="983"/>
    <x v="10"/>
    <x v="11"/>
    <n v="34.6"/>
    <x v="851"/>
    <d v="2025-02-08T00:00:00"/>
    <d v="2025-02-09T00:00:00"/>
    <x v="2"/>
    <x v="2"/>
    <x v="1"/>
    <x v="0"/>
    <x v="21"/>
    <x v="3"/>
    <x v="5"/>
    <x v="2"/>
  </r>
  <r>
    <x v="984"/>
    <x v="8"/>
    <x v="2"/>
    <n v="35.1"/>
    <x v="852"/>
    <d v="2025-02-09T00:00:00"/>
    <d v="2025-02-13T00:00:00"/>
    <x v="1"/>
    <x v="4"/>
    <x v="2"/>
    <x v="0"/>
    <x v="1"/>
    <x v="5"/>
    <x v="6"/>
    <x v="1"/>
  </r>
  <r>
    <x v="985"/>
    <x v="6"/>
    <x v="12"/>
    <n v="104.5"/>
    <x v="378"/>
    <d v="2025-02-09T00:00:00"/>
    <d v="2025-02-10T00:00:00"/>
    <x v="1"/>
    <x v="1"/>
    <x v="1"/>
    <x v="0"/>
    <x v="1"/>
    <x v="3"/>
    <x v="6"/>
    <x v="1"/>
  </r>
  <r>
    <x v="986"/>
    <x v="8"/>
    <x v="0"/>
    <n v="37.9"/>
    <x v="853"/>
    <d v="2025-02-09T00:00:00"/>
    <d v="2025-02-11T00:00:00"/>
    <x v="0"/>
    <x v="1"/>
    <x v="2"/>
    <x v="0"/>
    <x v="2"/>
    <x v="1"/>
    <x v="6"/>
    <x v="0"/>
  </r>
  <r>
    <x v="987"/>
    <x v="4"/>
    <x v="2"/>
    <n v="25.5"/>
    <x v="514"/>
    <d v="2025-02-09T00:00:00"/>
    <d v="2025-02-12T00:00:00"/>
    <x v="1"/>
    <x v="3"/>
    <x v="0"/>
    <x v="0"/>
    <x v="2"/>
    <x v="2"/>
    <x v="6"/>
    <x v="1"/>
  </r>
  <r>
    <x v="988"/>
    <x v="0"/>
    <x v="2"/>
    <n v="32"/>
    <x v="854"/>
    <d v="2025-02-09T00:00:00"/>
    <d v="2025-02-13T00:00:00"/>
    <x v="2"/>
    <x v="1"/>
    <x v="0"/>
    <x v="0"/>
    <x v="22"/>
    <x v="5"/>
    <x v="6"/>
    <x v="2"/>
  </r>
  <r>
    <x v="989"/>
    <x v="1"/>
    <x v="0"/>
    <n v="47.1"/>
    <x v="392"/>
    <d v="2025-02-09T00:00:00"/>
    <d v="2025-02-10T00:00:00"/>
    <x v="2"/>
    <x v="0"/>
    <x v="0"/>
    <x v="0"/>
    <x v="34"/>
    <x v="3"/>
    <x v="6"/>
    <x v="2"/>
  </r>
  <r>
    <x v="990"/>
    <x v="6"/>
    <x v="1"/>
    <n v="50.6"/>
    <x v="855"/>
    <d v="2025-02-09T00:00:00"/>
    <d v="2025-02-15T00:00:00"/>
    <x v="0"/>
    <x v="0"/>
    <x v="0"/>
    <x v="0"/>
    <x v="3"/>
    <x v="4"/>
    <x v="6"/>
    <x v="0"/>
  </r>
  <r>
    <x v="991"/>
    <x v="6"/>
    <x v="9"/>
    <n v="81.7"/>
    <x v="856"/>
    <d v="2025-02-09T00:00:00"/>
    <d v="2025-02-10T00:00:00"/>
    <x v="2"/>
    <x v="1"/>
    <x v="2"/>
    <x v="0"/>
    <x v="3"/>
    <x v="3"/>
    <x v="6"/>
    <x v="2"/>
  </r>
  <r>
    <x v="992"/>
    <x v="5"/>
    <x v="1"/>
    <n v="50.7"/>
    <x v="857"/>
    <d v="2025-02-09T00:00:00"/>
    <d v="2025-02-10T00:00:00"/>
    <x v="3"/>
    <x v="2"/>
    <x v="2"/>
    <x v="0"/>
    <x v="3"/>
    <x v="3"/>
    <x v="6"/>
    <x v="3"/>
  </r>
  <r>
    <x v="993"/>
    <x v="2"/>
    <x v="10"/>
    <n v="67.3"/>
    <x v="858"/>
    <d v="2025-02-09T00:00:00"/>
    <d v="2025-02-13T00:00:00"/>
    <x v="2"/>
    <x v="2"/>
    <x v="0"/>
    <x v="0"/>
    <x v="3"/>
    <x v="5"/>
    <x v="6"/>
    <x v="2"/>
  </r>
  <r>
    <x v="994"/>
    <x v="2"/>
    <x v="12"/>
    <n v="64.8"/>
    <x v="629"/>
    <d v="2025-02-09T00:00:00"/>
    <d v="2025-02-12T00:00:00"/>
    <x v="2"/>
    <x v="3"/>
    <x v="0"/>
    <x v="0"/>
    <x v="3"/>
    <x v="2"/>
    <x v="6"/>
    <x v="2"/>
  </r>
  <r>
    <x v="995"/>
    <x v="5"/>
    <x v="32"/>
    <n v="61.3"/>
    <x v="859"/>
    <d v="2025-02-09T00:00:00"/>
    <d v="2025-02-10T00:00:00"/>
    <x v="2"/>
    <x v="0"/>
    <x v="2"/>
    <x v="0"/>
    <x v="3"/>
    <x v="3"/>
    <x v="6"/>
    <x v="2"/>
  </r>
  <r>
    <x v="996"/>
    <x v="14"/>
    <x v="0"/>
    <n v="32.9"/>
    <x v="860"/>
    <d v="2025-02-09T00:00:00"/>
    <d v="2025-02-12T00:00:00"/>
    <x v="2"/>
    <x v="4"/>
    <x v="0"/>
    <x v="0"/>
    <x v="3"/>
    <x v="2"/>
    <x v="6"/>
    <x v="2"/>
  </r>
  <r>
    <x v="997"/>
    <x v="6"/>
    <x v="1"/>
    <n v="100.8"/>
    <x v="861"/>
    <d v="2025-02-09T00:00:00"/>
    <d v="2025-02-12T00:00:00"/>
    <x v="2"/>
    <x v="0"/>
    <x v="0"/>
    <x v="0"/>
    <x v="3"/>
    <x v="2"/>
    <x v="6"/>
    <x v="2"/>
  </r>
  <r>
    <x v="998"/>
    <x v="8"/>
    <x v="12"/>
    <n v="25.1"/>
    <x v="862"/>
    <d v="2025-02-09T00:00:00"/>
    <d v="2025-02-11T00:00:00"/>
    <x v="2"/>
    <x v="1"/>
    <x v="0"/>
    <x v="0"/>
    <x v="3"/>
    <x v="1"/>
    <x v="6"/>
    <x v="2"/>
  </r>
  <r>
    <x v="999"/>
    <x v="17"/>
    <x v="0"/>
    <n v="48.5"/>
    <x v="319"/>
    <d v="2025-02-09T00:00:00"/>
    <d v="2025-02-10T00:00:00"/>
    <x v="2"/>
    <x v="0"/>
    <x v="1"/>
    <x v="0"/>
    <x v="3"/>
    <x v="3"/>
    <x v="6"/>
    <x v="2"/>
  </r>
  <r>
    <x v="1000"/>
    <x v="7"/>
    <x v="1"/>
    <n v="33.6"/>
    <x v="863"/>
    <d v="2025-02-09T00:00:00"/>
    <d v="2025-02-13T00:00:00"/>
    <x v="2"/>
    <x v="2"/>
    <x v="2"/>
    <x v="0"/>
    <x v="3"/>
    <x v="5"/>
    <x v="6"/>
    <x v="2"/>
  </r>
  <r>
    <x v="1001"/>
    <x v="8"/>
    <x v="0"/>
    <n v="39.299999999999997"/>
    <x v="864"/>
    <d v="2025-02-09T00:00:00"/>
    <d v="2025-02-20T00:00:00"/>
    <x v="2"/>
    <x v="1"/>
    <x v="1"/>
    <x v="0"/>
    <x v="49"/>
    <x v="11"/>
    <x v="6"/>
    <x v="2"/>
  </r>
  <r>
    <x v="1002"/>
    <x v="4"/>
    <x v="7"/>
    <n v="48.8"/>
    <x v="865"/>
    <d v="2025-02-09T00:00:00"/>
    <d v="2025-02-11T00:00:00"/>
    <x v="2"/>
    <x v="3"/>
    <x v="1"/>
    <x v="0"/>
    <x v="25"/>
    <x v="1"/>
    <x v="6"/>
    <x v="2"/>
  </r>
  <r>
    <x v="1003"/>
    <x v="6"/>
    <x v="8"/>
    <n v="72.8"/>
    <x v="866"/>
    <d v="2025-02-09T00:00:00"/>
    <d v="2025-02-11T00:00:00"/>
    <x v="1"/>
    <x v="1"/>
    <x v="2"/>
    <x v="0"/>
    <x v="5"/>
    <x v="1"/>
    <x v="6"/>
    <x v="1"/>
  </r>
  <r>
    <x v="1004"/>
    <x v="10"/>
    <x v="8"/>
    <n v="46.2"/>
    <x v="867"/>
    <d v="2025-02-09T00:00:00"/>
    <d v="2025-02-10T00:00:00"/>
    <x v="1"/>
    <x v="3"/>
    <x v="4"/>
    <x v="0"/>
    <x v="5"/>
    <x v="3"/>
    <x v="6"/>
    <x v="1"/>
  </r>
  <r>
    <x v="1005"/>
    <x v="4"/>
    <x v="1"/>
    <n v="20.7"/>
    <x v="50"/>
    <d v="2025-02-09T00:00:00"/>
    <d v="2025-02-10T00:00:00"/>
    <x v="2"/>
    <x v="2"/>
    <x v="3"/>
    <x v="0"/>
    <x v="6"/>
    <x v="3"/>
    <x v="6"/>
    <x v="2"/>
  </r>
  <r>
    <x v="1006"/>
    <x v="0"/>
    <x v="0"/>
    <n v="35.700000000000003"/>
    <x v="519"/>
    <d v="2025-02-09T00:00:00"/>
    <d v="2025-02-11T00:00:00"/>
    <x v="2"/>
    <x v="3"/>
    <x v="0"/>
    <x v="0"/>
    <x v="6"/>
    <x v="1"/>
    <x v="6"/>
    <x v="2"/>
  </r>
  <r>
    <x v="1007"/>
    <x v="2"/>
    <x v="27"/>
    <n v="166.2"/>
    <x v="868"/>
    <d v="2025-02-09T00:00:00"/>
    <d v="2025-02-11T00:00:00"/>
    <x v="0"/>
    <x v="2"/>
    <x v="0"/>
    <x v="0"/>
    <x v="7"/>
    <x v="1"/>
    <x v="6"/>
    <x v="0"/>
  </r>
  <r>
    <x v="1008"/>
    <x v="6"/>
    <x v="12"/>
    <n v="85.8"/>
    <x v="869"/>
    <d v="2025-02-09T00:00:00"/>
    <d v="2025-02-10T00:00:00"/>
    <x v="2"/>
    <x v="1"/>
    <x v="1"/>
    <x v="0"/>
    <x v="7"/>
    <x v="3"/>
    <x v="6"/>
    <x v="2"/>
  </r>
  <r>
    <x v="1009"/>
    <x v="8"/>
    <x v="2"/>
    <n v="26"/>
    <x v="292"/>
    <d v="2025-02-09T00:00:00"/>
    <d v="2025-02-11T00:00:00"/>
    <x v="3"/>
    <x v="1"/>
    <x v="0"/>
    <x v="0"/>
    <x v="7"/>
    <x v="1"/>
    <x v="6"/>
    <x v="3"/>
  </r>
  <r>
    <x v="1010"/>
    <x v="2"/>
    <x v="15"/>
    <n v="116.6"/>
    <x v="870"/>
    <d v="2025-02-09T00:00:00"/>
    <d v="2025-02-12T00:00:00"/>
    <x v="2"/>
    <x v="0"/>
    <x v="0"/>
    <x v="0"/>
    <x v="8"/>
    <x v="2"/>
    <x v="6"/>
    <x v="2"/>
  </r>
  <r>
    <x v="1011"/>
    <x v="9"/>
    <x v="3"/>
    <n v="53.9"/>
    <x v="871"/>
    <d v="2025-02-09T00:00:00"/>
    <d v="2025-02-12T00:00:00"/>
    <x v="3"/>
    <x v="0"/>
    <x v="2"/>
    <x v="0"/>
    <x v="8"/>
    <x v="2"/>
    <x v="6"/>
    <x v="3"/>
  </r>
  <r>
    <x v="1012"/>
    <x v="12"/>
    <x v="9"/>
    <n v="72.3"/>
    <x v="785"/>
    <d v="2025-02-09T00:00:00"/>
    <d v="2025-02-11T00:00:00"/>
    <x v="0"/>
    <x v="2"/>
    <x v="2"/>
    <x v="0"/>
    <x v="8"/>
    <x v="1"/>
    <x v="6"/>
    <x v="0"/>
  </r>
  <r>
    <x v="1013"/>
    <x v="5"/>
    <x v="1"/>
    <n v="31.4"/>
    <x v="143"/>
    <d v="2025-02-09T00:00:00"/>
    <d v="2025-02-11T00:00:00"/>
    <x v="2"/>
    <x v="0"/>
    <x v="0"/>
    <x v="0"/>
    <x v="8"/>
    <x v="1"/>
    <x v="6"/>
    <x v="2"/>
  </r>
  <r>
    <x v="1014"/>
    <x v="13"/>
    <x v="1"/>
    <n v="53.1"/>
    <x v="872"/>
    <d v="2025-02-09T00:00:00"/>
    <d v="2025-02-12T00:00:00"/>
    <x v="1"/>
    <x v="1"/>
    <x v="0"/>
    <x v="0"/>
    <x v="8"/>
    <x v="2"/>
    <x v="6"/>
    <x v="1"/>
  </r>
  <r>
    <x v="1015"/>
    <x v="2"/>
    <x v="12"/>
    <n v="56.2"/>
    <x v="873"/>
    <d v="2025-02-09T00:00:00"/>
    <d v="2025-02-10T00:00:00"/>
    <x v="2"/>
    <x v="0"/>
    <x v="0"/>
    <x v="0"/>
    <x v="8"/>
    <x v="3"/>
    <x v="6"/>
    <x v="2"/>
  </r>
  <r>
    <x v="1016"/>
    <x v="1"/>
    <x v="7"/>
    <n v="77.3"/>
    <x v="874"/>
    <d v="2025-02-09T00:00:00"/>
    <d v="2025-02-10T00:00:00"/>
    <x v="2"/>
    <x v="2"/>
    <x v="0"/>
    <x v="0"/>
    <x v="11"/>
    <x v="3"/>
    <x v="6"/>
    <x v="2"/>
  </r>
  <r>
    <x v="1017"/>
    <x v="6"/>
    <x v="15"/>
    <n v="57.8"/>
    <x v="875"/>
    <d v="2025-02-09T00:00:00"/>
    <d v="2025-02-10T00:00:00"/>
    <x v="0"/>
    <x v="0"/>
    <x v="0"/>
    <x v="0"/>
    <x v="53"/>
    <x v="3"/>
    <x v="6"/>
    <x v="0"/>
  </r>
  <r>
    <x v="1018"/>
    <x v="12"/>
    <x v="20"/>
    <n v="42.1"/>
    <x v="876"/>
    <d v="2025-02-09T00:00:00"/>
    <d v="2025-02-11T00:00:00"/>
    <x v="2"/>
    <x v="1"/>
    <x v="1"/>
    <x v="0"/>
    <x v="53"/>
    <x v="1"/>
    <x v="6"/>
    <x v="2"/>
  </r>
  <r>
    <x v="1019"/>
    <x v="8"/>
    <x v="11"/>
    <n v="22.8"/>
    <x v="877"/>
    <d v="2025-02-09T00:00:00"/>
    <d v="2025-02-13T00:00:00"/>
    <x v="1"/>
    <x v="2"/>
    <x v="2"/>
    <x v="0"/>
    <x v="19"/>
    <x v="5"/>
    <x v="6"/>
    <x v="1"/>
  </r>
  <r>
    <x v="1020"/>
    <x v="2"/>
    <x v="2"/>
    <n v="171.1"/>
    <x v="878"/>
    <d v="2025-02-10T00:00:00"/>
    <d v="2025-02-17T00:00:00"/>
    <x v="2"/>
    <x v="2"/>
    <x v="1"/>
    <x v="0"/>
    <x v="19"/>
    <x v="6"/>
    <x v="6"/>
    <x v="2"/>
  </r>
  <r>
    <x v="1021"/>
    <x v="8"/>
    <x v="0"/>
    <n v="28"/>
    <x v="879"/>
    <d v="2025-02-10T00:00:00"/>
    <d v="2025-02-12T00:00:00"/>
    <x v="1"/>
    <x v="2"/>
    <x v="2"/>
    <x v="0"/>
    <x v="21"/>
    <x v="1"/>
    <x v="6"/>
    <x v="1"/>
  </r>
  <r>
    <x v="1022"/>
    <x v="6"/>
    <x v="3"/>
    <n v="50.2"/>
    <x v="880"/>
    <d v="2025-02-10T00:00:00"/>
    <d v="2025-02-12T00:00:00"/>
    <x v="1"/>
    <x v="2"/>
    <x v="0"/>
    <x v="0"/>
    <x v="21"/>
    <x v="1"/>
    <x v="6"/>
    <x v="1"/>
  </r>
  <r>
    <x v="1023"/>
    <x v="6"/>
    <x v="1"/>
    <n v="56"/>
    <x v="881"/>
    <d v="2025-02-10T00:00:00"/>
    <d v="2025-02-10T00:00:00"/>
    <x v="1"/>
    <x v="0"/>
    <x v="2"/>
    <x v="0"/>
    <x v="22"/>
    <x v="7"/>
    <x v="6"/>
    <x v="1"/>
  </r>
  <r>
    <x v="1024"/>
    <x v="1"/>
    <x v="1"/>
    <n v="38.299999999999997"/>
    <x v="882"/>
    <d v="2025-02-10T00:00:00"/>
    <d v="2025-02-11T00:00:00"/>
    <x v="2"/>
    <x v="1"/>
    <x v="0"/>
    <x v="0"/>
    <x v="3"/>
    <x v="3"/>
    <x v="6"/>
    <x v="2"/>
  </r>
  <r>
    <x v="1025"/>
    <x v="0"/>
    <x v="9"/>
    <n v="22.3"/>
    <x v="883"/>
    <d v="2025-02-10T00:00:00"/>
    <d v="2025-02-14T00:00:00"/>
    <x v="2"/>
    <x v="2"/>
    <x v="1"/>
    <x v="0"/>
    <x v="3"/>
    <x v="5"/>
    <x v="6"/>
    <x v="2"/>
  </r>
  <r>
    <x v="1026"/>
    <x v="0"/>
    <x v="2"/>
    <n v="22.3"/>
    <x v="884"/>
    <d v="2025-02-10T00:00:00"/>
    <d v="2025-02-13T00:00:00"/>
    <x v="2"/>
    <x v="2"/>
    <x v="0"/>
    <x v="0"/>
    <x v="3"/>
    <x v="2"/>
    <x v="6"/>
    <x v="2"/>
  </r>
  <r>
    <x v="1027"/>
    <x v="1"/>
    <x v="0"/>
    <n v="32.9"/>
    <x v="860"/>
    <d v="2025-02-10T00:00:00"/>
    <d v="2025-02-15T00:00:00"/>
    <x v="2"/>
    <x v="0"/>
    <x v="0"/>
    <x v="0"/>
    <x v="3"/>
    <x v="0"/>
    <x v="6"/>
    <x v="2"/>
  </r>
  <r>
    <x v="1028"/>
    <x v="10"/>
    <x v="2"/>
    <n v="31.9"/>
    <x v="802"/>
    <d v="2025-02-10T00:00:00"/>
    <d v="2025-02-15T00:00:00"/>
    <x v="2"/>
    <x v="0"/>
    <x v="0"/>
    <x v="0"/>
    <x v="3"/>
    <x v="0"/>
    <x v="6"/>
    <x v="2"/>
  </r>
  <r>
    <x v="1029"/>
    <x v="6"/>
    <x v="1"/>
    <n v="94"/>
    <x v="885"/>
    <d v="2025-02-10T00:00:00"/>
    <d v="2025-02-11T00:00:00"/>
    <x v="1"/>
    <x v="2"/>
    <x v="2"/>
    <x v="0"/>
    <x v="3"/>
    <x v="3"/>
    <x v="6"/>
    <x v="1"/>
  </r>
  <r>
    <x v="1030"/>
    <x v="10"/>
    <x v="1"/>
    <n v="30.7"/>
    <x v="886"/>
    <d v="2025-02-10T00:00:00"/>
    <d v="2025-02-11T00:00:00"/>
    <x v="2"/>
    <x v="0"/>
    <x v="1"/>
    <x v="0"/>
    <x v="3"/>
    <x v="3"/>
    <x v="6"/>
    <x v="2"/>
  </r>
  <r>
    <x v="1031"/>
    <x v="5"/>
    <x v="9"/>
    <n v="90.5"/>
    <x v="887"/>
    <d v="2025-02-10T00:00:00"/>
    <d v="2025-02-17T00:00:00"/>
    <x v="1"/>
    <x v="0"/>
    <x v="2"/>
    <x v="0"/>
    <x v="3"/>
    <x v="6"/>
    <x v="6"/>
    <x v="1"/>
  </r>
  <r>
    <x v="1032"/>
    <x v="8"/>
    <x v="9"/>
    <n v="25.3"/>
    <x v="888"/>
    <d v="2025-02-10T00:00:00"/>
    <d v="2025-02-14T00:00:00"/>
    <x v="2"/>
    <x v="0"/>
    <x v="2"/>
    <x v="0"/>
    <x v="3"/>
    <x v="5"/>
    <x v="6"/>
    <x v="2"/>
  </r>
  <r>
    <x v="1033"/>
    <x v="6"/>
    <x v="2"/>
    <n v="58.1"/>
    <x v="889"/>
    <d v="2025-02-10T00:00:00"/>
    <d v="2025-02-14T00:00:00"/>
    <x v="0"/>
    <x v="0"/>
    <x v="2"/>
    <x v="0"/>
    <x v="3"/>
    <x v="5"/>
    <x v="6"/>
    <x v="0"/>
  </r>
  <r>
    <x v="1034"/>
    <x v="2"/>
    <x v="2"/>
    <n v="74.900000000000006"/>
    <x v="890"/>
    <d v="2025-02-10T00:00:00"/>
    <d v="2025-02-11T00:00:00"/>
    <x v="2"/>
    <x v="4"/>
    <x v="0"/>
    <x v="0"/>
    <x v="3"/>
    <x v="3"/>
    <x v="6"/>
    <x v="2"/>
  </r>
  <r>
    <x v="1035"/>
    <x v="4"/>
    <x v="1"/>
    <n v="32.5"/>
    <x v="891"/>
    <d v="2025-02-10T00:00:00"/>
    <d v="2025-02-11T00:00:00"/>
    <x v="1"/>
    <x v="2"/>
    <x v="2"/>
    <x v="0"/>
    <x v="43"/>
    <x v="3"/>
    <x v="6"/>
    <x v="1"/>
  </r>
  <r>
    <x v="1036"/>
    <x v="4"/>
    <x v="9"/>
    <n v="62"/>
    <x v="892"/>
    <d v="2025-02-10T00:00:00"/>
    <d v="2025-02-11T00:00:00"/>
    <x v="1"/>
    <x v="4"/>
    <x v="2"/>
    <x v="0"/>
    <x v="25"/>
    <x v="3"/>
    <x v="6"/>
    <x v="1"/>
  </r>
  <r>
    <x v="1037"/>
    <x v="13"/>
    <x v="13"/>
    <n v="28.9"/>
    <x v="893"/>
    <d v="2025-02-10T00:00:00"/>
    <d v="2025-02-13T00:00:00"/>
    <x v="2"/>
    <x v="0"/>
    <x v="1"/>
    <x v="0"/>
    <x v="6"/>
    <x v="2"/>
    <x v="6"/>
    <x v="2"/>
  </r>
  <r>
    <x v="1038"/>
    <x v="6"/>
    <x v="8"/>
    <n v="42.8"/>
    <x v="894"/>
    <d v="2025-02-10T00:00:00"/>
    <d v="2025-02-12T00:00:00"/>
    <x v="2"/>
    <x v="0"/>
    <x v="2"/>
    <x v="0"/>
    <x v="6"/>
    <x v="1"/>
    <x v="6"/>
    <x v="2"/>
  </r>
  <r>
    <x v="1039"/>
    <x v="8"/>
    <x v="8"/>
    <n v="39.4"/>
    <x v="895"/>
    <d v="2025-02-10T00:00:00"/>
    <d v="2025-02-12T00:00:00"/>
    <x v="1"/>
    <x v="0"/>
    <x v="0"/>
    <x v="0"/>
    <x v="36"/>
    <x v="1"/>
    <x v="6"/>
    <x v="1"/>
  </r>
  <r>
    <x v="1040"/>
    <x v="18"/>
    <x v="2"/>
    <n v="66.400000000000006"/>
    <x v="896"/>
    <d v="2025-02-10T00:00:00"/>
    <d v="2025-02-11T00:00:00"/>
    <x v="0"/>
    <x v="2"/>
    <x v="1"/>
    <x v="0"/>
    <x v="7"/>
    <x v="3"/>
    <x v="6"/>
    <x v="0"/>
  </r>
  <r>
    <x v="1041"/>
    <x v="17"/>
    <x v="12"/>
    <n v="35.9"/>
    <x v="897"/>
    <d v="2025-02-10T00:00:00"/>
    <d v="2025-02-17T00:00:00"/>
    <x v="2"/>
    <x v="1"/>
    <x v="0"/>
    <x v="0"/>
    <x v="7"/>
    <x v="6"/>
    <x v="6"/>
    <x v="2"/>
  </r>
  <r>
    <x v="1042"/>
    <x v="0"/>
    <x v="12"/>
    <n v="26.9"/>
    <x v="799"/>
    <d v="2025-02-10T00:00:00"/>
    <d v="2025-02-11T00:00:00"/>
    <x v="1"/>
    <x v="1"/>
    <x v="0"/>
    <x v="0"/>
    <x v="7"/>
    <x v="3"/>
    <x v="6"/>
    <x v="1"/>
  </r>
  <r>
    <x v="1043"/>
    <x v="2"/>
    <x v="0"/>
    <n v="55.1"/>
    <x v="898"/>
    <d v="2025-02-10T00:00:00"/>
    <d v="2025-02-11T00:00:00"/>
    <x v="2"/>
    <x v="0"/>
    <x v="0"/>
    <x v="0"/>
    <x v="7"/>
    <x v="3"/>
    <x v="6"/>
    <x v="2"/>
  </r>
  <r>
    <x v="1044"/>
    <x v="4"/>
    <x v="1"/>
    <n v="23.9"/>
    <x v="538"/>
    <d v="2025-02-10T00:00:00"/>
    <d v="2025-02-11T00:00:00"/>
    <x v="1"/>
    <x v="0"/>
    <x v="2"/>
    <x v="0"/>
    <x v="8"/>
    <x v="3"/>
    <x v="6"/>
    <x v="1"/>
  </r>
  <r>
    <x v="1045"/>
    <x v="9"/>
    <x v="15"/>
    <n v="21.1"/>
    <x v="899"/>
    <d v="2025-02-10T00:00:00"/>
    <d v="2025-02-18T00:00:00"/>
    <x v="2"/>
    <x v="0"/>
    <x v="1"/>
    <x v="0"/>
    <x v="8"/>
    <x v="9"/>
    <x v="6"/>
    <x v="2"/>
  </r>
  <r>
    <x v="1046"/>
    <x v="8"/>
    <x v="9"/>
    <n v="33.799999999999997"/>
    <x v="900"/>
    <d v="2025-02-10T00:00:00"/>
    <d v="2025-02-12T00:00:00"/>
    <x v="2"/>
    <x v="0"/>
    <x v="0"/>
    <x v="0"/>
    <x v="8"/>
    <x v="1"/>
    <x v="6"/>
    <x v="2"/>
  </r>
  <r>
    <x v="1047"/>
    <x v="2"/>
    <x v="12"/>
    <n v="56.1"/>
    <x v="901"/>
    <d v="2025-02-10T00:00:00"/>
    <d v="2025-02-10T00:00:00"/>
    <x v="2"/>
    <x v="3"/>
    <x v="2"/>
    <x v="0"/>
    <x v="9"/>
    <x v="7"/>
    <x v="6"/>
    <x v="2"/>
  </r>
  <r>
    <x v="1048"/>
    <x v="3"/>
    <x v="0"/>
    <n v="58.5"/>
    <x v="902"/>
    <d v="2025-02-11T00:00:00"/>
    <d v="2025-02-15T00:00:00"/>
    <x v="2"/>
    <x v="1"/>
    <x v="2"/>
    <x v="0"/>
    <x v="9"/>
    <x v="5"/>
    <x v="6"/>
    <x v="2"/>
  </r>
  <r>
    <x v="1049"/>
    <x v="6"/>
    <x v="0"/>
    <n v="84.2"/>
    <x v="903"/>
    <d v="2025-02-11T00:00:00"/>
    <d v="2025-02-13T00:00:00"/>
    <x v="1"/>
    <x v="3"/>
    <x v="0"/>
    <x v="0"/>
    <x v="11"/>
    <x v="1"/>
    <x v="6"/>
    <x v="1"/>
  </r>
  <r>
    <x v="1050"/>
    <x v="11"/>
    <x v="12"/>
    <n v="52"/>
    <x v="904"/>
    <d v="2025-02-11T00:00:00"/>
    <d v="2025-02-14T00:00:00"/>
    <x v="1"/>
    <x v="0"/>
    <x v="0"/>
    <x v="0"/>
    <x v="11"/>
    <x v="2"/>
    <x v="6"/>
    <x v="1"/>
  </r>
  <r>
    <x v="1051"/>
    <x v="4"/>
    <x v="9"/>
    <n v="31.5"/>
    <x v="905"/>
    <d v="2025-02-11T00:00:00"/>
    <d v="2025-02-12T00:00:00"/>
    <x v="2"/>
    <x v="0"/>
    <x v="2"/>
    <x v="0"/>
    <x v="11"/>
    <x v="3"/>
    <x v="6"/>
    <x v="2"/>
  </r>
  <r>
    <x v="1052"/>
    <x v="16"/>
    <x v="2"/>
    <n v="46.2"/>
    <x v="209"/>
    <d v="2025-02-11T00:00:00"/>
    <d v="2025-02-12T00:00:00"/>
    <x v="1"/>
    <x v="0"/>
    <x v="0"/>
    <x v="0"/>
    <x v="53"/>
    <x v="3"/>
    <x v="6"/>
    <x v="1"/>
  </r>
  <r>
    <x v="1053"/>
    <x v="2"/>
    <x v="13"/>
    <n v="135"/>
    <x v="906"/>
    <d v="2025-02-11T00:00:00"/>
    <d v="2025-02-12T00:00:00"/>
    <x v="2"/>
    <x v="1"/>
    <x v="2"/>
    <x v="0"/>
    <x v="18"/>
    <x v="3"/>
    <x v="6"/>
    <x v="2"/>
  </r>
  <r>
    <x v="1054"/>
    <x v="12"/>
    <x v="2"/>
    <n v="92.2"/>
    <x v="907"/>
    <d v="2025-02-11T00:00:00"/>
    <d v="2025-02-15T00:00:00"/>
    <x v="1"/>
    <x v="0"/>
    <x v="0"/>
    <x v="0"/>
    <x v="21"/>
    <x v="5"/>
    <x v="6"/>
    <x v="1"/>
  </r>
  <r>
    <x v="1055"/>
    <x v="8"/>
    <x v="0"/>
    <n v="36.6"/>
    <x v="547"/>
    <d v="2025-02-11T00:00:00"/>
    <d v="2025-02-13T00:00:00"/>
    <x v="1"/>
    <x v="2"/>
    <x v="2"/>
    <x v="0"/>
    <x v="21"/>
    <x v="1"/>
    <x v="6"/>
    <x v="1"/>
  </r>
  <r>
    <x v="1056"/>
    <x v="9"/>
    <x v="1"/>
    <n v="50.6"/>
    <x v="855"/>
    <d v="2025-02-11T00:00:00"/>
    <d v="2025-02-14T00:00:00"/>
    <x v="2"/>
    <x v="0"/>
    <x v="0"/>
    <x v="0"/>
    <x v="2"/>
    <x v="2"/>
    <x v="6"/>
    <x v="2"/>
  </r>
  <r>
    <x v="1057"/>
    <x v="18"/>
    <x v="3"/>
    <n v="56.7"/>
    <x v="908"/>
    <d v="2025-02-11T00:00:00"/>
    <d v="2025-02-14T00:00:00"/>
    <x v="2"/>
    <x v="0"/>
    <x v="0"/>
    <x v="0"/>
    <x v="2"/>
    <x v="2"/>
    <x v="6"/>
    <x v="2"/>
  </r>
  <r>
    <x v="1058"/>
    <x v="9"/>
    <x v="15"/>
    <n v="22.9"/>
    <x v="909"/>
    <d v="2025-02-11T00:00:00"/>
    <d v="2025-02-12T00:00:00"/>
    <x v="2"/>
    <x v="0"/>
    <x v="1"/>
    <x v="0"/>
    <x v="44"/>
    <x v="3"/>
    <x v="6"/>
    <x v="2"/>
  </r>
  <r>
    <x v="1059"/>
    <x v="15"/>
    <x v="10"/>
    <n v="53.6"/>
    <x v="910"/>
    <d v="2025-02-11T00:00:00"/>
    <d v="2025-02-12T00:00:00"/>
    <x v="1"/>
    <x v="0"/>
    <x v="0"/>
    <x v="0"/>
    <x v="22"/>
    <x v="3"/>
    <x v="6"/>
    <x v="1"/>
  </r>
  <r>
    <x v="1060"/>
    <x v="18"/>
    <x v="1"/>
    <n v="30.2"/>
    <x v="266"/>
    <d v="2025-02-11T00:00:00"/>
    <d v="2025-02-13T00:00:00"/>
    <x v="0"/>
    <x v="2"/>
    <x v="2"/>
    <x v="0"/>
    <x v="3"/>
    <x v="1"/>
    <x v="6"/>
    <x v="0"/>
  </r>
  <r>
    <x v="1061"/>
    <x v="15"/>
    <x v="13"/>
    <n v="83.4"/>
    <x v="911"/>
    <d v="2025-02-11T00:00:00"/>
    <d v="2025-02-12T00:00:00"/>
    <x v="1"/>
    <x v="1"/>
    <x v="2"/>
    <x v="0"/>
    <x v="3"/>
    <x v="3"/>
    <x v="6"/>
    <x v="1"/>
  </r>
  <r>
    <x v="1062"/>
    <x v="13"/>
    <x v="4"/>
    <n v="16.600000000000001"/>
    <x v="896"/>
    <d v="2025-02-11T00:00:00"/>
    <d v="2025-02-13T00:00:00"/>
    <x v="1"/>
    <x v="1"/>
    <x v="0"/>
    <x v="0"/>
    <x v="3"/>
    <x v="1"/>
    <x v="6"/>
    <x v="1"/>
  </r>
  <r>
    <x v="1063"/>
    <x v="8"/>
    <x v="14"/>
    <n v="21.9"/>
    <x v="912"/>
    <d v="2025-02-11T00:00:00"/>
    <d v="2025-02-13T00:00:00"/>
    <x v="2"/>
    <x v="4"/>
    <x v="1"/>
    <x v="0"/>
    <x v="3"/>
    <x v="1"/>
    <x v="6"/>
    <x v="2"/>
  </r>
  <r>
    <x v="1064"/>
    <x v="8"/>
    <x v="31"/>
    <n v="33.799999999999997"/>
    <x v="913"/>
    <d v="2025-02-11T00:00:00"/>
    <d v="2025-02-13T00:00:00"/>
    <x v="1"/>
    <x v="2"/>
    <x v="4"/>
    <x v="0"/>
    <x v="3"/>
    <x v="1"/>
    <x v="6"/>
    <x v="1"/>
  </r>
  <r>
    <x v="1065"/>
    <x v="18"/>
    <x v="1"/>
    <n v="53.2"/>
    <x v="793"/>
    <d v="2025-02-11T00:00:00"/>
    <d v="2025-02-11T00:00:00"/>
    <x v="1"/>
    <x v="1"/>
    <x v="0"/>
    <x v="0"/>
    <x v="3"/>
    <x v="7"/>
    <x v="6"/>
    <x v="1"/>
  </r>
  <r>
    <x v="1066"/>
    <x v="2"/>
    <x v="1"/>
    <n v="176.7"/>
    <x v="914"/>
    <d v="2025-02-11T00:00:00"/>
    <d v="2025-02-14T00:00:00"/>
    <x v="2"/>
    <x v="2"/>
    <x v="0"/>
    <x v="0"/>
    <x v="3"/>
    <x v="2"/>
    <x v="6"/>
    <x v="2"/>
  </r>
  <r>
    <x v="1067"/>
    <x v="12"/>
    <x v="2"/>
    <n v="54"/>
    <x v="915"/>
    <d v="2025-02-11T00:00:00"/>
    <d v="2025-02-14T00:00:00"/>
    <x v="1"/>
    <x v="0"/>
    <x v="1"/>
    <x v="0"/>
    <x v="3"/>
    <x v="2"/>
    <x v="6"/>
    <x v="1"/>
  </r>
  <r>
    <x v="1068"/>
    <x v="9"/>
    <x v="1"/>
    <n v="70.099999999999994"/>
    <x v="634"/>
    <d v="2025-02-11T00:00:00"/>
    <d v="2025-02-19T00:00:00"/>
    <x v="2"/>
    <x v="3"/>
    <x v="2"/>
    <x v="0"/>
    <x v="3"/>
    <x v="9"/>
    <x v="6"/>
    <x v="2"/>
  </r>
  <r>
    <x v="1069"/>
    <x v="8"/>
    <x v="0"/>
    <n v="26.5"/>
    <x v="38"/>
    <d v="2025-02-11T00:00:00"/>
    <d v="2025-02-13T00:00:00"/>
    <x v="2"/>
    <x v="1"/>
    <x v="0"/>
    <x v="0"/>
    <x v="3"/>
    <x v="1"/>
    <x v="6"/>
    <x v="2"/>
  </r>
  <r>
    <x v="1070"/>
    <x v="7"/>
    <x v="9"/>
    <n v="89"/>
    <x v="916"/>
    <d v="2025-02-11T00:00:00"/>
    <d v="2025-02-13T00:00:00"/>
    <x v="1"/>
    <x v="2"/>
    <x v="4"/>
    <x v="0"/>
    <x v="3"/>
    <x v="1"/>
    <x v="6"/>
    <x v="1"/>
  </r>
  <r>
    <x v="1071"/>
    <x v="1"/>
    <x v="13"/>
    <n v="47"/>
    <x v="917"/>
    <d v="2025-02-11T00:00:00"/>
    <d v="2025-02-14T00:00:00"/>
    <x v="2"/>
    <x v="3"/>
    <x v="0"/>
    <x v="0"/>
    <x v="24"/>
    <x v="2"/>
    <x v="6"/>
    <x v="2"/>
  </r>
  <r>
    <x v="1072"/>
    <x v="3"/>
    <x v="1"/>
    <n v="55.2"/>
    <x v="918"/>
    <d v="2025-02-11T00:00:00"/>
    <d v="2025-02-14T00:00:00"/>
    <x v="1"/>
    <x v="1"/>
    <x v="1"/>
    <x v="0"/>
    <x v="6"/>
    <x v="2"/>
    <x v="6"/>
    <x v="1"/>
  </r>
  <r>
    <x v="1073"/>
    <x v="8"/>
    <x v="39"/>
    <n v="33.299999999999997"/>
    <x v="919"/>
    <d v="2025-02-11T00:00:00"/>
    <d v="2025-02-25T00:00:00"/>
    <x v="1"/>
    <x v="1"/>
    <x v="2"/>
    <x v="0"/>
    <x v="6"/>
    <x v="12"/>
    <x v="6"/>
    <x v="1"/>
  </r>
  <r>
    <x v="1074"/>
    <x v="2"/>
    <x v="12"/>
    <n v="110.9"/>
    <x v="920"/>
    <d v="2025-02-12T00:00:00"/>
    <d v="2025-02-12T00:00:00"/>
    <x v="1"/>
    <x v="2"/>
    <x v="4"/>
    <x v="0"/>
    <x v="6"/>
    <x v="7"/>
    <x v="6"/>
    <x v="1"/>
  </r>
  <r>
    <x v="1075"/>
    <x v="2"/>
    <x v="13"/>
    <n v="67.3"/>
    <x v="921"/>
    <d v="2025-02-12T00:00:00"/>
    <d v="2025-02-13T00:00:00"/>
    <x v="1"/>
    <x v="0"/>
    <x v="0"/>
    <x v="0"/>
    <x v="8"/>
    <x v="3"/>
    <x v="6"/>
    <x v="1"/>
  </r>
  <r>
    <x v="1076"/>
    <x v="6"/>
    <x v="2"/>
    <n v="69.7"/>
    <x v="922"/>
    <d v="2025-02-12T00:00:00"/>
    <d v="2025-02-13T00:00:00"/>
    <x v="1"/>
    <x v="2"/>
    <x v="1"/>
    <x v="0"/>
    <x v="8"/>
    <x v="3"/>
    <x v="6"/>
    <x v="1"/>
  </r>
  <r>
    <x v="1077"/>
    <x v="5"/>
    <x v="0"/>
    <n v="39.1"/>
    <x v="923"/>
    <d v="2025-02-12T00:00:00"/>
    <d v="2025-02-17T00:00:00"/>
    <x v="1"/>
    <x v="0"/>
    <x v="1"/>
    <x v="0"/>
    <x v="17"/>
    <x v="0"/>
    <x v="6"/>
    <x v="1"/>
  </r>
  <r>
    <x v="1078"/>
    <x v="2"/>
    <x v="2"/>
    <n v="208.6"/>
    <x v="924"/>
    <d v="2025-02-12T00:00:00"/>
    <d v="2025-02-12T00:00:00"/>
    <x v="1"/>
    <x v="4"/>
    <x v="2"/>
    <x v="0"/>
    <x v="17"/>
    <x v="7"/>
    <x v="6"/>
    <x v="1"/>
  </r>
  <r>
    <x v="1079"/>
    <x v="15"/>
    <x v="2"/>
    <n v="27.8"/>
    <x v="925"/>
    <d v="2025-02-12T00:00:00"/>
    <d v="2025-02-13T00:00:00"/>
    <x v="1"/>
    <x v="3"/>
    <x v="1"/>
    <x v="0"/>
    <x v="11"/>
    <x v="3"/>
    <x v="6"/>
    <x v="1"/>
  </r>
  <r>
    <x v="1080"/>
    <x v="10"/>
    <x v="9"/>
    <n v="29.4"/>
    <x v="926"/>
    <d v="2025-02-12T00:00:00"/>
    <d v="2025-02-14T00:00:00"/>
    <x v="2"/>
    <x v="0"/>
    <x v="0"/>
    <x v="0"/>
    <x v="11"/>
    <x v="1"/>
    <x v="6"/>
    <x v="2"/>
  </r>
  <r>
    <x v="1081"/>
    <x v="9"/>
    <x v="1"/>
    <n v="29.2"/>
    <x v="305"/>
    <d v="2025-02-12T00:00:00"/>
    <d v="2025-02-14T00:00:00"/>
    <x v="2"/>
    <x v="1"/>
    <x v="2"/>
    <x v="0"/>
    <x v="20"/>
    <x v="1"/>
    <x v="6"/>
    <x v="2"/>
  </r>
  <r>
    <x v="1082"/>
    <x v="10"/>
    <x v="9"/>
    <n v="26.5"/>
    <x v="927"/>
    <d v="2025-02-12T00:00:00"/>
    <d v="2025-02-14T00:00:00"/>
    <x v="2"/>
    <x v="0"/>
    <x v="0"/>
    <x v="0"/>
    <x v="52"/>
    <x v="1"/>
    <x v="6"/>
    <x v="2"/>
  </r>
  <r>
    <x v="1083"/>
    <x v="5"/>
    <x v="0"/>
    <n v="30.3"/>
    <x v="928"/>
    <d v="2025-02-12T00:00:00"/>
    <d v="2025-02-13T00:00:00"/>
    <x v="2"/>
    <x v="4"/>
    <x v="1"/>
    <x v="0"/>
    <x v="13"/>
    <x v="3"/>
    <x v="6"/>
    <x v="2"/>
  </r>
  <r>
    <x v="1084"/>
    <x v="16"/>
    <x v="4"/>
    <n v="39.700000000000003"/>
    <x v="929"/>
    <d v="2025-02-12T00:00:00"/>
    <d v="2025-02-13T00:00:00"/>
    <x v="2"/>
    <x v="0"/>
    <x v="0"/>
    <x v="0"/>
    <x v="21"/>
    <x v="3"/>
    <x v="6"/>
    <x v="2"/>
  </r>
  <r>
    <x v="1085"/>
    <x v="7"/>
    <x v="7"/>
    <n v="58.9"/>
    <x v="930"/>
    <d v="2025-02-12T00:00:00"/>
    <d v="2025-02-14T00:00:00"/>
    <x v="2"/>
    <x v="1"/>
    <x v="4"/>
    <x v="0"/>
    <x v="21"/>
    <x v="1"/>
    <x v="6"/>
    <x v="2"/>
  </r>
  <r>
    <x v="1086"/>
    <x v="2"/>
    <x v="1"/>
    <n v="174.1"/>
    <x v="931"/>
    <d v="2025-02-12T00:00:00"/>
    <d v="2025-02-14T00:00:00"/>
    <x v="2"/>
    <x v="0"/>
    <x v="1"/>
    <x v="0"/>
    <x v="46"/>
    <x v="1"/>
    <x v="6"/>
    <x v="2"/>
  </r>
  <r>
    <x v="1087"/>
    <x v="6"/>
    <x v="1"/>
    <n v="70.8"/>
    <x v="932"/>
    <d v="2025-02-12T00:00:00"/>
    <d v="2025-02-15T00:00:00"/>
    <x v="1"/>
    <x v="2"/>
    <x v="0"/>
    <x v="0"/>
    <x v="22"/>
    <x v="2"/>
    <x v="6"/>
    <x v="1"/>
  </r>
  <r>
    <x v="1088"/>
    <x v="7"/>
    <x v="1"/>
    <n v="57.4"/>
    <x v="311"/>
    <d v="2025-02-12T00:00:00"/>
    <d v="2025-02-14T00:00:00"/>
    <x v="2"/>
    <x v="1"/>
    <x v="1"/>
    <x v="0"/>
    <x v="34"/>
    <x v="1"/>
    <x v="6"/>
    <x v="2"/>
  </r>
  <r>
    <x v="1089"/>
    <x v="0"/>
    <x v="1"/>
    <n v="28.5"/>
    <x v="933"/>
    <d v="2025-02-12T00:00:00"/>
    <d v="2025-02-14T00:00:00"/>
    <x v="1"/>
    <x v="3"/>
    <x v="1"/>
    <x v="0"/>
    <x v="3"/>
    <x v="1"/>
    <x v="6"/>
    <x v="1"/>
  </r>
  <r>
    <x v="1090"/>
    <x v="2"/>
    <x v="28"/>
    <n v="106.6"/>
    <x v="934"/>
    <d v="2025-02-12T00:00:00"/>
    <d v="2025-02-13T00:00:00"/>
    <x v="0"/>
    <x v="1"/>
    <x v="4"/>
    <x v="0"/>
    <x v="3"/>
    <x v="3"/>
    <x v="6"/>
    <x v="0"/>
  </r>
  <r>
    <x v="1091"/>
    <x v="2"/>
    <x v="2"/>
    <n v="119.7"/>
    <x v="935"/>
    <d v="2025-02-12T00:00:00"/>
    <d v="2025-02-13T00:00:00"/>
    <x v="2"/>
    <x v="1"/>
    <x v="4"/>
    <x v="0"/>
    <x v="3"/>
    <x v="3"/>
    <x v="6"/>
    <x v="2"/>
  </r>
  <r>
    <x v="1092"/>
    <x v="18"/>
    <x v="0"/>
    <n v="73.3"/>
    <x v="936"/>
    <d v="2025-02-12T00:00:00"/>
    <d v="2025-02-17T00:00:00"/>
    <x v="2"/>
    <x v="0"/>
    <x v="2"/>
    <x v="0"/>
    <x v="3"/>
    <x v="0"/>
    <x v="6"/>
    <x v="2"/>
  </r>
  <r>
    <x v="1093"/>
    <x v="0"/>
    <x v="1"/>
    <n v="25.8"/>
    <x v="937"/>
    <d v="2025-02-12T00:00:00"/>
    <d v="2025-02-26T00:00:00"/>
    <x v="1"/>
    <x v="2"/>
    <x v="0"/>
    <x v="0"/>
    <x v="3"/>
    <x v="12"/>
    <x v="6"/>
    <x v="1"/>
  </r>
  <r>
    <x v="1094"/>
    <x v="17"/>
    <x v="2"/>
    <n v="49.1"/>
    <x v="824"/>
    <d v="2025-02-12T00:00:00"/>
    <d v="2025-02-14T00:00:00"/>
    <x v="2"/>
    <x v="0"/>
    <x v="0"/>
    <x v="0"/>
    <x v="24"/>
    <x v="1"/>
    <x v="6"/>
    <x v="2"/>
  </r>
  <r>
    <x v="1095"/>
    <x v="1"/>
    <x v="0"/>
    <n v="44.9"/>
    <x v="938"/>
    <d v="2025-02-12T00:00:00"/>
    <d v="2025-02-15T00:00:00"/>
    <x v="2"/>
    <x v="3"/>
    <x v="2"/>
    <x v="0"/>
    <x v="6"/>
    <x v="2"/>
    <x v="6"/>
    <x v="2"/>
  </r>
  <r>
    <x v="1096"/>
    <x v="15"/>
    <x v="3"/>
    <n v="29.9"/>
    <x v="549"/>
    <d v="2025-02-12T00:00:00"/>
    <d v="2025-02-13T00:00:00"/>
    <x v="2"/>
    <x v="0"/>
    <x v="0"/>
    <x v="0"/>
    <x v="6"/>
    <x v="3"/>
    <x v="6"/>
    <x v="2"/>
  </r>
  <r>
    <x v="1097"/>
    <x v="7"/>
    <x v="1"/>
    <n v="54.3"/>
    <x v="939"/>
    <d v="2025-02-13T00:00:00"/>
    <d v="2025-02-14T00:00:00"/>
    <x v="1"/>
    <x v="3"/>
    <x v="0"/>
    <x v="0"/>
    <x v="36"/>
    <x v="3"/>
    <x v="6"/>
    <x v="1"/>
  </r>
  <r>
    <x v="1098"/>
    <x v="9"/>
    <x v="12"/>
    <n v="57"/>
    <x v="416"/>
    <d v="2025-02-13T00:00:00"/>
    <d v="2025-02-15T00:00:00"/>
    <x v="2"/>
    <x v="0"/>
    <x v="0"/>
    <x v="0"/>
    <x v="8"/>
    <x v="1"/>
    <x v="6"/>
    <x v="2"/>
  </r>
  <r>
    <x v="1099"/>
    <x v="2"/>
    <x v="0"/>
    <n v="139.19999999999999"/>
    <x v="388"/>
    <d v="2025-02-13T00:00:00"/>
    <d v="2025-02-14T00:00:00"/>
    <x v="2"/>
    <x v="3"/>
    <x v="2"/>
    <x v="0"/>
    <x v="8"/>
    <x v="3"/>
    <x v="6"/>
    <x v="2"/>
  </r>
  <r>
    <x v="1100"/>
    <x v="10"/>
    <x v="0"/>
    <n v="33"/>
    <x v="940"/>
    <d v="2025-02-13T00:00:00"/>
    <d v="2025-02-16T00:00:00"/>
    <x v="2"/>
    <x v="0"/>
    <x v="2"/>
    <x v="0"/>
    <x v="8"/>
    <x v="2"/>
    <x v="6"/>
    <x v="2"/>
  </r>
  <r>
    <x v="1101"/>
    <x v="11"/>
    <x v="13"/>
    <n v="80.2"/>
    <x v="941"/>
    <d v="2025-02-13T00:00:00"/>
    <d v="2025-02-15T00:00:00"/>
    <x v="1"/>
    <x v="1"/>
    <x v="4"/>
    <x v="0"/>
    <x v="8"/>
    <x v="1"/>
    <x v="6"/>
    <x v="1"/>
  </r>
  <r>
    <x v="1102"/>
    <x v="18"/>
    <x v="8"/>
    <n v="49"/>
    <x v="942"/>
    <d v="2025-02-13T00:00:00"/>
    <d v="2025-02-14T00:00:00"/>
    <x v="0"/>
    <x v="2"/>
    <x v="1"/>
    <x v="0"/>
    <x v="9"/>
    <x v="3"/>
    <x v="6"/>
    <x v="0"/>
  </r>
  <r>
    <x v="1103"/>
    <x v="1"/>
    <x v="12"/>
    <n v="104.4"/>
    <x v="943"/>
    <d v="2025-02-13T00:00:00"/>
    <d v="2025-02-13T00:00:00"/>
    <x v="2"/>
    <x v="0"/>
    <x v="0"/>
    <x v="0"/>
    <x v="9"/>
    <x v="7"/>
    <x v="6"/>
    <x v="2"/>
  </r>
  <r>
    <x v="1104"/>
    <x v="3"/>
    <x v="0"/>
    <n v="41.6"/>
    <x v="480"/>
    <d v="2025-02-13T00:00:00"/>
    <d v="2025-02-16T00:00:00"/>
    <x v="1"/>
    <x v="3"/>
    <x v="0"/>
    <x v="0"/>
    <x v="11"/>
    <x v="2"/>
    <x v="6"/>
    <x v="1"/>
  </r>
  <r>
    <x v="1105"/>
    <x v="19"/>
    <x v="1"/>
    <n v="16.399999999999999"/>
    <x v="944"/>
    <d v="2025-02-13T00:00:00"/>
    <d v="2025-02-14T00:00:00"/>
    <x v="3"/>
    <x v="0"/>
    <x v="2"/>
    <x v="0"/>
    <x v="11"/>
    <x v="3"/>
    <x v="6"/>
    <x v="3"/>
  </r>
  <r>
    <x v="1106"/>
    <x v="8"/>
    <x v="1"/>
    <n v="22"/>
    <x v="945"/>
    <d v="2025-02-13T00:00:00"/>
    <d v="2025-02-14T00:00:00"/>
    <x v="1"/>
    <x v="2"/>
    <x v="2"/>
    <x v="0"/>
    <x v="53"/>
    <x v="3"/>
    <x v="6"/>
    <x v="1"/>
  </r>
  <r>
    <x v="1107"/>
    <x v="15"/>
    <x v="1"/>
    <n v="33.6"/>
    <x v="863"/>
    <d v="2025-02-13T00:00:00"/>
    <d v="2025-02-18T00:00:00"/>
    <x v="2"/>
    <x v="0"/>
    <x v="0"/>
    <x v="0"/>
    <x v="21"/>
    <x v="0"/>
    <x v="6"/>
    <x v="2"/>
  </r>
  <r>
    <x v="1108"/>
    <x v="11"/>
    <x v="13"/>
    <n v="43"/>
    <x v="946"/>
    <d v="2025-02-13T00:00:00"/>
    <d v="2025-02-14T00:00:00"/>
    <x v="2"/>
    <x v="2"/>
    <x v="0"/>
    <x v="0"/>
    <x v="21"/>
    <x v="3"/>
    <x v="6"/>
    <x v="2"/>
  </r>
  <r>
    <x v="1109"/>
    <x v="6"/>
    <x v="9"/>
    <n v="108.8"/>
    <x v="947"/>
    <d v="2025-02-13T00:00:00"/>
    <d v="2025-02-16T00:00:00"/>
    <x v="2"/>
    <x v="4"/>
    <x v="2"/>
    <x v="0"/>
    <x v="21"/>
    <x v="2"/>
    <x v="6"/>
    <x v="2"/>
  </r>
  <r>
    <x v="1110"/>
    <x v="0"/>
    <x v="11"/>
    <n v="29.3"/>
    <x v="948"/>
    <d v="2025-02-13T00:00:00"/>
    <d v="2025-02-15T00:00:00"/>
    <x v="1"/>
    <x v="4"/>
    <x v="2"/>
    <x v="0"/>
    <x v="21"/>
    <x v="1"/>
    <x v="6"/>
    <x v="1"/>
  </r>
  <r>
    <x v="1111"/>
    <x v="2"/>
    <x v="0"/>
    <n v="122.7"/>
    <x v="949"/>
    <d v="2025-02-13T00:00:00"/>
    <d v="2025-02-16T00:00:00"/>
    <x v="3"/>
    <x v="0"/>
    <x v="2"/>
    <x v="0"/>
    <x v="1"/>
    <x v="2"/>
    <x v="6"/>
    <x v="3"/>
  </r>
  <r>
    <x v="1112"/>
    <x v="4"/>
    <x v="3"/>
    <n v="22.9"/>
    <x v="950"/>
    <d v="2025-02-13T00:00:00"/>
    <d v="2025-02-14T00:00:00"/>
    <x v="2"/>
    <x v="0"/>
    <x v="0"/>
    <x v="0"/>
    <x v="42"/>
    <x v="3"/>
    <x v="6"/>
    <x v="2"/>
  </r>
  <r>
    <x v="1113"/>
    <x v="8"/>
    <x v="7"/>
    <n v="25.5"/>
    <x v="951"/>
    <d v="2025-02-13T00:00:00"/>
    <d v="2025-02-20T00:00:00"/>
    <x v="2"/>
    <x v="0"/>
    <x v="0"/>
    <x v="0"/>
    <x v="33"/>
    <x v="6"/>
    <x v="6"/>
    <x v="2"/>
  </r>
  <r>
    <x v="1114"/>
    <x v="17"/>
    <x v="2"/>
    <n v="23.4"/>
    <x v="952"/>
    <d v="2025-02-13T00:00:00"/>
    <d v="2025-02-17T00:00:00"/>
    <x v="2"/>
    <x v="0"/>
    <x v="2"/>
    <x v="0"/>
    <x v="3"/>
    <x v="5"/>
    <x v="6"/>
    <x v="2"/>
  </r>
  <r>
    <x v="1115"/>
    <x v="5"/>
    <x v="8"/>
    <n v="27.4"/>
    <x v="77"/>
    <d v="2025-02-13T00:00:00"/>
    <d v="2025-02-16T00:00:00"/>
    <x v="2"/>
    <x v="2"/>
    <x v="0"/>
    <x v="0"/>
    <x v="3"/>
    <x v="2"/>
    <x v="6"/>
    <x v="2"/>
  </r>
  <r>
    <x v="1116"/>
    <x v="5"/>
    <x v="9"/>
    <n v="68.400000000000006"/>
    <x v="953"/>
    <d v="2025-02-13T00:00:00"/>
    <d v="2025-02-14T00:00:00"/>
    <x v="2"/>
    <x v="0"/>
    <x v="0"/>
    <x v="0"/>
    <x v="3"/>
    <x v="3"/>
    <x v="6"/>
    <x v="2"/>
  </r>
  <r>
    <x v="1117"/>
    <x v="6"/>
    <x v="0"/>
    <n v="51.9"/>
    <x v="954"/>
    <d v="2025-02-13T00:00:00"/>
    <d v="2025-02-13T00:00:00"/>
    <x v="2"/>
    <x v="0"/>
    <x v="0"/>
    <x v="0"/>
    <x v="3"/>
    <x v="7"/>
    <x v="6"/>
    <x v="2"/>
  </r>
  <r>
    <x v="1118"/>
    <x v="0"/>
    <x v="9"/>
    <n v="26.4"/>
    <x v="955"/>
    <d v="2025-02-13T00:00:00"/>
    <d v="2025-02-16T00:00:00"/>
    <x v="2"/>
    <x v="0"/>
    <x v="2"/>
    <x v="0"/>
    <x v="3"/>
    <x v="2"/>
    <x v="6"/>
    <x v="2"/>
  </r>
  <r>
    <x v="1119"/>
    <x v="12"/>
    <x v="1"/>
    <n v="117"/>
    <x v="540"/>
    <d v="2025-02-13T00:00:00"/>
    <d v="2025-02-14T00:00:00"/>
    <x v="2"/>
    <x v="1"/>
    <x v="1"/>
    <x v="0"/>
    <x v="3"/>
    <x v="3"/>
    <x v="6"/>
    <x v="2"/>
  </r>
  <r>
    <x v="1120"/>
    <x v="7"/>
    <x v="2"/>
    <n v="49.6"/>
    <x v="956"/>
    <d v="2025-02-14T00:00:00"/>
    <d v="2025-02-16T00:00:00"/>
    <x v="2"/>
    <x v="0"/>
    <x v="0"/>
    <x v="0"/>
    <x v="3"/>
    <x v="1"/>
    <x v="6"/>
    <x v="2"/>
  </r>
  <r>
    <x v="1121"/>
    <x v="4"/>
    <x v="2"/>
    <n v="38"/>
    <x v="717"/>
    <d v="2025-02-14T00:00:00"/>
    <d v="2025-02-17T00:00:00"/>
    <x v="1"/>
    <x v="2"/>
    <x v="4"/>
    <x v="0"/>
    <x v="3"/>
    <x v="2"/>
    <x v="6"/>
    <x v="1"/>
  </r>
  <r>
    <x v="1122"/>
    <x v="0"/>
    <x v="2"/>
    <n v="20.6"/>
    <x v="957"/>
    <d v="2025-02-14T00:00:00"/>
    <d v="2025-02-16T00:00:00"/>
    <x v="2"/>
    <x v="4"/>
    <x v="2"/>
    <x v="0"/>
    <x v="3"/>
    <x v="1"/>
    <x v="6"/>
    <x v="2"/>
  </r>
  <r>
    <x v="1123"/>
    <x v="0"/>
    <x v="1"/>
    <n v="16"/>
    <x v="109"/>
    <d v="2025-02-14T00:00:00"/>
    <d v="2025-02-15T00:00:00"/>
    <x v="1"/>
    <x v="1"/>
    <x v="1"/>
    <x v="0"/>
    <x v="49"/>
    <x v="3"/>
    <x v="6"/>
    <x v="1"/>
  </r>
  <r>
    <x v="1124"/>
    <x v="15"/>
    <x v="12"/>
    <n v="49.3"/>
    <x v="958"/>
    <d v="2025-02-14T00:00:00"/>
    <d v="2025-02-15T00:00:00"/>
    <x v="2"/>
    <x v="2"/>
    <x v="0"/>
    <x v="0"/>
    <x v="23"/>
    <x v="3"/>
    <x v="6"/>
    <x v="2"/>
  </r>
  <r>
    <x v="1125"/>
    <x v="9"/>
    <x v="1"/>
    <n v="24.1"/>
    <x v="959"/>
    <d v="2025-02-14T00:00:00"/>
    <d v="2025-02-18T00:00:00"/>
    <x v="2"/>
    <x v="0"/>
    <x v="0"/>
    <x v="0"/>
    <x v="6"/>
    <x v="5"/>
    <x v="6"/>
    <x v="2"/>
  </r>
  <r>
    <x v="1126"/>
    <x v="15"/>
    <x v="8"/>
    <n v="32.700000000000003"/>
    <x v="960"/>
    <d v="2025-02-14T00:00:00"/>
    <d v="2025-02-15T00:00:00"/>
    <x v="2"/>
    <x v="1"/>
    <x v="0"/>
    <x v="0"/>
    <x v="6"/>
    <x v="3"/>
    <x v="6"/>
    <x v="2"/>
  </r>
  <r>
    <x v="1127"/>
    <x v="6"/>
    <x v="2"/>
    <n v="74.400000000000006"/>
    <x v="961"/>
    <d v="2025-02-14T00:00:00"/>
    <d v="2025-02-15T00:00:00"/>
    <x v="2"/>
    <x v="3"/>
    <x v="2"/>
    <x v="0"/>
    <x v="8"/>
    <x v="3"/>
    <x v="6"/>
    <x v="2"/>
  </r>
  <r>
    <x v="1128"/>
    <x v="12"/>
    <x v="0"/>
    <n v="45.6"/>
    <x v="962"/>
    <d v="2025-02-14T00:00:00"/>
    <d v="2025-02-18T00:00:00"/>
    <x v="2"/>
    <x v="4"/>
    <x v="0"/>
    <x v="0"/>
    <x v="8"/>
    <x v="5"/>
    <x v="6"/>
    <x v="2"/>
  </r>
  <r>
    <x v="1129"/>
    <x v="8"/>
    <x v="8"/>
    <n v="19.600000000000001"/>
    <x v="963"/>
    <d v="2025-02-14T00:00:00"/>
    <d v="2025-02-27T00:00:00"/>
    <x v="2"/>
    <x v="0"/>
    <x v="0"/>
    <x v="0"/>
    <x v="8"/>
    <x v="10"/>
    <x v="6"/>
    <x v="2"/>
  </r>
  <r>
    <x v="1130"/>
    <x v="9"/>
    <x v="0"/>
    <n v="51.8"/>
    <x v="964"/>
    <d v="2025-02-14T00:00:00"/>
    <d v="2025-02-15T00:00:00"/>
    <x v="2"/>
    <x v="1"/>
    <x v="0"/>
    <x v="0"/>
    <x v="8"/>
    <x v="3"/>
    <x v="6"/>
    <x v="2"/>
  </r>
  <r>
    <x v="1131"/>
    <x v="6"/>
    <x v="0"/>
    <n v="74.7"/>
    <x v="965"/>
    <d v="2025-02-14T00:00:00"/>
    <d v="2025-02-15T00:00:00"/>
    <x v="1"/>
    <x v="0"/>
    <x v="1"/>
    <x v="0"/>
    <x v="8"/>
    <x v="3"/>
    <x v="6"/>
    <x v="1"/>
  </r>
  <r>
    <x v="1132"/>
    <x v="19"/>
    <x v="2"/>
    <n v="22.4"/>
    <x v="966"/>
    <d v="2025-02-14T00:00:00"/>
    <d v="2025-02-15T00:00:00"/>
    <x v="2"/>
    <x v="1"/>
    <x v="2"/>
    <x v="0"/>
    <x v="9"/>
    <x v="3"/>
    <x v="6"/>
    <x v="2"/>
  </r>
  <r>
    <x v="1133"/>
    <x v="1"/>
    <x v="12"/>
    <n v="31.4"/>
    <x v="967"/>
    <d v="2025-02-14T00:00:00"/>
    <d v="2025-02-15T00:00:00"/>
    <x v="2"/>
    <x v="1"/>
    <x v="0"/>
    <x v="0"/>
    <x v="9"/>
    <x v="3"/>
    <x v="6"/>
    <x v="2"/>
  </r>
  <r>
    <x v="1134"/>
    <x v="6"/>
    <x v="0"/>
    <n v="94"/>
    <x v="255"/>
    <d v="2025-02-14T00:00:00"/>
    <d v="2025-02-14T00:00:00"/>
    <x v="2"/>
    <x v="1"/>
    <x v="2"/>
    <x v="0"/>
    <x v="10"/>
    <x v="7"/>
    <x v="6"/>
    <x v="2"/>
  </r>
  <r>
    <x v="1135"/>
    <x v="10"/>
    <x v="0"/>
    <n v="22.3"/>
    <x v="968"/>
    <d v="2025-02-14T00:00:00"/>
    <d v="2025-02-15T00:00:00"/>
    <x v="1"/>
    <x v="4"/>
    <x v="0"/>
    <x v="0"/>
    <x v="20"/>
    <x v="3"/>
    <x v="6"/>
    <x v="1"/>
  </r>
  <r>
    <x v="1136"/>
    <x v="0"/>
    <x v="0"/>
    <n v="21.9"/>
    <x v="731"/>
    <d v="2025-02-14T00:00:00"/>
    <d v="2025-02-17T00:00:00"/>
    <x v="2"/>
    <x v="2"/>
    <x v="0"/>
    <x v="0"/>
    <x v="21"/>
    <x v="2"/>
    <x v="6"/>
    <x v="2"/>
  </r>
  <r>
    <x v="1137"/>
    <x v="17"/>
    <x v="2"/>
    <n v="27"/>
    <x v="969"/>
    <d v="2025-02-14T00:00:00"/>
    <d v="2025-02-16T00:00:00"/>
    <x v="2"/>
    <x v="4"/>
    <x v="2"/>
    <x v="0"/>
    <x v="2"/>
    <x v="1"/>
    <x v="6"/>
    <x v="2"/>
  </r>
  <r>
    <x v="1138"/>
    <x v="2"/>
    <x v="12"/>
    <n v="149.6"/>
    <x v="970"/>
    <d v="2025-02-14T00:00:00"/>
    <d v="2025-02-14T00:00:00"/>
    <x v="2"/>
    <x v="4"/>
    <x v="0"/>
    <x v="0"/>
    <x v="22"/>
    <x v="7"/>
    <x v="6"/>
    <x v="2"/>
  </r>
  <r>
    <x v="1139"/>
    <x v="2"/>
    <x v="12"/>
    <n v="129.1"/>
    <x v="971"/>
    <d v="2025-02-14T00:00:00"/>
    <d v="2025-02-24T00:00:00"/>
    <x v="1"/>
    <x v="0"/>
    <x v="1"/>
    <x v="0"/>
    <x v="3"/>
    <x v="14"/>
    <x v="6"/>
    <x v="1"/>
  </r>
  <r>
    <x v="1140"/>
    <x v="1"/>
    <x v="4"/>
    <n v="40.4"/>
    <x v="972"/>
    <d v="2025-02-14T00:00:00"/>
    <d v="2025-02-15T00:00:00"/>
    <x v="1"/>
    <x v="1"/>
    <x v="1"/>
    <x v="0"/>
    <x v="3"/>
    <x v="3"/>
    <x v="6"/>
    <x v="1"/>
  </r>
  <r>
    <x v="1141"/>
    <x v="4"/>
    <x v="2"/>
    <n v="48.5"/>
    <x v="973"/>
    <d v="2025-02-14T00:00:00"/>
    <d v="2025-02-16T00:00:00"/>
    <x v="2"/>
    <x v="0"/>
    <x v="4"/>
    <x v="0"/>
    <x v="3"/>
    <x v="1"/>
    <x v="6"/>
    <x v="2"/>
  </r>
  <r>
    <x v="1142"/>
    <x v="9"/>
    <x v="1"/>
    <n v="37.6"/>
    <x v="495"/>
    <d v="2025-02-14T00:00:00"/>
    <d v="2025-02-16T00:00:00"/>
    <x v="2"/>
    <x v="1"/>
    <x v="2"/>
    <x v="0"/>
    <x v="3"/>
    <x v="1"/>
    <x v="6"/>
    <x v="2"/>
  </r>
  <r>
    <x v="1143"/>
    <x v="8"/>
    <x v="1"/>
    <n v="19.600000000000001"/>
    <x v="496"/>
    <d v="2025-02-14T00:00:00"/>
    <d v="2025-02-15T00:00:00"/>
    <x v="1"/>
    <x v="3"/>
    <x v="4"/>
    <x v="0"/>
    <x v="43"/>
    <x v="3"/>
    <x v="6"/>
    <x v="1"/>
  </r>
  <r>
    <x v="1144"/>
    <x v="8"/>
    <x v="9"/>
    <n v="18.5"/>
    <x v="974"/>
    <d v="2025-02-14T00:00:00"/>
    <d v="2025-02-15T00:00:00"/>
    <x v="2"/>
    <x v="2"/>
    <x v="1"/>
    <x v="0"/>
    <x v="6"/>
    <x v="3"/>
    <x v="6"/>
    <x v="2"/>
  </r>
  <r>
    <x v="1145"/>
    <x v="5"/>
    <x v="2"/>
    <n v="25.5"/>
    <x v="514"/>
    <d v="2025-02-14T00:00:00"/>
    <d v="2025-02-16T00:00:00"/>
    <x v="2"/>
    <x v="4"/>
    <x v="1"/>
    <x v="0"/>
    <x v="6"/>
    <x v="1"/>
    <x v="6"/>
    <x v="2"/>
  </r>
  <r>
    <x v="1146"/>
    <x v="2"/>
    <x v="1"/>
    <n v="94.7"/>
    <x v="975"/>
    <d v="2025-02-14T00:00:00"/>
    <d v="2025-02-15T00:00:00"/>
    <x v="2"/>
    <x v="2"/>
    <x v="0"/>
    <x v="0"/>
    <x v="36"/>
    <x v="3"/>
    <x v="6"/>
    <x v="2"/>
  </r>
  <r>
    <x v="1147"/>
    <x v="1"/>
    <x v="13"/>
    <n v="38.799999999999997"/>
    <x v="976"/>
    <d v="2025-02-14T00:00:00"/>
    <d v="2025-02-19T00:00:00"/>
    <x v="2"/>
    <x v="2"/>
    <x v="2"/>
    <x v="0"/>
    <x v="8"/>
    <x v="0"/>
    <x v="6"/>
    <x v="2"/>
  </r>
  <r>
    <x v="1148"/>
    <x v="9"/>
    <x v="1"/>
    <n v="49.4"/>
    <x v="197"/>
    <d v="2025-02-15T00:00:00"/>
    <d v="2025-02-23T00:00:00"/>
    <x v="1"/>
    <x v="4"/>
    <x v="1"/>
    <x v="0"/>
    <x v="8"/>
    <x v="9"/>
    <x v="6"/>
    <x v="1"/>
  </r>
  <r>
    <x v="1149"/>
    <x v="7"/>
    <x v="2"/>
    <n v="68"/>
    <x v="977"/>
    <d v="2025-02-15T00:00:00"/>
    <d v="2025-02-18T00:00:00"/>
    <x v="1"/>
    <x v="0"/>
    <x v="2"/>
    <x v="0"/>
    <x v="8"/>
    <x v="2"/>
    <x v="6"/>
    <x v="1"/>
  </r>
  <r>
    <x v="1150"/>
    <x v="15"/>
    <x v="3"/>
    <n v="63.7"/>
    <x v="978"/>
    <d v="2025-02-15T00:00:00"/>
    <d v="2025-02-16T00:00:00"/>
    <x v="2"/>
    <x v="2"/>
    <x v="2"/>
    <x v="0"/>
    <x v="8"/>
    <x v="3"/>
    <x v="6"/>
    <x v="2"/>
  </r>
  <r>
    <x v="1151"/>
    <x v="10"/>
    <x v="1"/>
    <n v="66.2"/>
    <x v="979"/>
    <d v="2025-02-15T00:00:00"/>
    <d v="2025-02-16T00:00:00"/>
    <x v="2"/>
    <x v="4"/>
    <x v="2"/>
    <x v="0"/>
    <x v="17"/>
    <x v="3"/>
    <x v="6"/>
    <x v="2"/>
  </r>
  <r>
    <x v="1152"/>
    <x v="12"/>
    <x v="2"/>
    <n v="32.299999999999997"/>
    <x v="980"/>
    <d v="2025-02-15T00:00:00"/>
    <d v="2025-02-16T00:00:00"/>
    <x v="3"/>
    <x v="2"/>
    <x v="1"/>
    <x v="0"/>
    <x v="9"/>
    <x v="3"/>
    <x v="6"/>
    <x v="3"/>
  </r>
  <r>
    <x v="1153"/>
    <x v="4"/>
    <x v="1"/>
    <n v="66.900000000000006"/>
    <x v="981"/>
    <d v="2025-02-15T00:00:00"/>
    <d v="2025-02-18T00:00:00"/>
    <x v="1"/>
    <x v="1"/>
    <x v="0"/>
    <x v="0"/>
    <x v="11"/>
    <x v="2"/>
    <x v="6"/>
    <x v="1"/>
  </r>
  <r>
    <x v="1154"/>
    <x v="4"/>
    <x v="4"/>
    <n v="25.2"/>
    <x v="982"/>
    <d v="2025-02-15T00:00:00"/>
    <d v="2025-02-19T00:00:00"/>
    <x v="2"/>
    <x v="0"/>
    <x v="1"/>
    <x v="0"/>
    <x v="11"/>
    <x v="5"/>
    <x v="6"/>
    <x v="2"/>
  </r>
  <r>
    <x v="1155"/>
    <x v="10"/>
    <x v="13"/>
    <n v="29.5"/>
    <x v="983"/>
    <d v="2025-02-15T00:00:00"/>
    <d v="2025-02-16T00:00:00"/>
    <x v="1"/>
    <x v="2"/>
    <x v="0"/>
    <x v="0"/>
    <x v="11"/>
    <x v="3"/>
    <x v="6"/>
    <x v="1"/>
  </r>
  <r>
    <x v="1156"/>
    <x v="8"/>
    <x v="9"/>
    <n v="21.6"/>
    <x v="807"/>
    <d v="2025-02-15T00:00:00"/>
    <d v="2025-02-17T00:00:00"/>
    <x v="2"/>
    <x v="0"/>
    <x v="2"/>
    <x v="0"/>
    <x v="32"/>
    <x v="1"/>
    <x v="6"/>
    <x v="2"/>
  </r>
  <r>
    <x v="1157"/>
    <x v="12"/>
    <x v="2"/>
    <n v="69"/>
    <x v="461"/>
    <d v="2025-02-15T00:00:00"/>
    <d v="2025-02-16T00:00:00"/>
    <x v="2"/>
    <x v="0"/>
    <x v="0"/>
    <x v="0"/>
    <x v="18"/>
    <x v="3"/>
    <x v="6"/>
    <x v="2"/>
  </r>
  <r>
    <x v="1158"/>
    <x v="7"/>
    <x v="1"/>
    <n v="115"/>
    <x v="984"/>
    <d v="2025-02-15T00:00:00"/>
    <d v="2025-02-19T00:00:00"/>
    <x v="1"/>
    <x v="0"/>
    <x v="2"/>
    <x v="0"/>
    <x v="18"/>
    <x v="5"/>
    <x v="6"/>
    <x v="1"/>
  </r>
  <r>
    <x v="1159"/>
    <x v="2"/>
    <x v="1"/>
    <n v="109.3"/>
    <x v="985"/>
    <d v="2025-02-15T00:00:00"/>
    <d v="2025-02-17T00:00:00"/>
    <x v="0"/>
    <x v="3"/>
    <x v="1"/>
    <x v="0"/>
    <x v="19"/>
    <x v="1"/>
    <x v="6"/>
    <x v="0"/>
  </r>
  <r>
    <x v="1160"/>
    <x v="9"/>
    <x v="1"/>
    <n v="66.599999999999994"/>
    <x v="986"/>
    <d v="2025-02-15T00:00:00"/>
    <d v="2025-02-18T00:00:00"/>
    <x v="0"/>
    <x v="4"/>
    <x v="1"/>
    <x v="0"/>
    <x v="19"/>
    <x v="2"/>
    <x v="6"/>
    <x v="0"/>
  </r>
  <r>
    <x v="1161"/>
    <x v="12"/>
    <x v="9"/>
    <n v="47.7"/>
    <x v="987"/>
    <d v="2025-02-15T00:00:00"/>
    <d v="2025-02-16T00:00:00"/>
    <x v="1"/>
    <x v="3"/>
    <x v="2"/>
    <x v="0"/>
    <x v="21"/>
    <x v="3"/>
    <x v="6"/>
    <x v="1"/>
  </r>
  <r>
    <x v="1162"/>
    <x v="8"/>
    <x v="1"/>
    <n v="46"/>
    <x v="988"/>
    <d v="2025-02-15T00:00:00"/>
    <d v="2025-02-16T00:00:00"/>
    <x v="2"/>
    <x v="4"/>
    <x v="4"/>
    <x v="0"/>
    <x v="22"/>
    <x v="3"/>
    <x v="6"/>
    <x v="2"/>
  </r>
  <r>
    <x v="1163"/>
    <x v="1"/>
    <x v="13"/>
    <n v="39.299999999999997"/>
    <x v="989"/>
    <d v="2025-02-15T00:00:00"/>
    <d v="2025-02-17T00:00:00"/>
    <x v="1"/>
    <x v="3"/>
    <x v="2"/>
    <x v="0"/>
    <x v="3"/>
    <x v="1"/>
    <x v="6"/>
    <x v="1"/>
  </r>
  <r>
    <x v="1164"/>
    <x v="9"/>
    <x v="0"/>
    <n v="70.2"/>
    <x v="474"/>
    <d v="2025-02-15T00:00:00"/>
    <d v="2025-02-16T00:00:00"/>
    <x v="2"/>
    <x v="0"/>
    <x v="4"/>
    <x v="0"/>
    <x v="3"/>
    <x v="3"/>
    <x v="6"/>
    <x v="2"/>
  </r>
  <r>
    <x v="1165"/>
    <x v="3"/>
    <x v="12"/>
    <n v="71.5"/>
    <x v="990"/>
    <d v="2025-02-15T00:00:00"/>
    <d v="2025-02-15T00:00:00"/>
    <x v="2"/>
    <x v="1"/>
    <x v="2"/>
    <x v="0"/>
    <x v="3"/>
    <x v="7"/>
    <x v="6"/>
    <x v="2"/>
  </r>
  <r>
    <x v="1166"/>
    <x v="10"/>
    <x v="3"/>
    <n v="31"/>
    <x v="991"/>
    <d v="2025-02-15T00:00:00"/>
    <d v="2025-02-22T00:00:00"/>
    <x v="2"/>
    <x v="3"/>
    <x v="2"/>
    <x v="0"/>
    <x v="3"/>
    <x v="6"/>
    <x v="6"/>
    <x v="2"/>
  </r>
  <r>
    <x v="1167"/>
    <x v="2"/>
    <x v="9"/>
    <n v="68.2"/>
    <x v="992"/>
    <d v="2025-02-15T00:00:00"/>
    <d v="2025-02-20T00:00:00"/>
    <x v="2"/>
    <x v="0"/>
    <x v="2"/>
    <x v="0"/>
    <x v="3"/>
    <x v="0"/>
    <x v="6"/>
    <x v="2"/>
  </r>
  <r>
    <x v="1168"/>
    <x v="2"/>
    <x v="0"/>
    <n v="91.4"/>
    <x v="411"/>
    <d v="2025-02-15T00:00:00"/>
    <d v="2025-02-19T00:00:00"/>
    <x v="2"/>
    <x v="1"/>
    <x v="2"/>
    <x v="0"/>
    <x v="6"/>
    <x v="5"/>
    <x v="6"/>
    <x v="2"/>
  </r>
  <r>
    <x v="1169"/>
    <x v="6"/>
    <x v="7"/>
    <n v="112.9"/>
    <x v="993"/>
    <d v="2025-02-15T00:00:00"/>
    <d v="2025-02-16T00:00:00"/>
    <x v="2"/>
    <x v="0"/>
    <x v="0"/>
    <x v="0"/>
    <x v="6"/>
    <x v="3"/>
    <x v="6"/>
    <x v="2"/>
  </r>
  <r>
    <x v="1170"/>
    <x v="17"/>
    <x v="11"/>
    <n v="33.700000000000003"/>
    <x v="994"/>
    <d v="2025-02-15T00:00:00"/>
    <d v="2025-02-16T00:00:00"/>
    <x v="2"/>
    <x v="1"/>
    <x v="2"/>
    <x v="0"/>
    <x v="8"/>
    <x v="3"/>
    <x v="6"/>
    <x v="2"/>
  </r>
  <r>
    <x v="1171"/>
    <x v="15"/>
    <x v="7"/>
    <n v="35.299999999999997"/>
    <x v="995"/>
    <d v="2025-02-15T00:00:00"/>
    <d v="2025-02-17T00:00:00"/>
    <x v="1"/>
    <x v="2"/>
    <x v="0"/>
    <x v="0"/>
    <x v="8"/>
    <x v="1"/>
    <x v="6"/>
    <x v="1"/>
  </r>
  <r>
    <x v="1172"/>
    <x v="18"/>
    <x v="2"/>
    <n v="45.6"/>
    <x v="996"/>
    <d v="2025-02-15T00:00:00"/>
    <d v="2025-02-19T00:00:00"/>
    <x v="1"/>
    <x v="3"/>
    <x v="0"/>
    <x v="0"/>
    <x v="8"/>
    <x v="5"/>
    <x v="6"/>
    <x v="1"/>
  </r>
  <r>
    <x v="1173"/>
    <x v="7"/>
    <x v="3"/>
    <n v="47.1"/>
    <x v="847"/>
    <d v="2025-02-15T00:00:00"/>
    <d v="2025-02-16T00:00:00"/>
    <x v="2"/>
    <x v="4"/>
    <x v="2"/>
    <x v="0"/>
    <x v="9"/>
    <x v="3"/>
    <x v="6"/>
    <x v="2"/>
  </r>
  <r>
    <x v="1174"/>
    <x v="8"/>
    <x v="9"/>
    <n v="16.2"/>
    <x v="969"/>
    <d v="2025-02-15T00:00:00"/>
    <d v="2025-02-17T00:00:00"/>
    <x v="2"/>
    <x v="3"/>
    <x v="2"/>
    <x v="0"/>
    <x v="19"/>
    <x v="1"/>
    <x v="6"/>
    <x v="2"/>
  </r>
  <r>
    <x v="1175"/>
    <x v="1"/>
    <x v="1"/>
    <n v="159.69999999999999"/>
    <x v="997"/>
    <d v="2025-02-16T00:00:00"/>
    <d v="2025-02-17T00:00:00"/>
    <x v="1"/>
    <x v="4"/>
    <x v="0"/>
    <x v="0"/>
    <x v="13"/>
    <x v="3"/>
    <x v="7"/>
    <x v="1"/>
  </r>
  <r>
    <x v="1176"/>
    <x v="8"/>
    <x v="12"/>
    <n v="19"/>
    <x v="998"/>
    <d v="2025-02-16T00:00:00"/>
    <d v="2025-02-23T00:00:00"/>
    <x v="2"/>
    <x v="2"/>
    <x v="2"/>
    <x v="0"/>
    <x v="21"/>
    <x v="6"/>
    <x v="7"/>
    <x v="2"/>
  </r>
  <r>
    <x v="1177"/>
    <x v="6"/>
    <x v="13"/>
    <n v="91.1"/>
    <x v="999"/>
    <d v="2025-02-16T00:00:00"/>
    <d v="2025-02-25T00:00:00"/>
    <x v="2"/>
    <x v="4"/>
    <x v="0"/>
    <x v="0"/>
    <x v="21"/>
    <x v="8"/>
    <x v="7"/>
    <x v="2"/>
  </r>
  <r>
    <x v="1178"/>
    <x v="2"/>
    <x v="9"/>
    <n v="94.1"/>
    <x v="1000"/>
    <d v="2025-02-16T00:00:00"/>
    <d v="2025-02-19T00:00:00"/>
    <x v="0"/>
    <x v="1"/>
    <x v="1"/>
    <x v="0"/>
    <x v="21"/>
    <x v="2"/>
    <x v="7"/>
    <x v="0"/>
  </r>
  <r>
    <x v="1179"/>
    <x v="9"/>
    <x v="11"/>
    <n v="21.1"/>
    <x v="1001"/>
    <d v="2025-02-16T00:00:00"/>
    <d v="2025-02-17T00:00:00"/>
    <x v="2"/>
    <x v="4"/>
    <x v="2"/>
    <x v="0"/>
    <x v="51"/>
    <x v="3"/>
    <x v="7"/>
    <x v="2"/>
  </r>
  <r>
    <x v="1180"/>
    <x v="8"/>
    <x v="3"/>
    <n v="15.3"/>
    <x v="1002"/>
    <d v="2025-02-16T00:00:00"/>
    <d v="2025-02-24T00:00:00"/>
    <x v="2"/>
    <x v="2"/>
    <x v="0"/>
    <x v="0"/>
    <x v="1"/>
    <x v="9"/>
    <x v="7"/>
    <x v="2"/>
  </r>
  <r>
    <x v="1181"/>
    <x v="15"/>
    <x v="12"/>
    <n v="21.3"/>
    <x v="464"/>
    <d v="2025-02-16T00:00:00"/>
    <d v="2025-02-19T00:00:00"/>
    <x v="1"/>
    <x v="1"/>
    <x v="0"/>
    <x v="0"/>
    <x v="3"/>
    <x v="2"/>
    <x v="7"/>
    <x v="1"/>
  </r>
  <r>
    <x v="1182"/>
    <x v="0"/>
    <x v="1"/>
    <n v="23.2"/>
    <x v="434"/>
    <d v="2025-02-16T00:00:00"/>
    <d v="2025-02-16T00:00:00"/>
    <x v="0"/>
    <x v="3"/>
    <x v="1"/>
    <x v="0"/>
    <x v="3"/>
    <x v="7"/>
    <x v="7"/>
    <x v="0"/>
  </r>
  <r>
    <x v="1183"/>
    <x v="4"/>
    <x v="2"/>
    <n v="25.7"/>
    <x v="1003"/>
    <d v="2025-02-16T00:00:00"/>
    <d v="2025-02-17T00:00:00"/>
    <x v="1"/>
    <x v="4"/>
    <x v="0"/>
    <x v="0"/>
    <x v="3"/>
    <x v="3"/>
    <x v="7"/>
    <x v="1"/>
  </r>
  <r>
    <x v="1184"/>
    <x v="0"/>
    <x v="11"/>
    <n v="31.6"/>
    <x v="1004"/>
    <d v="2025-02-16T00:00:00"/>
    <d v="2025-02-18T00:00:00"/>
    <x v="2"/>
    <x v="0"/>
    <x v="0"/>
    <x v="0"/>
    <x v="3"/>
    <x v="1"/>
    <x v="7"/>
    <x v="2"/>
  </r>
  <r>
    <x v="1185"/>
    <x v="6"/>
    <x v="0"/>
    <n v="64.2"/>
    <x v="1005"/>
    <d v="2025-02-16T00:00:00"/>
    <d v="2025-02-21T00:00:00"/>
    <x v="1"/>
    <x v="0"/>
    <x v="0"/>
    <x v="0"/>
    <x v="3"/>
    <x v="0"/>
    <x v="7"/>
    <x v="1"/>
  </r>
  <r>
    <x v="1186"/>
    <x v="8"/>
    <x v="1"/>
    <n v="55.8"/>
    <x v="1006"/>
    <d v="2025-02-16T00:00:00"/>
    <d v="2025-02-18T00:00:00"/>
    <x v="0"/>
    <x v="0"/>
    <x v="0"/>
    <x v="0"/>
    <x v="3"/>
    <x v="1"/>
    <x v="7"/>
    <x v="0"/>
  </r>
  <r>
    <x v="1187"/>
    <x v="8"/>
    <x v="1"/>
    <n v="28.1"/>
    <x v="1007"/>
    <d v="2025-02-16T00:00:00"/>
    <d v="2025-02-17T00:00:00"/>
    <x v="2"/>
    <x v="4"/>
    <x v="1"/>
    <x v="0"/>
    <x v="3"/>
    <x v="3"/>
    <x v="7"/>
    <x v="2"/>
  </r>
  <r>
    <x v="1188"/>
    <x v="0"/>
    <x v="1"/>
    <n v="11.6"/>
    <x v="772"/>
    <d v="2025-02-16T00:00:00"/>
    <d v="2025-02-18T00:00:00"/>
    <x v="2"/>
    <x v="1"/>
    <x v="0"/>
    <x v="0"/>
    <x v="24"/>
    <x v="1"/>
    <x v="7"/>
    <x v="2"/>
  </r>
  <r>
    <x v="1189"/>
    <x v="5"/>
    <x v="2"/>
    <n v="50.4"/>
    <x v="277"/>
    <d v="2025-02-16T00:00:00"/>
    <d v="2025-02-17T00:00:00"/>
    <x v="1"/>
    <x v="4"/>
    <x v="2"/>
    <x v="0"/>
    <x v="25"/>
    <x v="3"/>
    <x v="7"/>
    <x v="1"/>
  </r>
  <r>
    <x v="1190"/>
    <x v="6"/>
    <x v="13"/>
    <n v="48.3"/>
    <x v="1008"/>
    <d v="2025-02-16T00:00:00"/>
    <d v="2025-02-20T00:00:00"/>
    <x v="2"/>
    <x v="0"/>
    <x v="0"/>
    <x v="0"/>
    <x v="25"/>
    <x v="5"/>
    <x v="7"/>
    <x v="2"/>
  </r>
  <r>
    <x v="1191"/>
    <x v="17"/>
    <x v="3"/>
    <n v="32.200000000000003"/>
    <x v="1009"/>
    <d v="2025-02-16T00:00:00"/>
    <d v="2025-02-18T00:00:00"/>
    <x v="2"/>
    <x v="2"/>
    <x v="0"/>
    <x v="0"/>
    <x v="25"/>
    <x v="1"/>
    <x v="7"/>
    <x v="2"/>
  </r>
  <r>
    <x v="1192"/>
    <x v="7"/>
    <x v="31"/>
    <n v="48.5"/>
    <x v="1010"/>
    <d v="2025-02-16T00:00:00"/>
    <d v="2025-02-17T00:00:00"/>
    <x v="1"/>
    <x v="0"/>
    <x v="0"/>
    <x v="0"/>
    <x v="5"/>
    <x v="3"/>
    <x v="7"/>
    <x v="1"/>
  </r>
  <r>
    <x v="1193"/>
    <x v="2"/>
    <x v="9"/>
    <n v="62"/>
    <x v="892"/>
    <d v="2025-02-16T00:00:00"/>
    <d v="2025-02-19T00:00:00"/>
    <x v="2"/>
    <x v="1"/>
    <x v="0"/>
    <x v="0"/>
    <x v="6"/>
    <x v="2"/>
    <x v="7"/>
    <x v="2"/>
  </r>
  <r>
    <x v="1194"/>
    <x v="8"/>
    <x v="2"/>
    <n v="32.1"/>
    <x v="219"/>
    <d v="2025-02-17T00:00:00"/>
    <d v="2025-02-19T00:00:00"/>
    <x v="1"/>
    <x v="0"/>
    <x v="0"/>
    <x v="0"/>
    <x v="6"/>
    <x v="1"/>
    <x v="7"/>
    <x v="1"/>
  </r>
  <r>
    <x v="1195"/>
    <x v="12"/>
    <x v="2"/>
    <n v="106.1"/>
    <x v="1011"/>
    <d v="2025-02-17T00:00:00"/>
    <d v="2025-02-19T00:00:00"/>
    <x v="1"/>
    <x v="0"/>
    <x v="1"/>
    <x v="0"/>
    <x v="7"/>
    <x v="1"/>
    <x v="7"/>
    <x v="1"/>
  </r>
  <r>
    <x v="1196"/>
    <x v="10"/>
    <x v="2"/>
    <n v="23.5"/>
    <x v="1012"/>
    <d v="2025-02-17T00:00:00"/>
    <d v="2025-02-20T00:00:00"/>
    <x v="1"/>
    <x v="0"/>
    <x v="4"/>
    <x v="0"/>
    <x v="7"/>
    <x v="2"/>
    <x v="7"/>
    <x v="1"/>
  </r>
  <r>
    <x v="1197"/>
    <x v="1"/>
    <x v="1"/>
    <n v="35.6"/>
    <x v="1013"/>
    <d v="2025-02-17T00:00:00"/>
    <d v="2025-02-22T00:00:00"/>
    <x v="1"/>
    <x v="4"/>
    <x v="0"/>
    <x v="0"/>
    <x v="8"/>
    <x v="0"/>
    <x v="7"/>
    <x v="1"/>
  </r>
  <r>
    <x v="1198"/>
    <x v="1"/>
    <x v="1"/>
    <n v="63.5"/>
    <x v="520"/>
    <d v="2025-02-17T00:00:00"/>
    <d v="2025-02-17T00:00:00"/>
    <x v="2"/>
    <x v="1"/>
    <x v="2"/>
    <x v="0"/>
    <x v="8"/>
    <x v="7"/>
    <x v="7"/>
    <x v="2"/>
  </r>
  <r>
    <x v="1199"/>
    <x v="6"/>
    <x v="3"/>
    <n v="82.9"/>
    <x v="1014"/>
    <d v="2025-02-17T00:00:00"/>
    <d v="2025-02-22T00:00:00"/>
    <x v="2"/>
    <x v="4"/>
    <x v="0"/>
    <x v="0"/>
    <x v="9"/>
    <x v="0"/>
    <x v="7"/>
    <x v="2"/>
  </r>
  <r>
    <x v="1200"/>
    <x v="6"/>
    <x v="1"/>
    <n v="83.6"/>
    <x v="762"/>
    <d v="2025-02-17T00:00:00"/>
    <d v="2025-02-22T00:00:00"/>
    <x v="2"/>
    <x v="0"/>
    <x v="0"/>
    <x v="0"/>
    <x v="11"/>
    <x v="0"/>
    <x v="7"/>
    <x v="2"/>
  </r>
  <r>
    <x v="1201"/>
    <x v="4"/>
    <x v="1"/>
    <n v="29.4"/>
    <x v="572"/>
    <d v="2025-02-17T00:00:00"/>
    <d v="2025-02-17T00:00:00"/>
    <x v="2"/>
    <x v="0"/>
    <x v="1"/>
    <x v="0"/>
    <x v="30"/>
    <x v="7"/>
    <x v="7"/>
    <x v="2"/>
  </r>
  <r>
    <x v="1202"/>
    <x v="2"/>
    <x v="2"/>
    <n v="107.1"/>
    <x v="1015"/>
    <d v="2025-02-17T00:00:00"/>
    <d v="2025-02-21T00:00:00"/>
    <x v="2"/>
    <x v="2"/>
    <x v="0"/>
    <x v="0"/>
    <x v="20"/>
    <x v="5"/>
    <x v="7"/>
    <x v="2"/>
  </r>
  <r>
    <x v="1203"/>
    <x v="2"/>
    <x v="0"/>
    <n v="62.7"/>
    <x v="1016"/>
    <d v="2025-02-17T00:00:00"/>
    <d v="2025-02-21T00:00:00"/>
    <x v="1"/>
    <x v="1"/>
    <x v="0"/>
    <x v="0"/>
    <x v="21"/>
    <x v="5"/>
    <x v="7"/>
    <x v="1"/>
  </r>
  <r>
    <x v="1204"/>
    <x v="11"/>
    <x v="0"/>
    <n v="41.6"/>
    <x v="480"/>
    <d v="2025-02-17T00:00:00"/>
    <d v="2025-02-18T00:00:00"/>
    <x v="1"/>
    <x v="0"/>
    <x v="1"/>
    <x v="0"/>
    <x v="1"/>
    <x v="3"/>
    <x v="7"/>
    <x v="1"/>
  </r>
  <r>
    <x v="1205"/>
    <x v="6"/>
    <x v="0"/>
    <n v="44.2"/>
    <x v="573"/>
    <d v="2025-02-17T00:00:00"/>
    <d v="2025-02-18T00:00:00"/>
    <x v="3"/>
    <x v="0"/>
    <x v="1"/>
    <x v="0"/>
    <x v="1"/>
    <x v="3"/>
    <x v="7"/>
    <x v="3"/>
  </r>
  <r>
    <x v="1206"/>
    <x v="4"/>
    <x v="13"/>
    <n v="40.4"/>
    <x v="1017"/>
    <d v="2025-02-17T00:00:00"/>
    <d v="2025-03-02T00:00:00"/>
    <x v="2"/>
    <x v="2"/>
    <x v="0"/>
    <x v="0"/>
    <x v="22"/>
    <x v="10"/>
    <x v="7"/>
    <x v="2"/>
  </r>
  <r>
    <x v="1207"/>
    <x v="15"/>
    <x v="13"/>
    <n v="59.6"/>
    <x v="1018"/>
    <d v="2025-02-17T00:00:00"/>
    <d v="2025-02-18T00:00:00"/>
    <x v="2"/>
    <x v="4"/>
    <x v="0"/>
    <x v="0"/>
    <x v="34"/>
    <x v="3"/>
    <x v="7"/>
    <x v="2"/>
  </r>
  <r>
    <x v="1208"/>
    <x v="17"/>
    <x v="4"/>
    <n v="63.8"/>
    <x v="1019"/>
    <d v="2025-02-17T00:00:00"/>
    <d v="2025-02-18T00:00:00"/>
    <x v="1"/>
    <x v="1"/>
    <x v="0"/>
    <x v="0"/>
    <x v="3"/>
    <x v="3"/>
    <x v="7"/>
    <x v="1"/>
  </r>
  <r>
    <x v="1209"/>
    <x v="9"/>
    <x v="13"/>
    <n v="30.8"/>
    <x v="827"/>
    <d v="2025-02-17T00:00:00"/>
    <d v="2025-02-19T00:00:00"/>
    <x v="1"/>
    <x v="4"/>
    <x v="0"/>
    <x v="0"/>
    <x v="3"/>
    <x v="1"/>
    <x v="7"/>
    <x v="1"/>
  </r>
  <r>
    <x v="1210"/>
    <x v="1"/>
    <x v="1"/>
    <n v="41.5"/>
    <x v="470"/>
    <d v="2025-02-17T00:00:00"/>
    <d v="2025-02-20T00:00:00"/>
    <x v="3"/>
    <x v="0"/>
    <x v="0"/>
    <x v="0"/>
    <x v="3"/>
    <x v="2"/>
    <x v="7"/>
    <x v="3"/>
  </r>
  <r>
    <x v="1211"/>
    <x v="10"/>
    <x v="12"/>
    <n v="44.7"/>
    <x v="1020"/>
    <d v="2025-02-17T00:00:00"/>
    <d v="2025-02-19T00:00:00"/>
    <x v="2"/>
    <x v="2"/>
    <x v="1"/>
    <x v="0"/>
    <x v="3"/>
    <x v="1"/>
    <x v="7"/>
    <x v="2"/>
  </r>
  <r>
    <x v="1212"/>
    <x v="12"/>
    <x v="1"/>
    <n v="64.099999999999994"/>
    <x v="618"/>
    <d v="2025-02-17T00:00:00"/>
    <d v="2025-02-21T00:00:00"/>
    <x v="2"/>
    <x v="1"/>
    <x v="4"/>
    <x v="0"/>
    <x v="3"/>
    <x v="5"/>
    <x v="7"/>
    <x v="2"/>
  </r>
  <r>
    <x v="1213"/>
    <x v="8"/>
    <x v="0"/>
    <n v="15.9"/>
    <x v="1021"/>
    <d v="2025-02-17T00:00:00"/>
    <d v="2025-02-20T00:00:00"/>
    <x v="0"/>
    <x v="1"/>
    <x v="0"/>
    <x v="0"/>
    <x v="3"/>
    <x v="2"/>
    <x v="7"/>
    <x v="0"/>
  </r>
  <r>
    <x v="1214"/>
    <x v="6"/>
    <x v="1"/>
    <n v="78.7"/>
    <x v="1022"/>
    <d v="2025-02-17T00:00:00"/>
    <d v="2025-02-17T00:00:00"/>
    <x v="2"/>
    <x v="2"/>
    <x v="1"/>
    <x v="0"/>
    <x v="3"/>
    <x v="7"/>
    <x v="7"/>
    <x v="2"/>
  </r>
  <r>
    <x v="1215"/>
    <x v="5"/>
    <x v="4"/>
    <n v="29.6"/>
    <x v="1023"/>
    <d v="2025-02-17T00:00:00"/>
    <d v="2025-02-21T00:00:00"/>
    <x v="1"/>
    <x v="2"/>
    <x v="4"/>
    <x v="0"/>
    <x v="3"/>
    <x v="5"/>
    <x v="7"/>
    <x v="1"/>
  </r>
  <r>
    <x v="1216"/>
    <x v="8"/>
    <x v="12"/>
    <n v="21.5"/>
    <x v="1024"/>
    <d v="2025-02-17T00:00:00"/>
    <d v="2025-02-20T00:00:00"/>
    <x v="1"/>
    <x v="1"/>
    <x v="0"/>
    <x v="0"/>
    <x v="3"/>
    <x v="2"/>
    <x v="7"/>
    <x v="1"/>
  </r>
  <r>
    <x v="1217"/>
    <x v="9"/>
    <x v="2"/>
    <n v="74.900000000000006"/>
    <x v="890"/>
    <d v="2025-02-17T00:00:00"/>
    <d v="2025-02-26T00:00:00"/>
    <x v="1"/>
    <x v="3"/>
    <x v="1"/>
    <x v="0"/>
    <x v="3"/>
    <x v="8"/>
    <x v="7"/>
    <x v="1"/>
  </r>
  <r>
    <x v="1218"/>
    <x v="10"/>
    <x v="13"/>
    <n v="45"/>
    <x v="843"/>
    <d v="2025-02-17T00:00:00"/>
    <d v="2025-02-22T00:00:00"/>
    <x v="2"/>
    <x v="2"/>
    <x v="0"/>
    <x v="0"/>
    <x v="3"/>
    <x v="0"/>
    <x v="7"/>
    <x v="2"/>
  </r>
  <r>
    <x v="1219"/>
    <x v="7"/>
    <x v="33"/>
    <n v="37.9"/>
    <x v="1025"/>
    <d v="2025-02-17T00:00:00"/>
    <d v="2025-02-18T00:00:00"/>
    <x v="1"/>
    <x v="0"/>
    <x v="0"/>
    <x v="0"/>
    <x v="3"/>
    <x v="3"/>
    <x v="7"/>
    <x v="1"/>
  </r>
  <r>
    <x v="1220"/>
    <x v="6"/>
    <x v="2"/>
    <n v="56.6"/>
    <x v="1026"/>
    <d v="2025-02-17T00:00:00"/>
    <d v="2025-02-18T00:00:00"/>
    <x v="1"/>
    <x v="3"/>
    <x v="0"/>
    <x v="0"/>
    <x v="3"/>
    <x v="3"/>
    <x v="7"/>
    <x v="1"/>
  </r>
  <r>
    <x v="1221"/>
    <x v="3"/>
    <x v="15"/>
    <n v="84.5"/>
    <x v="1027"/>
    <d v="2025-02-17T00:00:00"/>
    <d v="2025-02-20T00:00:00"/>
    <x v="2"/>
    <x v="1"/>
    <x v="4"/>
    <x v="0"/>
    <x v="3"/>
    <x v="2"/>
    <x v="7"/>
    <x v="2"/>
  </r>
  <r>
    <x v="1222"/>
    <x v="2"/>
    <x v="9"/>
    <n v="105.4"/>
    <x v="1028"/>
    <d v="2025-02-17T00:00:00"/>
    <d v="2025-02-19T00:00:00"/>
    <x v="2"/>
    <x v="1"/>
    <x v="1"/>
    <x v="0"/>
    <x v="3"/>
    <x v="1"/>
    <x v="7"/>
    <x v="2"/>
  </r>
  <r>
    <x v="1223"/>
    <x v="18"/>
    <x v="3"/>
    <n v="39.4"/>
    <x v="1029"/>
    <d v="2025-02-18T00:00:00"/>
    <d v="2025-02-18T00:00:00"/>
    <x v="1"/>
    <x v="1"/>
    <x v="0"/>
    <x v="0"/>
    <x v="37"/>
    <x v="7"/>
    <x v="7"/>
    <x v="1"/>
  </r>
  <r>
    <x v="1224"/>
    <x v="19"/>
    <x v="2"/>
    <n v="38"/>
    <x v="717"/>
    <d v="2025-02-18T00:00:00"/>
    <d v="2025-02-21T00:00:00"/>
    <x v="1"/>
    <x v="4"/>
    <x v="1"/>
    <x v="0"/>
    <x v="6"/>
    <x v="2"/>
    <x v="7"/>
    <x v="1"/>
  </r>
  <r>
    <x v="1225"/>
    <x v="17"/>
    <x v="12"/>
    <n v="42.5"/>
    <x v="393"/>
    <d v="2025-02-18T00:00:00"/>
    <d v="2025-02-20T00:00:00"/>
    <x v="0"/>
    <x v="0"/>
    <x v="0"/>
    <x v="0"/>
    <x v="6"/>
    <x v="1"/>
    <x v="7"/>
    <x v="0"/>
  </r>
  <r>
    <x v="1226"/>
    <x v="15"/>
    <x v="0"/>
    <n v="62.3"/>
    <x v="1030"/>
    <d v="2025-02-18T00:00:00"/>
    <d v="2025-02-27T00:00:00"/>
    <x v="1"/>
    <x v="0"/>
    <x v="2"/>
    <x v="0"/>
    <x v="6"/>
    <x v="8"/>
    <x v="7"/>
    <x v="1"/>
  </r>
  <r>
    <x v="1227"/>
    <x v="6"/>
    <x v="9"/>
    <n v="49.1"/>
    <x v="1031"/>
    <d v="2025-02-18T00:00:00"/>
    <d v="2025-02-20T00:00:00"/>
    <x v="2"/>
    <x v="1"/>
    <x v="2"/>
    <x v="0"/>
    <x v="7"/>
    <x v="1"/>
    <x v="7"/>
    <x v="2"/>
  </r>
  <r>
    <x v="1228"/>
    <x v="3"/>
    <x v="1"/>
    <n v="30.5"/>
    <x v="170"/>
    <d v="2025-02-18T00:00:00"/>
    <d v="2025-02-21T00:00:00"/>
    <x v="1"/>
    <x v="0"/>
    <x v="2"/>
    <x v="0"/>
    <x v="8"/>
    <x v="2"/>
    <x v="7"/>
    <x v="1"/>
  </r>
  <r>
    <x v="1229"/>
    <x v="2"/>
    <x v="1"/>
    <n v="154.80000000000001"/>
    <x v="141"/>
    <d v="2025-02-18T00:00:00"/>
    <d v="2025-02-21T00:00:00"/>
    <x v="2"/>
    <x v="1"/>
    <x v="4"/>
    <x v="0"/>
    <x v="8"/>
    <x v="2"/>
    <x v="7"/>
    <x v="2"/>
  </r>
  <r>
    <x v="1230"/>
    <x v="6"/>
    <x v="0"/>
    <n v="45"/>
    <x v="583"/>
    <d v="2025-02-18T00:00:00"/>
    <d v="2025-02-22T00:00:00"/>
    <x v="1"/>
    <x v="3"/>
    <x v="1"/>
    <x v="0"/>
    <x v="8"/>
    <x v="5"/>
    <x v="7"/>
    <x v="1"/>
  </r>
  <r>
    <x v="1231"/>
    <x v="0"/>
    <x v="3"/>
    <n v="15.3"/>
    <x v="1002"/>
    <d v="2025-02-18T00:00:00"/>
    <d v="2025-02-19T00:00:00"/>
    <x v="1"/>
    <x v="0"/>
    <x v="2"/>
    <x v="0"/>
    <x v="8"/>
    <x v="3"/>
    <x v="7"/>
    <x v="1"/>
  </r>
  <r>
    <x v="1232"/>
    <x v="2"/>
    <x v="5"/>
    <n v="88.6"/>
    <x v="1032"/>
    <d v="2025-02-18T00:00:00"/>
    <d v="2025-02-21T00:00:00"/>
    <x v="2"/>
    <x v="0"/>
    <x v="4"/>
    <x v="0"/>
    <x v="17"/>
    <x v="2"/>
    <x v="7"/>
    <x v="2"/>
  </r>
  <r>
    <x v="1233"/>
    <x v="9"/>
    <x v="1"/>
    <n v="49.7"/>
    <x v="1033"/>
    <d v="2025-02-18T00:00:00"/>
    <d v="2025-02-20T00:00:00"/>
    <x v="3"/>
    <x v="4"/>
    <x v="0"/>
    <x v="0"/>
    <x v="10"/>
    <x v="1"/>
    <x v="7"/>
    <x v="3"/>
  </r>
  <r>
    <x v="1234"/>
    <x v="10"/>
    <x v="0"/>
    <n v="29"/>
    <x v="1034"/>
    <d v="2025-02-18T00:00:00"/>
    <d v="2025-02-19T00:00:00"/>
    <x v="1"/>
    <x v="0"/>
    <x v="0"/>
    <x v="0"/>
    <x v="11"/>
    <x v="3"/>
    <x v="7"/>
    <x v="1"/>
  </r>
  <r>
    <x v="1235"/>
    <x v="1"/>
    <x v="0"/>
    <n v="60.7"/>
    <x v="1035"/>
    <d v="2025-02-18T00:00:00"/>
    <d v="2025-02-19T00:00:00"/>
    <x v="3"/>
    <x v="0"/>
    <x v="1"/>
    <x v="0"/>
    <x v="11"/>
    <x v="3"/>
    <x v="7"/>
    <x v="3"/>
  </r>
  <r>
    <x v="1236"/>
    <x v="17"/>
    <x v="12"/>
    <n v="87.4"/>
    <x v="1036"/>
    <d v="2025-02-18T00:00:00"/>
    <d v="2025-02-20T00:00:00"/>
    <x v="0"/>
    <x v="0"/>
    <x v="0"/>
    <x v="0"/>
    <x v="11"/>
    <x v="1"/>
    <x v="7"/>
    <x v="0"/>
  </r>
  <r>
    <x v="1237"/>
    <x v="4"/>
    <x v="3"/>
    <n v="44.5"/>
    <x v="1037"/>
    <d v="2025-02-18T00:00:00"/>
    <d v="2025-02-22T00:00:00"/>
    <x v="2"/>
    <x v="2"/>
    <x v="2"/>
    <x v="0"/>
    <x v="19"/>
    <x v="5"/>
    <x v="7"/>
    <x v="2"/>
  </r>
  <r>
    <x v="1238"/>
    <x v="2"/>
    <x v="0"/>
    <n v="141"/>
    <x v="1038"/>
    <d v="2025-02-18T00:00:00"/>
    <d v="2025-02-19T00:00:00"/>
    <x v="1"/>
    <x v="4"/>
    <x v="2"/>
    <x v="0"/>
    <x v="19"/>
    <x v="3"/>
    <x v="7"/>
    <x v="1"/>
  </r>
  <r>
    <x v="1239"/>
    <x v="0"/>
    <x v="2"/>
    <n v="16.7"/>
    <x v="1039"/>
    <d v="2025-02-18T00:00:00"/>
    <d v="2025-02-26T00:00:00"/>
    <x v="2"/>
    <x v="0"/>
    <x v="0"/>
    <x v="0"/>
    <x v="20"/>
    <x v="9"/>
    <x v="7"/>
    <x v="2"/>
  </r>
  <r>
    <x v="1240"/>
    <x v="1"/>
    <x v="1"/>
    <n v="77.5"/>
    <x v="1040"/>
    <d v="2025-02-18T00:00:00"/>
    <d v="2025-02-19T00:00:00"/>
    <x v="0"/>
    <x v="2"/>
    <x v="2"/>
    <x v="0"/>
    <x v="13"/>
    <x v="3"/>
    <x v="7"/>
    <x v="0"/>
  </r>
  <r>
    <x v="1241"/>
    <x v="2"/>
    <x v="1"/>
    <n v="163"/>
    <x v="1041"/>
    <d v="2025-02-18T00:00:00"/>
    <d v="2025-02-24T00:00:00"/>
    <x v="2"/>
    <x v="4"/>
    <x v="0"/>
    <x v="0"/>
    <x v="21"/>
    <x v="4"/>
    <x v="7"/>
    <x v="2"/>
  </r>
  <r>
    <x v="1242"/>
    <x v="4"/>
    <x v="11"/>
    <n v="21.4"/>
    <x v="1042"/>
    <d v="2025-02-18T00:00:00"/>
    <d v="2025-02-21T00:00:00"/>
    <x v="2"/>
    <x v="0"/>
    <x v="0"/>
    <x v="0"/>
    <x v="51"/>
    <x v="2"/>
    <x v="7"/>
    <x v="2"/>
  </r>
  <r>
    <x v="1243"/>
    <x v="10"/>
    <x v="5"/>
    <n v="31"/>
    <x v="992"/>
    <d v="2025-02-18T00:00:00"/>
    <d v="2025-02-20T00:00:00"/>
    <x v="2"/>
    <x v="3"/>
    <x v="2"/>
    <x v="0"/>
    <x v="1"/>
    <x v="1"/>
    <x v="7"/>
    <x v="2"/>
  </r>
  <r>
    <x v="1244"/>
    <x v="7"/>
    <x v="1"/>
    <n v="34.299999999999997"/>
    <x v="1043"/>
    <d v="2025-02-18T00:00:00"/>
    <d v="2025-02-20T00:00:00"/>
    <x v="2"/>
    <x v="0"/>
    <x v="3"/>
    <x v="0"/>
    <x v="1"/>
    <x v="1"/>
    <x v="7"/>
    <x v="2"/>
  </r>
  <r>
    <x v="1245"/>
    <x v="17"/>
    <x v="9"/>
    <n v="48.2"/>
    <x v="1044"/>
    <d v="2025-02-18T00:00:00"/>
    <d v="2025-02-19T00:00:00"/>
    <x v="1"/>
    <x v="1"/>
    <x v="1"/>
    <x v="0"/>
    <x v="2"/>
    <x v="3"/>
    <x v="7"/>
    <x v="1"/>
  </r>
  <r>
    <x v="1246"/>
    <x v="10"/>
    <x v="0"/>
    <n v="51.4"/>
    <x v="1045"/>
    <d v="2025-02-18T00:00:00"/>
    <d v="2025-02-19T00:00:00"/>
    <x v="1"/>
    <x v="0"/>
    <x v="0"/>
    <x v="0"/>
    <x v="3"/>
    <x v="3"/>
    <x v="7"/>
    <x v="1"/>
  </r>
  <r>
    <x v="1247"/>
    <x v="2"/>
    <x v="9"/>
    <n v="117.2"/>
    <x v="1046"/>
    <d v="2025-02-18T00:00:00"/>
    <d v="2025-02-21T00:00:00"/>
    <x v="2"/>
    <x v="4"/>
    <x v="4"/>
    <x v="0"/>
    <x v="3"/>
    <x v="2"/>
    <x v="7"/>
    <x v="2"/>
  </r>
  <r>
    <x v="1248"/>
    <x v="8"/>
    <x v="0"/>
    <n v="38.1"/>
    <x v="220"/>
    <d v="2025-02-18T00:00:00"/>
    <d v="2025-02-18T00:00:00"/>
    <x v="1"/>
    <x v="4"/>
    <x v="1"/>
    <x v="0"/>
    <x v="3"/>
    <x v="7"/>
    <x v="7"/>
    <x v="1"/>
  </r>
  <r>
    <x v="1249"/>
    <x v="0"/>
    <x v="1"/>
    <n v="44.1"/>
    <x v="1047"/>
    <d v="2025-02-18T00:00:00"/>
    <d v="2025-02-20T00:00:00"/>
    <x v="2"/>
    <x v="2"/>
    <x v="0"/>
    <x v="0"/>
    <x v="3"/>
    <x v="1"/>
    <x v="7"/>
    <x v="2"/>
  </r>
  <r>
    <x v="1250"/>
    <x v="15"/>
    <x v="12"/>
    <n v="80.5"/>
    <x v="310"/>
    <d v="2025-02-18T00:00:00"/>
    <d v="2025-02-23T00:00:00"/>
    <x v="1"/>
    <x v="0"/>
    <x v="0"/>
    <x v="0"/>
    <x v="3"/>
    <x v="0"/>
    <x v="7"/>
    <x v="1"/>
  </r>
  <r>
    <x v="1251"/>
    <x v="18"/>
    <x v="12"/>
    <n v="33.6"/>
    <x v="1048"/>
    <d v="2025-02-18T00:00:00"/>
    <d v="2025-02-23T00:00:00"/>
    <x v="0"/>
    <x v="0"/>
    <x v="2"/>
    <x v="0"/>
    <x v="3"/>
    <x v="0"/>
    <x v="7"/>
    <x v="0"/>
  </r>
  <r>
    <x v="1252"/>
    <x v="9"/>
    <x v="11"/>
    <n v="41.8"/>
    <x v="82"/>
    <d v="2025-02-18T00:00:00"/>
    <d v="2025-02-19T00:00:00"/>
    <x v="2"/>
    <x v="0"/>
    <x v="1"/>
    <x v="0"/>
    <x v="3"/>
    <x v="3"/>
    <x v="7"/>
    <x v="2"/>
  </r>
  <r>
    <x v="1253"/>
    <x v="1"/>
    <x v="1"/>
    <n v="106.2"/>
    <x v="230"/>
    <d v="2025-02-18T00:00:00"/>
    <d v="2025-02-18T00:00:00"/>
    <x v="2"/>
    <x v="4"/>
    <x v="2"/>
    <x v="0"/>
    <x v="3"/>
    <x v="7"/>
    <x v="7"/>
    <x v="2"/>
  </r>
  <r>
    <x v="1254"/>
    <x v="1"/>
    <x v="1"/>
    <n v="52.6"/>
    <x v="1049"/>
    <d v="2025-02-18T00:00:00"/>
    <d v="2025-02-19T00:00:00"/>
    <x v="2"/>
    <x v="0"/>
    <x v="2"/>
    <x v="0"/>
    <x v="5"/>
    <x v="3"/>
    <x v="7"/>
    <x v="2"/>
  </r>
  <r>
    <x v="1255"/>
    <x v="11"/>
    <x v="3"/>
    <n v="68.5"/>
    <x v="1050"/>
    <d v="2025-02-18T00:00:00"/>
    <d v="2025-02-19T00:00:00"/>
    <x v="2"/>
    <x v="1"/>
    <x v="0"/>
    <x v="0"/>
    <x v="5"/>
    <x v="3"/>
    <x v="7"/>
    <x v="2"/>
  </r>
  <r>
    <x v="1256"/>
    <x v="1"/>
    <x v="1"/>
    <n v="55.6"/>
    <x v="622"/>
    <d v="2025-02-18T00:00:00"/>
    <d v="2025-02-20T00:00:00"/>
    <x v="1"/>
    <x v="1"/>
    <x v="2"/>
    <x v="0"/>
    <x v="6"/>
    <x v="1"/>
    <x v="7"/>
    <x v="1"/>
  </r>
  <r>
    <x v="1257"/>
    <x v="2"/>
    <x v="2"/>
    <n v="134.9"/>
    <x v="1051"/>
    <d v="2025-02-18T00:00:00"/>
    <d v="2025-02-19T00:00:00"/>
    <x v="1"/>
    <x v="1"/>
    <x v="1"/>
    <x v="0"/>
    <x v="6"/>
    <x v="3"/>
    <x v="7"/>
    <x v="1"/>
  </r>
  <r>
    <x v="1258"/>
    <x v="10"/>
    <x v="9"/>
    <n v="42.6"/>
    <x v="226"/>
    <d v="2025-02-18T00:00:00"/>
    <d v="2025-02-19T00:00:00"/>
    <x v="1"/>
    <x v="0"/>
    <x v="0"/>
    <x v="0"/>
    <x v="6"/>
    <x v="3"/>
    <x v="7"/>
    <x v="1"/>
  </r>
  <r>
    <x v="1259"/>
    <x v="7"/>
    <x v="9"/>
    <n v="60.6"/>
    <x v="1052"/>
    <d v="2025-02-18T00:00:00"/>
    <d v="2025-02-20T00:00:00"/>
    <x v="1"/>
    <x v="4"/>
    <x v="0"/>
    <x v="0"/>
    <x v="6"/>
    <x v="1"/>
    <x v="7"/>
    <x v="1"/>
  </r>
  <r>
    <x v="1260"/>
    <x v="8"/>
    <x v="1"/>
    <n v="43.5"/>
    <x v="1053"/>
    <d v="2025-02-18T00:00:00"/>
    <d v="2025-02-19T00:00:00"/>
    <x v="1"/>
    <x v="4"/>
    <x v="0"/>
    <x v="0"/>
    <x v="7"/>
    <x v="3"/>
    <x v="7"/>
    <x v="1"/>
  </r>
  <r>
    <x v="1261"/>
    <x v="2"/>
    <x v="1"/>
    <n v="187.1"/>
    <x v="1054"/>
    <d v="2025-02-18T00:00:00"/>
    <d v="2025-02-19T00:00:00"/>
    <x v="1"/>
    <x v="1"/>
    <x v="2"/>
    <x v="0"/>
    <x v="8"/>
    <x v="3"/>
    <x v="7"/>
    <x v="1"/>
  </r>
  <r>
    <x v="1262"/>
    <x v="9"/>
    <x v="2"/>
    <n v="32"/>
    <x v="854"/>
    <d v="2025-02-18T00:00:00"/>
    <d v="2025-02-20T00:00:00"/>
    <x v="1"/>
    <x v="0"/>
    <x v="0"/>
    <x v="0"/>
    <x v="8"/>
    <x v="1"/>
    <x v="7"/>
    <x v="1"/>
  </r>
  <r>
    <x v="1263"/>
    <x v="9"/>
    <x v="1"/>
    <n v="110.8"/>
    <x v="1055"/>
    <d v="2025-02-18T00:00:00"/>
    <d v="2025-02-18T00:00:00"/>
    <x v="1"/>
    <x v="0"/>
    <x v="2"/>
    <x v="0"/>
    <x v="8"/>
    <x v="7"/>
    <x v="7"/>
    <x v="1"/>
  </r>
  <r>
    <x v="1264"/>
    <x v="10"/>
    <x v="15"/>
    <n v="36.1"/>
    <x v="1056"/>
    <d v="2025-02-18T00:00:00"/>
    <d v="2025-02-21T00:00:00"/>
    <x v="2"/>
    <x v="0"/>
    <x v="1"/>
    <x v="0"/>
    <x v="8"/>
    <x v="2"/>
    <x v="7"/>
    <x v="2"/>
  </r>
  <r>
    <x v="1265"/>
    <x v="0"/>
    <x v="0"/>
    <n v="24.1"/>
    <x v="1057"/>
    <d v="2025-02-18T00:00:00"/>
    <d v="2025-02-20T00:00:00"/>
    <x v="2"/>
    <x v="4"/>
    <x v="2"/>
    <x v="0"/>
    <x v="8"/>
    <x v="1"/>
    <x v="7"/>
    <x v="2"/>
  </r>
  <r>
    <x v="1266"/>
    <x v="19"/>
    <x v="2"/>
    <n v="30.5"/>
    <x v="1058"/>
    <d v="2025-02-18T00:00:00"/>
    <d v="2025-02-20T00:00:00"/>
    <x v="1"/>
    <x v="1"/>
    <x v="0"/>
    <x v="0"/>
    <x v="8"/>
    <x v="1"/>
    <x v="7"/>
    <x v="1"/>
  </r>
  <r>
    <x v="1267"/>
    <x v="18"/>
    <x v="13"/>
    <n v="68.3"/>
    <x v="1059"/>
    <d v="2025-02-18T00:00:00"/>
    <d v="2025-02-21T00:00:00"/>
    <x v="1"/>
    <x v="0"/>
    <x v="0"/>
    <x v="0"/>
    <x v="8"/>
    <x v="2"/>
    <x v="7"/>
    <x v="1"/>
  </r>
  <r>
    <x v="1268"/>
    <x v="7"/>
    <x v="2"/>
    <n v="43.3"/>
    <x v="1060"/>
    <d v="2025-02-18T00:00:00"/>
    <d v="2025-02-22T00:00:00"/>
    <x v="2"/>
    <x v="0"/>
    <x v="0"/>
    <x v="0"/>
    <x v="17"/>
    <x v="5"/>
    <x v="7"/>
    <x v="2"/>
  </r>
  <r>
    <x v="1269"/>
    <x v="3"/>
    <x v="0"/>
    <n v="101.7"/>
    <x v="530"/>
    <d v="2025-02-18T00:00:00"/>
    <d v="2025-02-21T00:00:00"/>
    <x v="2"/>
    <x v="0"/>
    <x v="1"/>
    <x v="0"/>
    <x v="17"/>
    <x v="2"/>
    <x v="7"/>
    <x v="2"/>
  </r>
  <r>
    <x v="1270"/>
    <x v="11"/>
    <x v="1"/>
    <n v="54.2"/>
    <x v="1061"/>
    <d v="2025-02-18T00:00:00"/>
    <d v="2025-02-19T00:00:00"/>
    <x v="2"/>
    <x v="0"/>
    <x v="1"/>
    <x v="0"/>
    <x v="17"/>
    <x v="3"/>
    <x v="7"/>
    <x v="2"/>
  </r>
  <r>
    <x v="1271"/>
    <x v="16"/>
    <x v="1"/>
    <n v="51"/>
    <x v="1062"/>
    <d v="2025-02-18T00:00:00"/>
    <d v="2025-02-18T00:00:00"/>
    <x v="1"/>
    <x v="1"/>
    <x v="0"/>
    <x v="0"/>
    <x v="26"/>
    <x v="7"/>
    <x v="7"/>
    <x v="1"/>
  </r>
  <r>
    <x v="1272"/>
    <x v="4"/>
    <x v="1"/>
    <n v="23.1"/>
    <x v="1063"/>
    <d v="2025-02-18T00:00:00"/>
    <d v="2025-02-21T00:00:00"/>
    <x v="1"/>
    <x v="1"/>
    <x v="0"/>
    <x v="0"/>
    <x v="10"/>
    <x v="2"/>
    <x v="7"/>
    <x v="1"/>
  </r>
  <r>
    <x v="1273"/>
    <x v="12"/>
    <x v="13"/>
    <n v="60.1"/>
    <x v="116"/>
    <d v="2025-02-18T00:00:00"/>
    <d v="2025-02-18T00:00:00"/>
    <x v="2"/>
    <x v="3"/>
    <x v="0"/>
    <x v="0"/>
    <x v="11"/>
    <x v="7"/>
    <x v="7"/>
    <x v="2"/>
  </r>
  <r>
    <x v="1274"/>
    <x v="2"/>
    <x v="3"/>
    <n v="87.5"/>
    <x v="1064"/>
    <d v="2025-02-18T00:00:00"/>
    <d v="2025-02-20T00:00:00"/>
    <x v="2"/>
    <x v="0"/>
    <x v="1"/>
    <x v="0"/>
    <x v="11"/>
    <x v="1"/>
    <x v="7"/>
    <x v="2"/>
  </r>
  <r>
    <x v="1275"/>
    <x v="1"/>
    <x v="2"/>
    <n v="51"/>
    <x v="1065"/>
    <d v="2025-02-18T00:00:00"/>
    <d v="2025-02-19T00:00:00"/>
    <x v="2"/>
    <x v="1"/>
    <x v="0"/>
    <x v="0"/>
    <x v="11"/>
    <x v="3"/>
    <x v="7"/>
    <x v="2"/>
  </r>
  <r>
    <x v="1276"/>
    <x v="8"/>
    <x v="12"/>
    <n v="19.2"/>
    <x v="714"/>
    <d v="2025-02-18T00:00:00"/>
    <d v="2025-02-20T00:00:00"/>
    <x v="2"/>
    <x v="0"/>
    <x v="0"/>
    <x v="0"/>
    <x v="11"/>
    <x v="1"/>
    <x v="7"/>
    <x v="2"/>
  </r>
  <r>
    <x v="1277"/>
    <x v="5"/>
    <x v="8"/>
    <n v="26.5"/>
    <x v="1066"/>
    <d v="2025-02-18T00:00:00"/>
    <d v="2025-02-19T00:00:00"/>
    <x v="0"/>
    <x v="3"/>
    <x v="2"/>
    <x v="0"/>
    <x v="11"/>
    <x v="3"/>
    <x v="7"/>
    <x v="0"/>
  </r>
  <r>
    <x v="1278"/>
    <x v="2"/>
    <x v="1"/>
    <n v="220.3"/>
    <x v="1067"/>
    <d v="2025-02-18T00:00:00"/>
    <d v="2025-02-19T00:00:00"/>
    <x v="2"/>
    <x v="1"/>
    <x v="4"/>
    <x v="0"/>
    <x v="53"/>
    <x v="3"/>
    <x v="7"/>
    <x v="2"/>
  </r>
  <r>
    <x v="1279"/>
    <x v="8"/>
    <x v="2"/>
    <n v="45.7"/>
    <x v="1068"/>
    <d v="2025-02-18T00:00:00"/>
    <d v="2025-02-19T00:00:00"/>
    <x v="2"/>
    <x v="4"/>
    <x v="0"/>
    <x v="0"/>
    <x v="30"/>
    <x v="3"/>
    <x v="7"/>
    <x v="2"/>
  </r>
  <r>
    <x v="1280"/>
    <x v="5"/>
    <x v="9"/>
    <n v="47.1"/>
    <x v="1069"/>
    <d v="2025-02-18T00:00:00"/>
    <d v="2025-02-22T00:00:00"/>
    <x v="2"/>
    <x v="3"/>
    <x v="0"/>
    <x v="0"/>
    <x v="13"/>
    <x v="5"/>
    <x v="7"/>
    <x v="2"/>
  </r>
  <r>
    <x v="1281"/>
    <x v="1"/>
    <x v="9"/>
    <n v="81.7"/>
    <x v="856"/>
    <d v="2025-02-18T00:00:00"/>
    <d v="2025-02-19T00:00:00"/>
    <x v="2"/>
    <x v="0"/>
    <x v="2"/>
    <x v="0"/>
    <x v="21"/>
    <x v="3"/>
    <x v="7"/>
    <x v="2"/>
  </r>
  <r>
    <x v="1282"/>
    <x v="6"/>
    <x v="7"/>
    <n v="97.8"/>
    <x v="1070"/>
    <d v="2025-02-18T00:00:00"/>
    <d v="2025-02-18T00:00:00"/>
    <x v="1"/>
    <x v="1"/>
    <x v="1"/>
    <x v="0"/>
    <x v="21"/>
    <x v="7"/>
    <x v="7"/>
    <x v="1"/>
  </r>
  <r>
    <x v="1283"/>
    <x v="6"/>
    <x v="2"/>
    <n v="42.4"/>
    <x v="1071"/>
    <d v="2025-02-18T00:00:00"/>
    <d v="2025-02-19T00:00:00"/>
    <x v="2"/>
    <x v="0"/>
    <x v="2"/>
    <x v="0"/>
    <x v="54"/>
    <x v="3"/>
    <x v="7"/>
    <x v="2"/>
  </r>
  <r>
    <x v="1284"/>
    <x v="2"/>
    <x v="7"/>
    <n v="74.5"/>
    <x v="1072"/>
    <d v="2025-02-18T00:00:00"/>
    <d v="2025-02-19T00:00:00"/>
    <x v="1"/>
    <x v="2"/>
    <x v="1"/>
    <x v="0"/>
    <x v="1"/>
    <x v="3"/>
    <x v="7"/>
    <x v="1"/>
  </r>
  <r>
    <x v="1285"/>
    <x v="17"/>
    <x v="13"/>
    <n v="47.4"/>
    <x v="1073"/>
    <d v="2025-02-18T00:00:00"/>
    <d v="2025-02-19T00:00:00"/>
    <x v="1"/>
    <x v="1"/>
    <x v="0"/>
    <x v="0"/>
    <x v="1"/>
    <x v="3"/>
    <x v="7"/>
    <x v="1"/>
  </r>
  <r>
    <x v="1286"/>
    <x v="14"/>
    <x v="2"/>
    <n v="17.3"/>
    <x v="1074"/>
    <d v="2025-02-19T00:00:00"/>
    <d v="2025-02-22T00:00:00"/>
    <x v="1"/>
    <x v="2"/>
    <x v="2"/>
    <x v="0"/>
    <x v="1"/>
    <x v="2"/>
    <x v="7"/>
    <x v="1"/>
  </r>
  <r>
    <x v="1287"/>
    <x v="12"/>
    <x v="12"/>
    <n v="77.900000000000006"/>
    <x v="1075"/>
    <d v="2025-02-19T00:00:00"/>
    <d v="2025-02-20T00:00:00"/>
    <x v="1"/>
    <x v="1"/>
    <x v="0"/>
    <x v="0"/>
    <x v="2"/>
    <x v="3"/>
    <x v="7"/>
    <x v="1"/>
  </r>
  <r>
    <x v="1288"/>
    <x v="8"/>
    <x v="0"/>
    <n v="29.1"/>
    <x v="1076"/>
    <d v="2025-02-19T00:00:00"/>
    <d v="2025-02-22T00:00:00"/>
    <x v="1"/>
    <x v="0"/>
    <x v="2"/>
    <x v="0"/>
    <x v="50"/>
    <x v="2"/>
    <x v="7"/>
    <x v="1"/>
  </r>
  <r>
    <x v="1289"/>
    <x v="8"/>
    <x v="0"/>
    <n v="49"/>
    <x v="268"/>
    <d v="2025-02-19T00:00:00"/>
    <d v="2025-02-20T00:00:00"/>
    <x v="1"/>
    <x v="1"/>
    <x v="0"/>
    <x v="0"/>
    <x v="3"/>
    <x v="3"/>
    <x v="7"/>
    <x v="1"/>
  </r>
  <r>
    <x v="1290"/>
    <x v="8"/>
    <x v="13"/>
    <n v="21.1"/>
    <x v="1077"/>
    <d v="2025-02-19T00:00:00"/>
    <d v="2025-02-26T00:00:00"/>
    <x v="1"/>
    <x v="0"/>
    <x v="2"/>
    <x v="0"/>
    <x v="3"/>
    <x v="6"/>
    <x v="7"/>
    <x v="1"/>
  </r>
  <r>
    <x v="1291"/>
    <x v="4"/>
    <x v="10"/>
    <n v="36.9"/>
    <x v="1078"/>
    <d v="2025-02-19T00:00:00"/>
    <d v="2025-02-19T00:00:00"/>
    <x v="2"/>
    <x v="0"/>
    <x v="0"/>
    <x v="0"/>
    <x v="3"/>
    <x v="7"/>
    <x v="7"/>
    <x v="2"/>
  </r>
  <r>
    <x v="1292"/>
    <x v="1"/>
    <x v="7"/>
    <n v="92.6"/>
    <x v="1079"/>
    <d v="2025-02-19T00:00:00"/>
    <d v="2025-02-24T00:00:00"/>
    <x v="1"/>
    <x v="4"/>
    <x v="2"/>
    <x v="0"/>
    <x v="3"/>
    <x v="0"/>
    <x v="7"/>
    <x v="1"/>
  </r>
  <r>
    <x v="1293"/>
    <x v="10"/>
    <x v="1"/>
    <n v="38"/>
    <x v="998"/>
    <d v="2025-02-19T00:00:00"/>
    <d v="2025-02-20T00:00:00"/>
    <x v="1"/>
    <x v="1"/>
    <x v="1"/>
    <x v="0"/>
    <x v="3"/>
    <x v="3"/>
    <x v="7"/>
    <x v="1"/>
  </r>
  <r>
    <x v="1294"/>
    <x v="5"/>
    <x v="2"/>
    <n v="54.8"/>
    <x v="1080"/>
    <d v="2025-02-19T00:00:00"/>
    <d v="2025-02-23T00:00:00"/>
    <x v="0"/>
    <x v="0"/>
    <x v="1"/>
    <x v="0"/>
    <x v="3"/>
    <x v="5"/>
    <x v="7"/>
    <x v="0"/>
  </r>
  <r>
    <x v="1295"/>
    <x v="10"/>
    <x v="4"/>
    <n v="56.8"/>
    <x v="1081"/>
    <d v="2025-02-19T00:00:00"/>
    <d v="2025-02-21T00:00:00"/>
    <x v="1"/>
    <x v="1"/>
    <x v="0"/>
    <x v="0"/>
    <x v="3"/>
    <x v="1"/>
    <x v="7"/>
    <x v="1"/>
  </r>
  <r>
    <x v="1296"/>
    <x v="11"/>
    <x v="40"/>
    <n v="47.2"/>
    <x v="1082"/>
    <d v="2025-02-19T00:00:00"/>
    <d v="2025-02-22T00:00:00"/>
    <x v="2"/>
    <x v="1"/>
    <x v="0"/>
    <x v="0"/>
    <x v="3"/>
    <x v="2"/>
    <x v="7"/>
    <x v="2"/>
  </r>
  <r>
    <x v="1297"/>
    <x v="7"/>
    <x v="13"/>
    <n v="45.1"/>
    <x v="1083"/>
    <d v="2025-02-19T00:00:00"/>
    <d v="2025-02-20T00:00:00"/>
    <x v="2"/>
    <x v="2"/>
    <x v="0"/>
    <x v="0"/>
    <x v="43"/>
    <x v="3"/>
    <x v="7"/>
    <x v="2"/>
  </r>
  <r>
    <x v="1298"/>
    <x v="4"/>
    <x v="4"/>
    <n v="25.2"/>
    <x v="982"/>
    <d v="2025-02-19T00:00:00"/>
    <d v="2025-02-24T00:00:00"/>
    <x v="2"/>
    <x v="2"/>
    <x v="0"/>
    <x v="0"/>
    <x v="16"/>
    <x v="0"/>
    <x v="7"/>
    <x v="2"/>
  </r>
  <r>
    <x v="1299"/>
    <x v="8"/>
    <x v="0"/>
    <n v="22"/>
    <x v="1084"/>
    <d v="2025-02-19T00:00:00"/>
    <d v="2025-02-20T00:00:00"/>
    <x v="2"/>
    <x v="0"/>
    <x v="0"/>
    <x v="0"/>
    <x v="5"/>
    <x v="3"/>
    <x v="7"/>
    <x v="2"/>
  </r>
  <r>
    <x v="1300"/>
    <x v="6"/>
    <x v="1"/>
    <n v="42.2"/>
    <x v="533"/>
    <d v="2025-02-19T00:00:00"/>
    <d v="2025-02-20T00:00:00"/>
    <x v="2"/>
    <x v="1"/>
    <x v="1"/>
    <x v="0"/>
    <x v="23"/>
    <x v="3"/>
    <x v="7"/>
    <x v="2"/>
  </r>
  <r>
    <x v="1301"/>
    <x v="13"/>
    <x v="2"/>
    <n v="20.5"/>
    <x v="1085"/>
    <d v="2025-02-19T00:00:00"/>
    <d v="2025-02-20T00:00:00"/>
    <x v="1"/>
    <x v="0"/>
    <x v="1"/>
    <x v="0"/>
    <x v="6"/>
    <x v="3"/>
    <x v="7"/>
    <x v="1"/>
  </r>
  <r>
    <x v="1302"/>
    <x v="2"/>
    <x v="0"/>
    <n v="190.4"/>
    <x v="1086"/>
    <d v="2025-02-19T00:00:00"/>
    <d v="2025-02-24T00:00:00"/>
    <x v="1"/>
    <x v="1"/>
    <x v="4"/>
    <x v="0"/>
    <x v="6"/>
    <x v="0"/>
    <x v="7"/>
    <x v="1"/>
  </r>
  <r>
    <x v="1303"/>
    <x v="2"/>
    <x v="0"/>
    <n v="121.9"/>
    <x v="1087"/>
    <d v="2025-02-19T00:00:00"/>
    <d v="2025-02-21T00:00:00"/>
    <x v="2"/>
    <x v="1"/>
    <x v="2"/>
    <x v="0"/>
    <x v="6"/>
    <x v="1"/>
    <x v="7"/>
    <x v="2"/>
  </r>
  <r>
    <x v="1304"/>
    <x v="2"/>
    <x v="13"/>
    <n v="149.19999999999999"/>
    <x v="1088"/>
    <d v="2025-02-19T00:00:00"/>
    <d v="2025-02-20T00:00:00"/>
    <x v="2"/>
    <x v="2"/>
    <x v="2"/>
    <x v="0"/>
    <x v="7"/>
    <x v="3"/>
    <x v="7"/>
    <x v="2"/>
  </r>
  <r>
    <x v="1305"/>
    <x v="2"/>
    <x v="0"/>
    <n v="54.1"/>
    <x v="1089"/>
    <d v="2025-02-19T00:00:00"/>
    <d v="2025-02-28T00:00:00"/>
    <x v="2"/>
    <x v="2"/>
    <x v="2"/>
    <x v="0"/>
    <x v="7"/>
    <x v="8"/>
    <x v="7"/>
    <x v="2"/>
  </r>
  <r>
    <x v="1306"/>
    <x v="5"/>
    <x v="1"/>
    <n v="27.4"/>
    <x v="1090"/>
    <d v="2025-02-19T00:00:00"/>
    <d v="2025-02-21T00:00:00"/>
    <x v="1"/>
    <x v="1"/>
    <x v="0"/>
    <x v="0"/>
    <x v="8"/>
    <x v="1"/>
    <x v="7"/>
    <x v="1"/>
  </r>
  <r>
    <x v="1307"/>
    <x v="0"/>
    <x v="15"/>
    <n v="30.4"/>
    <x v="1091"/>
    <d v="2025-02-19T00:00:00"/>
    <d v="2025-02-20T00:00:00"/>
    <x v="2"/>
    <x v="0"/>
    <x v="2"/>
    <x v="0"/>
    <x v="8"/>
    <x v="3"/>
    <x v="7"/>
    <x v="2"/>
  </r>
  <r>
    <x v="1308"/>
    <x v="12"/>
    <x v="2"/>
    <n v="46.2"/>
    <x v="209"/>
    <d v="2025-02-19T00:00:00"/>
    <d v="2025-02-21T00:00:00"/>
    <x v="1"/>
    <x v="2"/>
    <x v="1"/>
    <x v="0"/>
    <x v="17"/>
    <x v="1"/>
    <x v="7"/>
    <x v="1"/>
  </r>
  <r>
    <x v="1309"/>
    <x v="7"/>
    <x v="8"/>
    <n v="78.599999999999994"/>
    <x v="1092"/>
    <d v="2025-02-19T00:00:00"/>
    <d v="2025-02-23T00:00:00"/>
    <x v="1"/>
    <x v="3"/>
    <x v="0"/>
    <x v="0"/>
    <x v="17"/>
    <x v="5"/>
    <x v="7"/>
    <x v="1"/>
  </r>
  <r>
    <x v="1310"/>
    <x v="17"/>
    <x v="7"/>
    <n v="25.9"/>
    <x v="155"/>
    <d v="2025-02-19T00:00:00"/>
    <d v="2025-02-25T00:00:00"/>
    <x v="1"/>
    <x v="4"/>
    <x v="0"/>
    <x v="0"/>
    <x v="9"/>
    <x v="4"/>
    <x v="7"/>
    <x v="1"/>
  </r>
  <r>
    <x v="1311"/>
    <x v="6"/>
    <x v="0"/>
    <n v="134.80000000000001"/>
    <x v="1093"/>
    <d v="2025-02-19T00:00:00"/>
    <d v="2025-02-21T00:00:00"/>
    <x v="1"/>
    <x v="2"/>
    <x v="2"/>
    <x v="0"/>
    <x v="9"/>
    <x v="1"/>
    <x v="7"/>
    <x v="1"/>
  </r>
  <r>
    <x v="1312"/>
    <x v="15"/>
    <x v="9"/>
    <n v="43.1"/>
    <x v="1094"/>
    <d v="2025-02-19T00:00:00"/>
    <d v="2025-02-21T00:00:00"/>
    <x v="2"/>
    <x v="0"/>
    <x v="0"/>
    <x v="0"/>
    <x v="11"/>
    <x v="1"/>
    <x v="7"/>
    <x v="2"/>
  </r>
  <r>
    <x v="1313"/>
    <x v="2"/>
    <x v="1"/>
    <n v="215.6"/>
    <x v="348"/>
    <d v="2025-02-19T00:00:00"/>
    <d v="2025-02-20T00:00:00"/>
    <x v="2"/>
    <x v="2"/>
    <x v="0"/>
    <x v="0"/>
    <x v="18"/>
    <x v="3"/>
    <x v="7"/>
    <x v="2"/>
  </r>
  <r>
    <x v="1314"/>
    <x v="6"/>
    <x v="1"/>
    <n v="80.7"/>
    <x v="1095"/>
    <d v="2025-02-19T00:00:00"/>
    <d v="2025-02-22T00:00:00"/>
    <x v="2"/>
    <x v="3"/>
    <x v="0"/>
    <x v="0"/>
    <x v="18"/>
    <x v="2"/>
    <x v="7"/>
    <x v="2"/>
  </r>
  <r>
    <x v="1315"/>
    <x v="10"/>
    <x v="3"/>
    <n v="20.6"/>
    <x v="1096"/>
    <d v="2025-02-19T00:00:00"/>
    <d v="2025-02-24T00:00:00"/>
    <x v="0"/>
    <x v="2"/>
    <x v="1"/>
    <x v="0"/>
    <x v="19"/>
    <x v="0"/>
    <x v="7"/>
    <x v="0"/>
  </r>
  <r>
    <x v="1316"/>
    <x v="12"/>
    <x v="2"/>
    <n v="37.1"/>
    <x v="1097"/>
    <d v="2025-02-19T00:00:00"/>
    <d v="2025-02-20T00:00:00"/>
    <x v="2"/>
    <x v="0"/>
    <x v="0"/>
    <x v="0"/>
    <x v="52"/>
    <x v="3"/>
    <x v="7"/>
    <x v="2"/>
  </r>
  <r>
    <x v="1317"/>
    <x v="12"/>
    <x v="0"/>
    <n v="104.8"/>
    <x v="661"/>
    <d v="2025-02-20T00:00:00"/>
    <d v="2025-02-22T00:00:00"/>
    <x v="2"/>
    <x v="0"/>
    <x v="0"/>
    <x v="0"/>
    <x v="13"/>
    <x v="1"/>
    <x v="7"/>
    <x v="2"/>
  </r>
  <r>
    <x v="1318"/>
    <x v="8"/>
    <x v="1"/>
    <n v="59"/>
    <x v="1098"/>
    <d v="2025-02-20T00:00:00"/>
    <d v="2025-02-21T00:00:00"/>
    <x v="1"/>
    <x v="1"/>
    <x v="0"/>
    <x v="0"/>
    <x v="21"/>
    <x v="3"/>
    <x v="7"/>
    <x v="1"/>
  </r>
  <r>
    <x v="1319"/>
    <x v="8"/>
    <x v="1"/>
    <n v="32.299999999999997"/>
    <x v="1099"/>
    <d v="2025-02-20T00:00:00"/>
    <d v="2025-02-21T00:00:00"/>
    <x v="1"/>
    <x v="0"/>
    <x v="2"/>
    <x v="0"/>
    <x v="21"/>
    <x v="3"/>
    <x v="7"/>
    <x v="1"/>
  </r>
  <r>
    <x v="1320"/>
    <x v="8"/>
    <x v="12"/>
    <n v="28.9"/>
    <x v="446"/>
    <d v="2025-02-20T00:00:00"/>
    <d v="2025-02-27T00:00:00"/>
    <x v="1"/>
    <x v="0"/>
    <x v="0"/>
    <x v="0"/>
    <x v="1"/>
    <x v="6"/>
    <x v="7"/>
    <x v="1"/>
  </r>
  <r>
    <x v="1321"/>
    <x v="0"/>
    <x v="1"/>
    <n v="29.6"/>
    <x v="1100"/>
    <d v="2025-02-20T00:00:00"/>
    <d v="2025-02-22T00:00:00"/>
    <x v="1"/>
    <x v="0"/>
    <x v="0"/>
    <x v="0"/>
    <x v="1"/>
    <x v="1"/>
    <x v="7"/>
    <x v="1"/>
  </r>
  <r>
    <x v="1322"/>
    <x v="0"/>
    <x v="9"/>
    <n v="29.4"/>
    <x v="926"/>
    <d v="2025-02-20T00:00:00"/>
    <d v="2025-02-23T00:00:00"/>
    <x v="2"/>
    <x v="0"/>
    <x v="0"/>
    <x v="0"/>
    <x v="1"/>
    <x v="2"/>
    <x v="7"/>
    <x v="2"/>
  </r>
  <r>
    <x v="1323"/>
    <x v="1"/>
    <x v="1"/>
    <n v="40.6"/>
    <x v="1101"/>
    <d v="2025-02-20T00:00:00"/>
    <d v="2025-02-21T00:00:00"/>
    <x v="1"/>
    <x v="0"/>
    <x v="4"/>
    <x v="0"/>
    <x v="2"/>
    <x v="3"/>
    <x v="7"/>
    <x v="1"/>
  </r>
  <r>
    <x v="1324"/>
    <x v="0"/>
    <x v="2"/>
    <n v="32.5"/>
    <x v="647"/>
    <d v="2025-02-20T00:00:00"/>
    <d v="2025-02-21T00:00:00"/>
    <x v="1"/>
    <x v="3"/>
    <x v="2"/>
    <x v="0"/>
    <x v="22"/>
    <x v="3"/>
    <x v="7"/>
    <x v="1"/>
  </r>
  <r>
    <x v="1325"/>
    <x v="15"/>
    <x v="0"/>
    <n v="26.2"/>
    <x v="1102"/>
    <d v="2025-02-20T00:00:00"/>
    <d v="2025-02-22T00:00:00"/>
    <x v="1"/>
    <x v="2"/>
    <x v="0"/>
    <x v="0"/>
    <x v="55"/>
    <x v="1"/>
    <x v="7"/>
    <x v="1"/>
  </r>
  <r>
    <x v="1326"/>
    <x v="10"/>
    <x v="17"/>
    <n v="44"/>
    <x v="1103"/>
    <d v="2025-02-20T00:00:00"/>
    <d v="2025-02-26T00:00:00"/>
    <x v="1"/>
    <x v="4"/>
    <x v="0"/>
    <x v="0"/>
    <x v="3"/>
    <x v="4"/>
    <x v="7"/>
    <x v="1"/>
  </r>
  <r>
    <x v="1327"/>
    <x v="7"/>
    <x v="12"/>
    <n v="65.599999999999994"/>
    <x v="1104"/>
    <d v="2025-02-20T00:00:00"/>
    <d v="2025-02-21T00:00:00"/>
    <x v="2"/>
    <x v="1"/>
    <x v="1"/>
    <x v="0"/>
    <x v="3"/>
    <x v="3"/>
    <x v="7"/>
    <x v="2"/>
  </r>
  <r>
    <x v="1328"/>
    <x v="5"/>
    <x v="4"/>
    <n v="32.6"/>
    <x v="1105"/>
    <d v="2025-02-20T00:00:00"/>
    <d v="2025-02-21T00:00:00"/>
    <x v="1"/>
    <x v="4"/>
    <x v="0"/>
    <x v="0"/>
    <x v="3"/>
    <x v="3"/>
    <x v="7"/>
    <x v="1"/>
  </r>
  <r>
    <x v="1329"/>
    <x v="16"/>
    <x v="1"/>
    <n v="88.7"/>
    <x v="633"/>
    <d v="2025-02-20T00:00:00"/>
    <d v="2025-02-21T00:00:00"/>
    <x v="0"/>
    <x v="3"/>
    <x v="2"/>
    <x v="0"/>
    <x v="3"/>
    <x v="3"/>
    <x v="7"/>
    <x v="0"/>
  </r>
  <r>
    <x v="1330"/>
    <x v="4"/>
    <x v="1"/>
    <n v="21.3"/>
    <x v="440"/>
    <d v="2025-02-20T00:00:00"/>
    <d v="2025-02-21T00:00:00"/>
    <x v="1"/>
    <x v="0"/>
    <x v="0"/>
    <x v="0"/>
    <x v="3"/>
    <x v="3"/>
    <x v="7"/>
    <x v="1"/>
  </r>
  <r>
    <x v="1331"/>
    <x v="4"/>
    <x v="13"/>
    <n v="50.6"/>
    <x v="80"/>
    <d v="2025-02-20T00:00:00"/>
    <d v="2025-02-24T00:00:00"/>
    <x v="2"/>
    <x v="2"/>
    <x v="0"/>
    <x v="0"/>
    <x v="3"/>
    <x v="5"/>
    <x v="7"/>
    <x v="2"/>
  </r>
  <r>
    <x v="1332"/>
    <x v="9"/>
    <x v="38"/>
    <n v="86.9"/>
    <x v="1106"/>
    <d v="2025-02-20T00:00:00"/>
    <d v="2025-02-23T00:00:00"/>
    <x v="2"/>
    <x v="0"/>
    <x v="1"/>
    <x v="0"/>
    <x v="3"/>
    <x v="2"/>
    <x v="7"/>
    <x v="2"/>
  </r>
  <r>
    <x v="1333"/>
    <x v="11"/>
    <x v="2"/>
    <n v="31.8"/>
    <x v="233"/>
    <d v="2025-02-20T00:00:00"/>
    <d v="2025-02-22T00:00:00"/>
    <x v="1"/>
    <x v="0"/>
    <x v="2"/>
    <x v="0"/>
    <x v="3"/>
    <x v="1"/>
    <x v="7"/>
    <x v="1"/>
  </r>
  <r>
    <x v="1334"/>
    <x v="8"/>
    <x v="0"/>
    <n v="19"/>
    <x v="134"/>
    <d v="2025-02-20T00:00:00"/>
    <d v="2025-02-21T00:00:00"/>
    <x v="2"/>
    <x v="0"/>
    <x v="2"/>
    <x v="0"/>
    <x v="3"/>
    <x v="3"/>
    <x v="7"/>
    <x v="2"/>
  </r>
  <r>
    <x v="1335"/>
    <x v="5"/>
    <x v="0"/>
    <n v="54.5"/>
    <x v="1107"/>
    <d v="2025-02-20T00:00:00"/>
    <d v="2025-02-22T00:00:00"/>
    <x v="1"/>
    <x v="0"/>
    <x v="0"/>
    <x v="0"/>
    <x v="3"/>
    <x v="1"/>
    <x v="7"/>
    <x v="1"/>
  </r>
  <r>
    <x v="1336"/>
    <x v="9"/>
    <x v="9"/>
    <n v="68.900000000000006"/>
    <x v="1108"/>
    <d v="2025-02-20T00:00:00"/>
    <d v="2025-02-22T00:00:00"/>
    <x v="1"/>
    <x v="4"/>
    <x v="1"/>
    <x v="0"/>
    <x v="3"/>
    <x v="1"/>
    <x v="7"/>
    <x v="1"/>
  </r>
  <r>
    <x v="1337"/>
    <x v="6"/>
    <x v="2"/>
    <n v="84"/>
    <x v="816"/>
    <d v="2025-02-20T00:00:00"/>
    <d v="2025-02-21T00:00:00"/>
    <x v="1"/>
    <x v="1"/>
    <x v="4"/>
    <x v="0"/>
    <x v="16"/>
    <x v="3"/>
    <x v="7"/>
    <x v="1"/>
  </r>
  <r>
    <x v="1338"/>
    <x v="15"/>
    <x v="8"/>
    <n v="23.1"/>
    <x v="827"/>
    <d v="2025-02-20T00:00:00"/>
    <d v="2025-02-25T00:00:00"/>
    <x v="1"/>
    <x v="0"/>
    <x v="2"/>
    <x v="0"/>
    <x v="23"/>
    <x v="0"/>
    <x v="7"/>
    <x v="1"/>
  </r>
  <r>
    <x v="1339"/>
    <x v="7"/>
    <x v="1"/>
    <n v="62.4"/>
    <x v="1109"/>
    <d v="2025-02-20T00:00:00"/>
    <d v="2025-02-21T00:00:00"/>
    <x v="2"/>
    <x v="0"/>
    <x v="1"/>
    <x v="0"/>
    <x v="6"/>
    <x v="3"/>
    <x v="7"/>
    <x v="2"/>
  </r>
  <r>
    <x v="1340"/>
    <x v="6"/>
    <x v="4"/>
    <n v="40.700000000000003"/>
    <x v="1110"/>
    <d v="2025-02-20T00:00:00"/>
    <d v="2025-02-22T00:00:00"/>
    <x v="1"/>
    <x v="1"/>
    <x v="2"/>
    <x v="0"/>
    <x v="6"/>
    <x v="1"/>
    <x v="7"/>
    <x v="1"/>
  </r>
  <r>
    <x v="1341"/>
    <x v="6"/>
    <x v="0"/>
    <n v="49.6"/>
    <x v="1111"/>
    <d v="2025-02-20T00:00:00"/>
    <d v="2025-02-23T00:00:00"/>
    <x v="1"/>
    <x v="2"/>
    <x v="0"/>
    <x v="0"/>
    <x v="7"/>
    <x v="2"/>
    <x v="7"/>
    <x v="1"/>
  </r>
  <r>
    <x v="1342"/>
    <x v="7"/>
    <x v="41"/>
    <n v="66.599999999999994"/>
    <x v="1112"/>
    <d v="2025-02-20T00:00:00"/>
    <d v="2025-02-23T00:00:00"/>
    <x v="1"/>
    <x v="2"/>
    <x v="0"/>
    <x v="0"/>
    <x v="8"/>
    <x v="2"/>
    <x v="7"/>
    <x v="1"/>
  </r>
  <r>
    <x v="1343"/>
    <x v="8"/>
    <x v="2"/>
    <n v="26.4"/>
    <x v="1113"/>
    <d v="2025-02-20T00:00:00"/>
    <d v="2025-02-21T00:00:00"/>
    <x v="2"/>
    <x v="1"/>
    <x v="1"/>
    <x v="0"/>
    <x v="8"/>
    <x v="3"/>
    <x v="7"/>
    <x v="2"/>
  </r>
  <r>
    <x v="1344"/>
    <x v="0"/>
    <x v="1"/>
    <n v="17.2"/>
    <x v="1114"/>
    <d v="2025-02-20T00:00:00"/>
    <d v="2025-02-23T00:00:00"/>
    <x v="1"/>
    <x v="2"/>
    <x v="1"/>
    <x v="0"/>
    <x v="8"/>
    <x v="2"/>
    <x v="7"/>
    <x v="1"/>
  </r>
  <r>
    <x v="1345"/>
    <x v="5"/>
    <x v="8"/>
    <n v="58.1"/>
    <x v="1115"/>
    <d v="2025-02-20T00:00:00"/>
    <d v="2025-02-23T00:00:00"/>
    <x v="2"/>
    <x v="4"/>
    <x v="0"/>
    <x v="0"/>
    <x v="8"/>
    <x v="2"/>
    <x v="7"/>
    <x v="2"/>
  </r>
  <r>
    <x v="1346"/>
    <x v="15"/>
    <x v="12"/>
    <n v="31.5"/>
    <x v="624"/>
    <d v="2025-02-20T00:00:00"/>
    <d v="2025-02-23T00:00:00"/>
    <x v="2"/>
    <x v="4"/>
    <x v="4"/>
    <x v="0"/>
    <x v="8"/>
    <x v="2"/>
    <x v="7"/>
    <x v="2"/>
  </r>
  <r>
    <x v="1347"/>
    <x v="0"/>
    <x v="0"/>
    <n v="27.1"/>
    <x v="1116"/>
    <d v="2025-02-20T00:00:00"/>
    <d v="2025-02-22T00:00:00"/>
    <x v="2"/>
    <x v="0"/>
    <x v="1"/>
    <x v="0"/>
    <x v="17"/>
    <x v="1"/>
    <x v="7"/>
    <x v="2"/>
  </r>
  <r>
    <x v="1348"/>
    <x v="18"/>
    <x v="12"/>
    <n v="28.5"/>
    <x v="717"/>
    <d v="2025-02-20T00:00:00"/>
    <d v="2025-02-22T00:00:00"/>
    <x v="1"/>
    <x v="1"/>
    <x v="2"/>
    <x v="0"/>
    <x v="9"/>
    <x v="1"/>
    <x v="7"/>
    <x v="1"/>
  </r>
  <r>
    <x v="1349"/>
    <x v="10"/>
    <x v="0"/>
    <n v="40.5"/>
    <x v="1117"/>
    <d v="2025-02-21T00:00:00"/>
    <d v="2025-02-23T00:00:00"/>
    <x v="3"/>
    <x v="2"/>
    <x v="0"/>
    <x v="0"/>
    <x v="9"/>
    <x v="1"/>
    <x v="7"/>
    <x v="3"/>
  </r>
  <r>
    <x v="1350"/>
    <x v="2"/>
    <x v="2"/>
    <n v="77.900000000000006"/>
    <x v="1118"/>
    <d v="2025-02-21T00:00:00"/>
    <d v="2025-02-25T00:00:00"/>
    <x v="2"/>
    <x v="1"/>
    <x v="2"/>
    <x v="0"/>
    <x v="19"/>
    <x v="5"/>
    <x v="7"/>
    <x v="2"/>
  </r>
  <r>
    <x v="1351"/>
    <x v="18"/>
    <x v="12"/>
    <n v="37.1"/>
    <x v="1119"/>
    <d v="2025-02-21T00:00:00"/>
    <d v="2025-02-23T00:00:00"/>
    <x v="1"/>
    <x v="4"/>
    <x v="2"/>
    <x v="0"/>
    <x v="19"/>
    <x v="1"/>
    <x v="7"/>
    <x v="1"/>
  </r>
  <r>
    <x v="1352"/>
    <x v="16"/>
    <x v="2"/>
    <n v="51.6"/>
    <x v="1120"/>
    <d v="2025-02-21T00:00:00"/>
    <d v="2025-03-01T00:00:00"/>
    <x v="2"/>
    <x v="0"/>
    <x v="4"/>
    <x v="0"/>
    <x v="19"/>
    <x v="9"/>
    <x v="7"/>
    <x v="2"/>
  </r>
  <r>
    <x v="1353"/>
    <x v="7"/>
    <x v="2"/>
    <n v="98"/>
    <x v="1121"/>
    <d v="2025-02-21T00:00:00"/>
    <d v="2025-02-22T00:00:00"/>
    <x v="1"/>
    <x v="1"/>
    <x v="1"/>
    <x v="0"/>
    <x v="19"/>
    <x v="3"/>
    <x v="7"/>
    <x v="1"/>
  </r>
  <r>
    <x v="1354"/>
    <x v="6"/>
    <x v="3"/>
    <n v="41.4"/>
    <x v="1122"/>
    <d v="2025-02-21T00:00:00"/>
    <d v="2025-02-22T00:00:00"/>
    <x v="1"/>
    <x v="1"/>
    <x v="0"/>
    <x v="0"/>
    <x v="20"/>
    <x v="3"/>
    <x v="7"/>
    <x v="1"/>
  </r>
  <r>
    <x v="1355"/>
    <x v="11"/>
    <x v="8"/>
    <n v="34"/>
    <x v="1123"/>
    <d v="2025-02-21T00:00:00"/>
    <d v="2025-02-26T00:00:00"/>
    <x v="2"/>
    <x v="0"/>
    <x v="2"/>
    <x v="0"/>
    <x v="52"/>
    <x v="0"/>
    <x v="7"/>
    <x v="2"/>
  </r>
  <r>
    <x v="1356"/>
    <x v="6"/>
    <x v="0"/>
    <n v="66.3"/>
    <x v="1124"/>
    <d v="2025-02-21T00:00:00"/>
    <d v="2025-02-22T00:00:00"/>
    <x v="2"/>
    <x v="1"/>
    <x v="0"/>
    <x v="0"/>
    <x v="13"/>
    <x v="3"/>
    <x v="7"/>
    <x v="2"/>
  </r>
  <r>
    <x v="1357"/>
    <x v="7"/>
    <x v="0"/>
    <n v="33.5"/>
    <x v="253"/>
    <d v="2025-02-21T00:00:00"/>
    <d v="2025-02-25T00:00:00"/>
    <x v="1"/>
    <x v="2"/>
    <x v="0"/>
    <x v="0"/>
    <x v="13"/>
    <x v="5"/>
    <x v="7"/>
    <x v="1"/>
  </r>
  <r>
    <x v="1358"/>
    <x v="12"/>
    <x v="1"/>
    <n v="70.8"/>
    <x v="932"/>
    <d v="2025-02-21T00:00:00"/>
    <d v="2025-02-22T00:00:00"/>
    <x v="0"/>
    <x v="0"/>
    <x v="0"/>
    <x v="0"/>
    <x v="28"/>
    <x v="3"/>
    <x v="7"/>
    <x v="0"/>
  </r>
  <r>
    <x v="1359"/>
    <x v="6"/>
    <x v="1"/>
    <n v="127.6"/>
    <x v="281"/>
    <d v="2025-02-21T00:00:00"/>
    <d v="2025-02-22T00:00:00"/>
    <x v="1"/>
    <x v="0"/>
    <x v="0"/>
    <x v="0"/>
    <x v="21"/>
    <x v="3"/>
    <x v="7"/>
    <x v="1"/>
  </r>
  <r>
    <x v="1360"/>
    <x v="6"/>
    <x v="2"/>
    <n v="95.9"/>
    <x v="1125"/>
    <d v="2025-02-21T00:00:00"/>
    <d v="2025-02-22T00:00:00"/>
    <x v="2"/>
    <x v="1"/>
    <x v="1"/>
    <x v="0"/>
    <x v="21"/>
    <x v="3"/>
    <x v="7"/>
    <x v="2"/>
  </r>
  <r>
    <x v="1361"/>
    <x v="2"/>
    <x v="1"/>
    <n v="78.099999999999994"/>
    <x v="1126"/>
    <d v="2025-02-21T00:00:00"/>
    <d v="2025-02-22T00:00:00"/>
    <x v="1"/>
    <x v="0"/>
    <x v="0"/>
    <x v="0"/>
    <x v="1"/>
    <x v="3"/>
    <x v="7"/>
    <x v="1"/>
  </r>
  <r>
    <x v="1362"/>
    <x v="13"/>
    <x v="1"/>
    <n v="43.2"/>
    <x v="781"/>
    <d v="2025-02-21T00:00:00"/>
    <d v="2025-02-22T00:00:00"/>
    <x v="0"/>
    <x v="1"/>
    <x v="1"/>
    <x v="0"/>
    <x v="1"/>
    <x v="3"/>
    <x v="7"/>
    <x v="0"/>
  </r>
  <r>
    <x v="1363"/>
    <x v="8"/>
    <x v="12"/>
    <n v="28.4"/>
    <x v="1127"/>
    <d v="2025-02-21T00:00:00"/>
    <d v="2025-02-27T00:00:00"/>
    <x v="1"/>
    <x v="2"/>
    <x v="0"/>
    <x v="0"/>
    <x v="3"/>
    <x v="4"/>
    <x v="7"/>
    <x v="1"/>
  </r>
  <r>
    <x v="1364"/>
    <x v="2"/>
    <x v="1"/>
    <n v="81.7"/>
    <x v="1128"/>
    <d v="2025-02-21T00:00:00"/>
    <d v="2025-02-21T00:00:00"/>
    <x v="1"/>
    <x v="0"/>
    <x v="0"/>
    <x v="0"/>
    <x v="3"/>
    <x v="7"/>
    <x v="7"/>
    <x v="1"/>
  </r>
  <r>
    <x v="1365"/>
    <x v="18"/>
    <x v="1"/>
    <n v="56.7"/>
    <x v="1129"/>
    <d v="2025-02-21T00:00:00"/>
    <d v="2025-02-23T00:00:00"/>
    <x v="0"/>
    <x v="0"/>
    <x v="2"/>
    <x v="0"/>
    <x v="3"/>
    <x v="1"/>
    <x v="7"/>
    <x v="0"/>
  </r>
  <r>
    <x v="1366"/>
    <x v="3"/>
    <x v="12"/>
    <n v="66.5"/>
    <x v="751"/>
    <d v="2025-02-21T00:00:00"/>
    <d v="2025-02-21T00:00:00"/>
    <x v="2"/>
    <x v="0"/>
    <x v="2"/>
    <x v="0"/>
    <x v="3"/>
    <x v="7"/>
    <x v="7"/>
    <x v="2"/>
  </r>
  <r>
    <x v="1367"/>
    <x v="1"/>
    <x v="1"/>
    <n v="105.3"/>
    <x v="1130"/>
    <d v="2025-02-21T00:00:00"/>
    <d v="2025-02-25T00:00:00"/>
    <x v="1"/>
    <x v="0"/>
    <x v="1"/>
    <x v="0"/>
    <x v="3"/>
    <x v="5"/>
    <x v="7"/>
    <x v="1"/>
  </r>
  <r>
    <x v="1368"/>
    <x v="10"/>
    <x v="9"/>
    <n v="33.799999999999997"/>
    <x v="900"/>
    <d v="2025-02-21T00:00:00"/>
    <d v="2025-02-26T00:00:00"/>
    <x v="1"/>
    <x v="0"/>
    <x v="0"/>
    <x v="0"/>
    <x v="3"/>
    <x v="0"/>
    <x v="7"/>
    <x v="1"/>
  </r>
  <r>
    <x v="1369"/>
    <x v="6"/>
    <x v="2"/>
    <n v="63.4"/>
    <x v="1131"/>
    <d v="2025-02-21T00:00:00"/>
    <d v="2025-02-26T00:00:00"/>
    <x v="1"/>
    <x v="3"/>
    <x v="1"/>
    <x v="0"/>
    <x v="24"/>
    <x v="0"/>
    <x v="7"/>
    <x v="1"/>
  </r>
  <r>
    <x v="1370"/>
    <x v="6"/>
    <x v="2"/>
    <n v="49"/>
    <x v="926"/>
    <d v="2025-02-21T00:00:00"/>
    <d v="2025-02-25T00:00:00"/>
    <x v="1"/>
    <x v="3"/>
    <x v="0"/>
    <x v="0"/>
    <x v="49"/>
    <x v="5"/>
    <x v="7"/>
    <x v="1"/>
  </r>
  <r>
    <x v="1371"/>
    <x v="1"/>
    <x v="1"/>
    <n v="40"/>
    <x v="479"/>
    <d v="2025-02-21T00:00:00"/>
    <d v="2025-02-22T00:00:00"/>
    <x v="2"/>
    <x v="4"/>
    <x v="1"/>
    <x v="0"/>
    <x v="23"/>
    <x v="3"/>
    <x v="7"/>
    <x v="2"/>
  </r>
  <r>
    <x v="1372"/>
    <x v="6"/>
    <x v="12"/>
    <n v="86.3"/>
    <x v="1132"/>
    <d v="2025-02-21T00:00:00"/>
    <d v="2025-02-22T00:00:00"/>
    <x v="3"/>
    <x v="0"/>
    <x v="0"/>
    <x v="0"/>
    <x v="6"/>
    <x v="3"/>
    <x v="7"/>
    <x v="3"/>
  </r>
  <r>
    <x v="1373"/>
    <x v="6"/>
    <x v="0"/>
    <n v="51.6"/>
    <x v="937"/>
    <d v="2025-02-21T00:00:00"/>
    <d v="2025-02-23T00:00:00"/>
    <x v="2"/>
    <x v="2"/>
    <x v="2"/>
    <x v="0"/>
    <x v="6"/>
    <x v="1"/>
    <x v="7"/>
    <x v="2"/>
  </r>
  <r>
    <x v="1374"/>
    <x v="10"/>
    <x v="2"/>
    <n v="26.7"/>
    <x v="1133"/>
    <d v="2025-02-21T00:00:00"/>
    <d v="2025-02-26T00:00:00"/>
    <x v="2"/>
    <x v="2"/>
    <x v="1"/>
    <x v="0"/>
    <x v="6"/>
    <x v="0"/>
    <x v="7"/>
    <x v="2"/>
  </r>
  <r>
    <x v="1375"/>
    <x v="18"/>
    <x v="1"/>
    <n v="68.099999999999994"/>
    <x v="1134"/>
    <d v="2025-02-21T00:00:00"/>
    <d v="2025-02-22T00:00:00"/>
    <x v="1"/>
    <x v="0"/>
    <x v="1"/>
    <x v="0"/>
    <x v="6"/>
    <x v="3"/>
    <x v="7"/>
    <x v="1"/>
  </r>
  <r>
    <x v="1376"/>
    <x v="1"/>
    <x v="0"/>
    <n v="81.7"/>
    <x v="1135"/>
    <d v="2025-02-21T00:00:00"/>
    <d v="2025-02-22T00:00:00"/>
    <x v="1"/>
    <x v="0"/>
    <x v="0"/>
    <x v="0"/>
    <x v="7"/>
    <x v="3"/>
    <x v="7"/>
    <x v="1"/>
  </r>
  <r>
    <x v="1377"/>
    <x v="18"/>
    <x v="7"/>
    <n v="25.1"/>
    <x v="1136"/>
    <d v="2025-02-21T00:00:00"/>
    <d v="2025-02-24T00:00:00"/>
    <x v="1"/>
    <x v="3"/>
    <x v="1"/>
    <x v="0"/>
    <x v="8"/>
    <x v="2"/>
    <x v="7"/>
    <x v="1"/>
  </r>
  <r>
    <x v="1378"/>
    <x v="8"/>
    <x v="0"/>
    <n v="20.2"/>
    <x v="1137"/>
    <d v="2025-02-21T00:00:00"/>
    <d v="2025-02-25T00:00:00"/>
    <x v="2"/>
    <x v="0"/>
    <x v="0"/>
    <x v="0"/>
    <x v="8"/>
    <x v="5"/>
    <x v="7"/>
    <x v="2"/>
  </r>
  <r>
    <x v="1379"/>
    <x v="8"/>
    <x v="2"/>
    <n v="15.4"/>
    <x v="1063"/>
    <d v="2025-02-21T00:00:00"/>
    <d v="2025-02-22T00:00:00"/>
    <x v="1"/>
    <x v="1"/>
    <x v="2"/>
    <x v="0"/>
    <x v="8"/>
    <x v="3"/>
    <x v="7"/>
    <x v="1"/>
  </r>
  <r>
    <x v="1380"/>
    <x v="10"/>
    <x v="0"/>
    <n v="59.2"/>
    <x v="1100"/>
    <d v="2025-02-21T00:00:00"/>
    <d v="2025-02-22T00:00:00"/>
    <x v="1"/>
    <x v="2"/>
    <x v="2"/>
    <x v="0"/>
    <x v="17"/>
    <x v="3"/>
    <x v="7"/>
    <x v="1"/>
  </r>
  <r>
    <x v="1381"/>
    <x v="0"/>
    <x v="0"/>
    <n v="46.7"/>
    <x v="594"/>
    <d v="2025-02-21T00:00:00"/>
    <d v="2025-02-26T00:00:00"/>
    <x v="1"/>
    <x v="0"/>
    <x v="0"/>
    <x v="0"/>
    <x v="17"/>
    <x v="0"/>
    <x v="7"/>
    <x v="1"/>
  </r>
  <r>
    <x v="1382"/>
    <x v="6"/>
    <x v="20"/>
    <n v="41.6"/>
    <x v="1138"/>
    <d v="2025-02-21T00:00:00"/>
    <d v="2025-02-23T00:00:00"/>
    <x v="1"/>
    <x v="1"/>
    <x v="0"/>
    <x v="0"/>
    <x v="26"/>
    <x v="1"/>
    <x v="7"/>
    <x v="1"/>
  </r>
  <r>
    <x v="1383"/>
    <x v="8"/>
    <x v="1"/>
    <n v="19.2"/>
    <x v="1139"/>
    <d v="2025-02-21T00:00:00"/>
    <d v="2025-02-24T00:00:00"/>
    <x v="1"/>
    <x v="4"/>
    <x v="2"/>
    <x v="0"/>
    <x v="9"/>
    <x v="2"/>
    <x v="7"/>
    <x v="1"/>
  </r>
  <r>
    <x v="1384"/>
    <x v="17"/>
    <x v="3"/>
    <n v="41.8"/>
    <x v="1140"/>
    <d v="2025-02-21T00:00:00"/>
    <d v="2025-02-23T00:00:00"/>
    <x v="2"/>
    <x v="2"/>
    <x v="0"/>
    <x v="0"/>
    <x v="11"/>
    <x v="1"/>
    <x v="7"/>
    <x v="2"/>
  </r>
  <r>
    <x v="1385"/>
    <x v="8"/>
    <x v="13"/>
    <n v="37.4"/>
    <x v="1141"/>
    <d v="2025-02-21T00:00:00"/>
    <d v="2025-02-23T00:00:00"/>
    <x v="1"/>
    <x v="0"/>
    <x v="2"/>
    <x v="0"/>
    <x v="11"/>
    <x v="1"/>
    <x v="7"/>
    <x v="1"/>
  </r>
  <r>
    <x v="1386"/>
    <x v="10"/>
    <x v="2"/>
    <n v="60.2"/>
    <x v="1142"/>
    <d v="2025-02-21T00:00:00"/>
    <d v="2025-02-24T00:00:00"/>
    <x v="1"/>
    <x v="4"/>
    <x v="1"/>
    <x v="0"/>
    <x v="38"/>
    <x v="2"/>
    <x v="7"/>
    <x v="1"/>
  </r>
  <r>
    <x v="1387"/>
    <x v="9"/>
    <x v="1"/>
    <n v="91.5"/>
    <x v="1143"/>
    <d v="2025-02-22T00:00:00"/>
    <d v="2025-02-23T00:00:00"/>
    <x v="1"/>
    <x v="0"/>
    <x v="0"/>
    <x v="0"/>
    <x v="13"/>
    <x v="3"/>
    <x v="7"/>
    <x v="1"/>
  </r>
  <r>
    <x v="1388"/>
    <x v="3"/>
    <x v="9"/>
    <n v="55.7"/>
    <x v="1144"/>
    <d v="2025-02-22T00:00:00"/>
    <d v="2025-02-24T00:00:00"/>
    <x v="0"/>
    <x v="1"/>
    <x v="2"/>
    <x v="0"/>
    <x v="21"/>
    <x v="1"/>
    <x v="7"/>
    <x v="0"/>
  </r>
  <r>
    <x v="1389"/>
    <x v="7"/>
    <x v="1"/>
    <n v="76.7"/>
    <x v="1145"/>
    <d v="2025-02-22T00:00:00"/>
    <d v="2025-02-24T00:00:00"/>
    <x v="1"/>
    <x v="0"/>
    <x v="1"/>
    <x v="0"/>
    <x v="21"/>
    <x v="1"/>
    <x v="7"/>
    <x v="1"/>
  </r>
  <r>
    <x v="1390"/>
    <x v="8"/>
    <x v="38"/>
    <n v="28.2"/>
    <x v="1146"/>
    <d v="2025-02-22T00:00:00"/>
    <d v="2025-02-27T00:00:00"/>
    <x v="1"/>
    <x v="2"/>
    <x v="0"/>
    <x v="0"/>
    <x v="1"/>
    <x v="0"/>
    <x v="7"/>
    <x v="1"/>
  </r>
  <r>
    <x v="1391"/>
    <x v="7"/>
    <x v="9"/>
    <n v="93.2"/>
    <x v="1147"/>
    <d v="2025-02-22T00:00:00"/>
    <d v="2025-02-24T00:00:00"/>
    <x v="2"/>
    <x v="4"/>
    <x v="2"/>
    <x v="0"/>
    <x v="1"/>
    <x v="1"/>
    <x v="7"/>
    <x v="2"/>
  </r>
  <r>
    <x v="1392"/>
    <x v="17"/>
    <x v="0"/>
    <n v="33.299999999999997"/>
    <x v="698"/>
    <d v="2025-02-22T00:00:00"/>
    <d v="2025-02-23T00:00:00"/>
    <x v="1"/>
    <x v="4"/>
    <x v="0"/>
    <x v="0"/>
    <x v="2"/>
    <x v="3"/>
    <x v="7"/>
    <x v="1"/>
  </r>
  <r>
    <x v="1393"/>
    <x v="10"/>
    <x v="1"/>
    <n v="39.1"/>
    <x v="1148"/>
    <d v="2025-02-22T00:00:00"/>
    <d v="2025-02-25T00:00:00"/>
    <x v="1"/>
    <x v="0"/>
    <x v="0"/>
    <x v="0"/>
    <x v="44"/>
    <x v="2"/>
    <x v="7"/>
    <x v="1"/>
  </r>
  <r>
    <x v="1394"/>
    <x v="7"/>
    <x v="4"/>
    <n v="45.3"/>
    <x v="1149"/>
    <d v="2025-02-22T00:00:00"/>
    <d v="2025-02-23T00:00:00"/>
    <x v="1"/>
    <x v="2"/>
    <x v="0"/>
    <x v="0"/>
    <x v="33"/>
    <x v="3"/>
    <x v="7"/>
    <x v="1"/>
  </r>
  <r>
    <x v="1395"/>
    <x v="9"/>
    <x v="3"/>
    <n v="33.9"/>
    <x v="1150"/>
    <d v="2025-02-22T00:00:00"/>
    <d v="2025-02-23T00:00:00"/>
    <x v="1"/>
    <x v="4"/>
    <x v="0"/>
    <x v="0"/>
    <x v="33"/>
    <x v="3"/>
    <x v="7"/>
    <x v="1"/>
  </r>
  <r>
    <x v="1396"/>
    <x v="8"/>
    <x v="2"/>
    <n v="19"/>
    <x v="933"/>
    <d v="2025-02-22T00:00:00"/>
    <d v="2025-02-23T00:00:00"/>
    <x v="1"/>
    <x v="0"/>
    <x v="2"/>
    <x v="0"/>
    <x v="15"/>
    <x v="3"/>
    <x v="7"/>
    <x v="1"/>
  </r>
  <r>
    <x v="1397"/>
    <x v="4"/>
    <x v="0"/>
    <n v="41.9"/>
    <x v="1151"/>
    <d v="2025-02-22T00:00:00"/>
    <d v="2025-02-25T00:00:00"/>
    <x v="2"/>
    <x v="2"/>
    <x v="0"/>
    <x v="0"/>
    <x v="22"/>
    <x v="2"/>
    <x v="7"/>
    <x v="2"/>
  </r>
  <r>
    <x v="1398"/>
    <x v="1"/>
    <x v="12"/>
    <n v="37.5"/>
    <x v="638"/>
    <d v="2025-02-22T00:00:00"/>
    <d v="2025-02-22T00:00:00"/>
    <x v="2"/>
    <x v="0"/>
    <x v="0"/>
    <x v="0"/>
    <x v="3"/>
    <x v="7"/>
    <x v="7"/>
    <x v="2"/>
  </r>
  <r>
    <x v="1399"/>
    <x v="0"/>
    <x v="1"/>
    <n v="40.799999999999997"/>
    <x v="330"/>
    <d v="2025-02-22T00:00:00"/>
    <d v="2025-02-25T00:00:00"/>
    <x v="1"/>
    <x v="0"/>
    <x v="0"/>
    <x v="0"/>
    <x v="3"/>
    <x v="2"/>
    <x v="7"/>
    <x v="1"/>
  </r>
  <r>
    <x v="1400"/>
    <x v="0"/>
    <x v="12"/>
    <n v="23.1"/>
    <x v="1152"/>
    <d v="2025-02-22T00:00:00"/>
    <d v="2025-02-23T00:00:00"/>
    <x v="2"/>
    <x v="4"/>
    <x v="0"/>
    <x v="0"/>
    <x v="3"/>
    <x v="3"/>
    <x v="7"/>
    <x v="2"/>
  </r>
  <r>
    <x v="1401"/>
    <x v="8"/>
    <x v="9"/>
    <n v="39.299999999999997"/>
    <x v="756"/>
    <d v="2025-02-22T00:00:00"/>
    <d v="2025-02-23T00:00:00"/>
    <x v="2"/>
    <x v="0"/>
    <x v="0"/>
    <x v="0"/>
    <x v="3"/>
    <x v="3"/>
    <x v="7"/>
    <x v="2"/>
  </r>
  <r>
    <x v="1402"/>
    <x v="2"/>
    <x v="12"/>
    <n v="85.2"/>
    <x v="1153"/>
    <d v="2025-02-22T00:00:00"/>
    <d v="2025-02-27T00:00:00"/>
    <x v="1"/>
    <x v="2"/>
    <x v="0"/>
    <x v="0"/>
    <x v="3"/>
    <x v="0"/>
    <x v="7"/>
    <x v="1"/>
  </r>
  <r>
    <x v="1403"/>
    <x v="8"/>
    <x v="13"/>
    <n v="16"/>
    <x v="854"/>
    <d v="2025-02-22T00:00:00"/>
    <d v="2025-02-25T00:00:00"/>
    <x v="1"/>
    <x v="1"/>
    <x v="0"/>
    <x v="0"/>
    <x v="3"/>
    <x v="2"/>
    <x v="7"/>
    <x v="1"/>
  </r>
  <r>
    <x v="1404"/>
    <x v="1"/>
    <x v="1"/>
    <n v="33.799999999999997"/>
    <x v="821"/>
    <d v="2025-02-22T00:00:00"/>
    <d v="2025-02-26T00:00:00"/>
    <x v="2"/>
    <x v="1"/>
    <x v="0"/>
    <x v="0"/>
    <x v="3"/>
    <x v="5"/>
    <x v="7"/>
    <x v="2"/>
  </r>
  <r>
    <x v="1405"/>
    <x v="3"/>
    <x v="0"/>
    <n v="70"/>
    <x v="1154"/>
    <d v="2025-02-22T00:00:00"/>
    <d v="2025-02-23T00:00:00"/>
    <x v="2"/>
    <x v="0"/>
    <x v="0"/>
    <x v="0"/>
    <x v="3"/>
    <x v="3"/>
    <x v="7"/>
    <x v="2"/>
  </r>
  <r>
    <x v="1406"/>
    <x v="9"/>
    <x v="0"/>
    <n v="88"/>
    <x v="1155"/>
    <d v="2025-02-22T00:00:00"/>
    <d v="2025-02-27T00:00:00"/>
    <x v="2"/>
    <x v="3"/>
    <x v="0"/>
    <x v="0"/>
    <x v="3"/>
    <x v="0"/>
    <x v="7"/>
    <x v="2"/>
  </r>
  <r>
    <x v="1407"/>
    <x v="2"/>
    <x v="2"/>
    <n v="74.099999999999994"/>
    <x v="1156"/>
    <d v="2025-02-22T00:00:00"/>
    <d v="2025-02-22T00:00:00"/>
    <x v="1"/>
    <x v="4"/>
    <x v="1"/>
    <x v="0"/>
    <x v="3"/>
    <x v="7"/>
    <x v="7"/>
    <x v="1"/>
  </r>
  <r>
    <x v="1408"/>
    <x v="2"/>
    <x v="0"/>
    <n v="161.9"/>
    <x v="1157"/>
    <d v="2025-02-22T00:00:00"/>
    <d v="2025-02-24T00:00:00"/>
    <x v="1"/>
    <x v="2"/>
    <x v="0"/>
    <x v="0"/>
    <x v="3"/>
    <x v="1"/>
    <x v="7"/>
    <x v="1"/>
  </r>
  <r>
    <x v="1409"/>
    <x v="4"/>
    <x v="1"/>
    <n v="44"/>
    <x v="1155"/>
    <d v="2025-02-22T00:00:00"/>
    <d v="2025-02-23T00:00:00"/>
    <x v="3"/>
    <x v="4"/>
    <x v="1"/>
    <x v="0"/>
    <x v="3"/>
    <x v="3"/>
    <x v="7"/>
    <x v="3"/>
  </r>
  <r>
    <x v="1410"/>
    <x v="11"/>
    <x v="0"/>
    <n v="32.1"/>
    <x v="1158"/>
    <d v="2025-02-22T00:00:00"/>
    <d v="2025-02-22T00:00:00"/>
    <x v="2"/>
    <x v="3"/>
    <x v="3"/>
    <x v="0"/>
    <x v="3"/>
    <x v="7"/>
    <x v="7"/>
    <x v="2"/>
  </r>
  <r>
    <x v="1411"/>
    <x v="2"/>
    <x v="12"/>
    <n v="104.8"/>
    <x v="1159"/>
    <d v="2025-02-23T00:00:00"/>
    <d v="2025-02-25T00:00:00"/>
    <x v="3"/>
    <x v="0"/>
    <x v="0"/>
    <x v="0"/>
    <x v="3"/>
    <x v="1"/>
    <x v="8"/>
    <x v="3"/>
  </r>
  <r>
    <x v="1412"/>
    <x v="9"/>
    <x v="13"/>
    <n v="67.400000000000006"/>
    <x v="1160"/>
    <d v="2025-02-23T00:00:00"/>
    <d v="2025-02-24T00:00:00"/>
    <x v="2"/>
    <x v="3"/>
    <x v="0"/>
    <x v="0"/>
    <x v="3"/>
    <x v="3"/>
    <x v="8"/>
    <x v="2"/>
  </r>
  <r>
    <x v="1413"/>
    <x v="6"/>
    <x v="1"/>
    <n v="115.2"/>
    <x v="1161"/>
    <d v="2025-02-23T00:00:00"/>
    <d v="2025-02-24T00:00:00"/>
    <x v="2"/>
    <x v="1"/>
    <x v="0"/>
    <x v="0"/>
    <x v="4"/>
    <x v="3"/>
    <x v="8"/>
    <x v="2"/>
  </r>
  <r>
    <x v="1414"/>
    <x v="8"/>
    <x v="19"/>
    <n v="15.5"/>
    <x v="148"/>
    <d v="2025-02-23T00:00:00"/>
    <d v="2025-02-25T00:00:00"/>
    <x v="2"/>
    <x v="0"/>
    <x v="1"/>
    <x v="0"/>
    <x v="23"/>
    <x v="1"/>
    <x v="8"/>
    <x v="2"/>
  </r>
  <r>
    <x v="1415"/>
    <x v="6"/>
    <x v="5"/>
    <n v="66.400000000000006"/>
    <x v="1162"/>
    <d v="2025-02-23T00:00:00"/>
    <d v="2025-02-25T00:00:00"/>
    <x v="2"/>
    <x v="0"/>
    <x v="0"/>
    <x v="0"/>
    <x v="6"/>
    <x v="1"/>
    <x v="8"/>
    <x v="2"/>
  </r>
  <r>
    <x v="1416"/>
    <x v="9"/>
    <x v="4"/>
    <n v="68.099999999999994"/>
    <x v="1163"/>
    <d v="2025-02-23T00:00:00"/>
    <d v="2025-02-24T00:00:00"/>
    <x v="2"/>
    <x v="2"/>
    <x v="0"/>
    <x v="0"/>
    <x v="8"/>
    <x v="3"/>
    <x v="8"/>
    <x v="2"/>
  </r>
  <r>
    <x v="1417"/>
    <x v="8"/>
    <x v="9"/>
    <n v="32.5"/>
    <x v="1164"/>
    <d v="2025-02-23T00:00:00"/>
    <d v="2025-02-27T00:00:00"/>
    <x v="1"/>
    <x v="2"/>
    <x v="1"/>
    <x v="0"/>
    <x v="8"/>
    <x v="5"/>
    <x v="8"/>
    <x v="1"/>
  </r>
  <r>
    <x v="1418"/>
    <x v="15"/>
    <x v="2"/>
    <n v="61.2"/>
    <x v="1165"/>
    <d v="2025-02-23T00:00:00"/>
    <d v="2025-02-25T00:00:00"/>
    <x v="2"/>
    <x v="1"/>
    <x v="1"/>
    <x v="0"/>
    <x v="8"/>
    <x v="1"/>
    <x v="8"/>
    <x v="2"/>
  </r>
  <r>
    <x v="1419"/>
    <x v="9"/>
    <x v="1"/>
    <n v="54.2"/>
    <x v="1061"/>
    <d v="2025-02-23T00:00:00"/>
    <d v="2025-02-24T00:00:00"/>
    <x v="2"/>
    <x v="1"/>
    <x v="0"/>
    <x v="0"/>
    <x v="8"/>
    <x v="3"/>
    <x v="8"/>
    <x v="2"/>
  </r>
  <r>
    <x v="1420"/>
    <x v="11"/>
    <x v="8"/>
    <n v="28.7"/>
    <x v="1166"/>
    <d v="2025-02-23T00:00:00"/>
    <d v="2025-02-25T00:00:00"/>
    <x v="1"/>
    <x v="1"/>
    <x v="0"/>
    <x v="0"/>
    <x v="9"/>
    <x v="1"/>
    <x v="8"/>
    <x v="1"/>
  </r>
  <r>
    <x v="1421"/>
    <x v="12"/>
    <x v="13"/>
    <n v="38.200000000000003"/>
    <x v="1167"/>
    <d v="2025-02-23T00:00:00"/>
    <d v="2025-02-27T00:00:00"/>
    <x v="2"/>
    <x v="0"/>
    <x v="1"/>
    <x v="0"/>
    <x v="9"/>
    <x v="5"/>
    <x v="8"/>
    <x v="2"/>
  </r>
  <r>
    <x v="1422"/>
    <x v="8"/>
    <x v="4"/>
    <n v="17.600000000000001"/>
    <x v="1168"/>
    <d v="2025-02-23T00:00:00"/>
    <d v="2025-02-24T00:00:00"/>
    <x v="2"/>
    <x v="2"/>
    <x v="1"/>
    <x v="0"/>
    <x v="9"/>
    <x v="3"/>
    <x v="8"/>
    <x v="2"/>
  </r>
  <r>
    <x v="1423"/>
    <x v="10"/>
    <x v="2"/>
    <n v="74.599999999999994"/>
    <x v="1169"/>
    <d v="2025-02-23T00:00:00"/>
    <d v="2025-02-23T00:00:00"/>
    <x v="2"/>
    <x v="2"/>
    <x v="0"/>
    <x v="0"/>
    <x v="11"/>
    <x v="7"/>
    <x v="8"/>
    <x v="2"/>
  </r>
  <r>
    <x v="1424"/>
    <x v="16"/>
    <x v="20"/>
    <n v="72.599999999999994"/>
    <x v="1170"/>
    <d v="2025-02-23T00:00:00"/>
    <d v="2025-02-23T00:00:00"/>
    <x v="0"/>
    <x v="1"/>
    <x v="1"/>
    <x v="0"/>
    <x v="11"/>
    <x v="7"/>
    <x v="8"/>
    <x v="0"/>
  </r>
  <r>
    <x v="1425"/>
    <x v="7"/>
    <x v="0"/>
    <n v="62.3"/>
    <x v="1030"/>
    <d v="2025-02-23T00:00:00"/>
    <d v="2025-02-24T00:00:00"/>
    <x v="2"/>
    <x v="1"/>
    <x v="0"/>
    <x v="0"/>
    <x v="11"/>
    <x v="3"/>
    <x v="8"/>
    <x v="2"/>
  </r>
  <r>
    <x v="1426"/>
    <x v="3"/>
    <x v="2"/>
    <n v="33.799999999999997"/>
    <x v="1171"/>
    <d v="2025-02-23T00:00:00"/>
    <d v="2025-02-25T00:00:00"/>
    <x v="1"/>
    <x v="0"/>
    <x v="2"/>
    <x v="0"/>
    <x v="20"/>
    <x v="1"/>
    <x v="8"/>
    <x v="1"/>
  </r>
  <r>
    <x v="1427"/>
    <x v="9"/>
    <x v="0"/>
    <n v="85.7"/>
    <x v="1172"/>
    <d v="2025-02-23T00:00:00"/>
    <d v="2025-02-26T00:00:00"/>
    <x v="1"/>
    <x v="3"/>
    <x v="1"/>
    <x v="0"/>
    <x v="21"/>
    <x v="2"/>
    <x v="8"/>
    <x v="1"/>
  </r>
  <r>
    <x v="1428"/>
    <x v="6"/>
    <x v="1"/>
    <n v="92.1"/>
    <x v="1173"/>
    <d v="2025-02-23T00:00:00"/>
    <d v="2025-02-25T00:00:00"/>
    <x v="1"/>
    <x v="1"/>
    <x v="0"/>
    <x v="0"/>
    <x v="21"/>
    <x v="1"/>
    <x v="8"/>
    <x v="1"/>
  </r>
  <r>
    <x v="1429"/>
    <x v="16"/>
    <x v="2"/>
    <n v="65.099999999999994"/>
    <x v="1174"/>
    <d v="2025-02-23T00:00:00"/>
    <d v="2025-02-26T00:00:00"/>
    <x v="1"/>
    <x v="0"/>
    <x v="0"/>
    <x v="0"/>
    <x v="1"/>
    <x v="2"/>
    <x v="8"/>
    <x v="1"/>
  </r>
  <r>
    <x v="1430"/>
    <x v="9"/>
    <x v="3"/>
    <n v="20.3"/>
    <x v="1175"/>
    <d v="2025-02-23T00:00:00"/>
    <d v="2025-02-24T00:00:00"/>
    <x v="2"/>
    <x v="2"/>
    <x v="2"/>
    <x v="0"/>
    <x v="2"/>
    <x v="3"/>
    <x v="8"/>
    <x v="2"/>
  </r>
  <r>
    <x v="1431"/>
    <x v="19"/>
    <x v="1"/>
    <n v="29.8"/>
    <x v="1176"/>
    <d v="2025-02-23T00:00:00"/>
    <d v="2025-02-25T00:00:00"/>
    <x v="2"/>
    <x v="1"/>
    <x v="2"/>
    <x v="0"/>
    <x v="34"/>
    <x v="1"/>
    <x v="8"/>
    <x v="2"/>
  </r>
  <r>
    <x v="1432"/>
    <x v="0"/>
    <x v="1"/>
    <n v="24.2"/>
    <x v="655"/>
    <d v="2025-02-23T00:00:00"/>
    <d v="2025-02-25T00:00:00"/>
    <x v="2"/>
    <x v="3"/>
    <x v="2"/>
    <x v="0"/>
    <x v="3"/>
    <x v="1"/>
    <x v="8"/>
    <x v="2"/>
  </r>
  <r>
    <x v="1433"/>
    <x v="3"/>
    <x v="0"/>
    <n v="57.3"/>
    <x v="1177"/>
    <d v="2025-02-23T00:00:00"/>
    <d v="2025-02-25T00:00:00"/>
    <x v="1"/>
    <x v="0"/>
    <x v="0"/>
    <x v="0"/>
    <x v="3"/>
    <x v="1"/>
    <x v="8"/>
    <x v="1"/>
  </r>
  <r>
    <x v="1434"/>
    <x v="2"/>
    <x v="0"/>
    <n v="108.9"/>
    <x v="1178"/>
    <d v="2025-02-23T00:00:00"/>
    <d v="2025-02-25T00:00:00"/>
    <x v="2"/>
    <x v="1"/>
    <x v="0"/>
    <x v="0"/>
    <x v="3"/>
    <x v="1"/>
    <x v="8"/>
    <x v="2"/>
  </r>
  <r>
    <x v="1435"/>
    <x v="7"/>
    <x v="9"/>
    <n v="50.7"/>
    <x v="103"/>
    <d v="2025-02-23T00:00:00"/>
    <d v="2025-02-24T00:00:00"/>
    <x v="2"/>
    <x v="0"/>
    <x v="0"/>
    <x v="0"/>
    <x v="3"/>
    <x v="3"/>
    <x v="8"/>
    <x v="2"/>
  </r>
  <r>
    <x v="1436"/>
    <x v="7"/>
    <x v="11"/>
    <n v="66.099999999999994"/>
    <x v="1179"/>
    <d v="2025-02-23T00:00:00"/>
    <d v="2025-03-09T00:00:00"/>
    <x v="2"/>
    <x v="1"/>
    <x v="0"/>
    <x v="0"/>
    <x v="3"/>
    <x v="12"/>
    <x v="8"/>
    <x v="2"/>
  </r>
  <r>
    <x v="1437"/>
    <x v="12"/>
    <x v="9"/>
    <n v="36.700000000000003"/>
    <x v="1180"/>
    <d v="2025-02-23T00:00:00"/>
    <d v="2025-02-27T00:00:00"/>
    <x v="2"/>
    <x v="4"/>
    <x v="0"/>
    <x v="0"/>
    <x v="3"/>
    <x v="5"/>
    <x v="8"/>
    <x v="2"/>
  </r>
  <r>
    <x v="1438"/>
    <x v="8"/>
    <x v="14"/>
    <n v="19.3"/>
    <x v="1181"/>
    <d v="2025-02-23T00:00:00"/>
    <d v="2025-02-25T00:00:00"/>
    <x v="1"/>
    <x v="0"/>
    <x v="0"/>
    <x v="0"/>
    <x v="43"/>
    <x v="1"/>
    <x v="8"/>
    <x v="1"/>
  </r>
  <r>
    <x v="1439"/>
    <x v="8"/>
    <x v="12"/>
    <n v="20.7"/>
    <x v="1182"/>
    <d v="2025-02-23T00:00:00"/>
    <d v="2025-02-24T00:00:00"/>
    <x v="1"/>
    <x v="1"/>
    <x v="2"/>
    <x v="0"/>
    <x v="6"/>
    <x v="3"/>
    <x v="8"/>
    <x v="1"/>
  </r>
  <r>
    <x v="1440"/>
    <x v="5"/>
    <x v="2"/>
    <n v="54.7"/>
    <x v="1183"/>
    <d v="2025-02-23T00:00:00"/>
    <d v="2025-02-23T00:00:00"/>
    <x v="3"/>
    <x v="1"/>
    <x v="4"/>
    <x v="0"/>
    <x v="6"/>
    <x v="7"/>
    <x v="8"/>
    <x v="3"/>
  </r>
  <r>
    <x v="1441"/>
    <x v="4"/>
    <x v="1"/>
    <n v="19.8"/>
    <x v="341"/>
    <d v="2025-02-23T00:00:00"/>
    <d v="2025-02-27T00:00:00"/>
    <x v="2"/>
    <x v="4"/>
    <x v="1"/>
    <x v="0"/>
    <x v="8"/>
    <x v="5"/>
    <x v="8"/>
    <x v="2"/>
  </r>
  <r>
    <x v="1442"/>
    <x v="7"/>
    <x v="0"/>
    <n v="41.1"/>
    <x v="1184"/>
    <d v="2025-02-23T00:00:00"/>
    <d v="2025-02-25T00:00:00"/>
    <x v="2"/>
    <x v="0"/>
    <x v="2"/>
    <x v="0"/>
    <x v="8"/>
    <x v="1"/>
    <x v="8"/>
    <x v="2"/>
  </r>
  <r>
    <x v="1443"/>
    <x v="11"/>
    <x v="8"/>
    <n v="43.5"/>
    <x v="1185"/>
    <d v="2025-02-23T00:00:00"/>
    <d v="2025-02-27T00:00:00"/>
    <x v="2"/>
    <x v="3"/>
    <x v="0"/>
    <x v="0"/>
    <x v="8"/>
    <x v="5"/>
    <x v="8"/>
    <x v="2"/>
  </r>
  <r>
    <x v="1444"/>
    <x v="8"/>
    <x v="21"/>
    <n v="19"/>
    <x v="751"/>
    <d v="2025-02-23T00:00:00"/>
    <d v="2025-02-24T00:00:00"/>
    <x v="1"/>
    <x v="0"/>
    <x v="0"/>
    <x v="0"/>
    <x v="26"/>
    <x v="3"/>
    <x v="8"/>
    <x v="1"/>
  </r>
  <r>
    <x v="1445"/>
    <x v="2"/>
    <x v="12"/>
    <n v="51.4"/>
    <x v="1186"/>
    <d v="2025-02-23T00:00:00"/>
    <d v="2025-02-23T00:00:00"/>
    <x v="2"/>
    <x v="0"/>
    <x v="0"/>
    <x v="0"/>
    <x v="26"/>
    <x v="7"/>
    <x v="8"/>
    <x v="2"/>
  </r>
  <r>
    <x v="1446"/>
    <x v="10"/>
    <x v="1"/>
    <n v="39.799999999999997"/>
    <x v="1187"/>
    <d v="2025-02-23T00:00:00"/>
    <d v="2025-02-26T00:00:00"/>
    <x v="1"/>
    <x v="3"/>
    <x v="1"/>
    <x v="0"/>
    <x v="13"/>
    <x v="2"/>
    <x v="8"/>
    <x v="1"/>
  </r>
  <r>
    <x v="1447"/>
    <x v="6"/>
    <x v="9"/>
    <n v="61"/>
    <x v="1188"/>
    <d v="2025-02-23T00:00:00"/>
    <d v="2025-02-24T00:00:00"/>
    <x v="0"/>
    <x v="0"/>
    <x v="2"/>
    <x v="0"/>
    <x v="21"/>
    <x v="3"/>
    <x v="8"/>
    <x v="0"/>
  </r>
  <r>
    <x v="1448"/>
    <x v="8"/>
    <x v="5"/>
    <n v="15.1"/>
    <x v="1189"/>
    <d v="2025-02-24T00:00:00"/>
    <d v="2025-03-01T00:00:00"/>
    <x v="1"/>
    <x v="3"/>
    <x v="2"/>
    <x v="0"/>
    <x v="2"/>
    <x v="0"/>
    <x v="8"/>
    <x v="1"/>
  </r>
  <r>
    <x v="1449"/>
    <x v="1"/>
    <x v="3"/>
    <n v="71.3"/>
    <x v="1190"/>
    <d v="2025-02-24T00:00:00"/>
    <d v="2025-02-25T00:00:00"/>
    <x v="1"/>
    <x v="4"/>
    <x v="0"/>
    <x v="0"/>
    <x v="3"/>
    <x v="3"/>
    <x v="8"/>
    <x v="1"/>
  </r>
  <r>
    <x v="1450"/>
    <x v="10"/>
    <x v="0"/>
    <n v="25.8"/>
    <x v="1191"/>
    <d v="2025-02-24T00:00:00"/>
    <d v="2025-02-26T00:00:00"/>
    <x v="2"/>
    <x v="0"/>
    <x v="2"/>
    <x v="0"/>
    <x v="3"/>
    <x v="1"/>
    <x v="8"/>
    <x v="2"/>
  </r>
  <r>
    <x v="1451"/>
    <x v="8"/>
    <x v="9"/>
    <n v="39.6"/>
    <x v="1192"/>
    <d v="2025-02-24T00:00:00"/>
    <d v="2025-02-26T00:00:00"/>
    <x v="1"/>
    <x v="1"/>
    <x v="2"/>
    <x v="0"/>
    <x v="3"/>
    <x v="1"/>
    <x v="8"/>
    <x v="1"/>
  </r>
  <r>
    <x v="1452"/>
    <x v="5"/>
    <x v="1"/>
    <n v="64"/>
    <x v="1193"/>
    <d v="2025-02-24T00:00:00"/>
    <d v="2025-02-24T00:00:00"/>
    <x v="1"/>
    <x v="1"/>
    <x v="1"/>
    <x v="0"/>
    <x v="3"/>
    <x v="7"/>
    <x v="8"/>
    <x v="1"/>
  </r>
  <r>
    <x v="1453"/>
    <x v="8"/>
    <x v="1"/>
    <n v="30.6"/>
    <x v="1"/>
    <d v="2025-02-24T00:00:00"/>
    <d v="2025-02-27T00:00:00"/>
    <x v="1"/>
    <x v="0"/>
    <x v="2"/>
    <x v="0"/>
    <x v="3"/>
    <x v="2"/>
    <x v="8"/>
    <x v="1"/>
  </r>
  <r>
    <x v="1454"/>
    <x v="8"/>
    <x v="1"/>
    <n v="21.3"/>
    <x v="440"/>
    <d v="2025-02-24T00:00:00"/>
    <d v="2025-02-25T00:00:00"/>
    <x v="1"/>
    <x v="0"/>
    <x v="1"/>
    <x v="0"/>
    <x v="3"/>
    <x v="3"/>
    <x v="8"/>
    <x v="1"/>
  </r>
  <r>
    <x v="1455"/>
    <x v="7"/>
    <x v="0"/>
    <n v="40.799999999999997"/>
    <x v="803"/>
    <d v="2025-02-24T00:00:00"/>
    <d v="2025-02-26T00:00:00"/>
    <x v="2"/>
    <x v="4"/>
    <x v="0"/>
    <x v="0"/>
    <x v="3"/>
    <x v="1"/>
    <x v="8"/>
    <x v="2"/>
  </r>
  <r>
    <x v="1456"/>
    <x v="9"/>
    <x v="12"/>
    <n v="27.7"/>
    <x v="806"/>
    <d v="2025-02-24T00:00:00"/>
    <d v="2025-02-25T00:00:00"/>
    <x v="2"/>
    <x v="0"/>
    <x v="1"/>
    <x v="0"/>
    <x v="3"/>
    <x v="3"/>
    <x v="8"/>
    <x v="2"/>
  </r>
  <r>
    <x v="1457"/>
    <x v="6"/>
    <x v="1"/>
    <n v="64.599999999999994"/>
    <x v="769"/>
    <d v="2025-02-24T00:00:00"/>
    <d v="2025-02-25T00:00:00"/>
    <x v="1"/>
    <x v="0"/>
    <x v="1"/>
    <x v="0"/>
    <x v="3"/>
    <x v="3"/>
    <x v="8"/>
    <x v="1"/>
  </r>
  <r>
    <x v="1458"/>
    <x v="6"/>
    <x v="27"/>
    <n v="91.1"/>
    <x v="1194"/>
    <d v="2025-02-24T00:00:00"/>
    <d v="2025-02-25T00:00:00"/>
    <x v="2"/>
    <x v="1"/>
    <x v="2"/>
    <x v="0"/>
    <x v="3"/>
    <x v="3"/>
    <x v="8"/>
    <x v="2"/>
  </r>
  <r>
    <x v="1459"/>
    <x v="1"/>
    <x v="0"/>
    <n v="39.5"/>
    <x v="736"/>
    <d v="2025-02-24T00:00:00"/>
    <d v="2025-03-04T00:00:00"/>
    <x v="2"/>
    <x v="0"/>
    <x v="0"/>
    <x v="0"/>
    <x v="3"/>
    <x v="9"/>
    <x v="8"/>
    <x v="2"/>
  </r>
  <r>
    <x v="1460"/>
    <x v="9"/>
    <x v="1"/>
    <n v="21.8"/>
    <x v="1195"/>
    <d v="2025-02-24T00:00:00"/>
    <d v="2025-02-28T00:00:00"/>
    <x v="1"/>
    <x v="4"/>
    <x v="2"/>
    <x v="0"/>
    <x v="3"/>
    <x v="5"/>
    <x v="8"/>
    <x v="1"/>
  </r>
  <r>
    <x v="1461"/>
    <x v="8"/>
    <x v="1"/>
    <n v="51"/>
    <x v="1062"/>
    <d v="2025-02-24T00:00:00"/>
    <d v="2025-02-27T00:00:00"/>
    <x v="1"/>
    <x v="3"/>
    <x v="2"/>
    <x v="0"/>
    <x v="3"/>
    <x v="2"/>
    <x v="8"/>
    <x v="1"/>
  </r>
  <r>
    <x v="1462"/>
    <x v="2"/>
    <x v="0"/>
    <n v="92.6"/>
    <x v="1196"/>
    <d v="2025-02-24T00:00:00"/>
    <d v="2025-02-27T00:00:00"/>
    <x v="2"/>
    <x v="0"/>
    <x v="2"/>
    <x v="0"/>
    <x v="35"/>
    <x v="2"/>
    <x v="8"/>
    <x v="2"/>
  </r>
  <r>
    <x v="1463"/>
    <x v="9"/>
    <x v="1"/>
    <n v="31.1"/>
    <x v="1197"/>
    <d v="2025-02-24T00:00:00"/>
    <d v="2025-03-01T00:00:00"/>
    <x v="0"/>
    <x v="1"/>
    <x v="3"/>
    <x v="0"/>
    <x v="23"/>
    <x v="0"/>
    <x v="8"/>
    <x v="0"/>
  </r>
  <r>
    <x v="1464"/>
    <x v="5"/>
    <x v="2"/>
    <n v="56.4"/>
    <x v="362"/>
    <d v="2025-02-24T00:00:00"/>
    <d v="2025-02-25T00:00:00"/>
    <x v="0"/>
    <x v="1"/>
    <x v="0"/>
    <x v="0"/>
    <x v="6"/>
    <x v="3"/>
    <x v="8"/>
    <x v="0"/>
  </r>
  <r>
    <x v="1465"/>
    <x v="9"/>
    <x v="0"/>
    <n v="41.9"/>
    <x v="1151"/>
    <d v="2025-02-24T00:00:00"/>
    <d v="2025-02-24T00:00:00"/>
    <x v="1"/>
    <x v="1"/>
    <x v="0"/>
    <x v="0"/>
    <x v="6"/>
    <x v="7"/>
    <x v="8"/>
    <x v="1"/>
  </r>
  <r>
    <x v="1466"/>
    <x v="10"/>
    <x v="3"/>
    <n v="45.9"/>
    <x v="1198"/>
    <d v="2025-02-24T00:00:00"/>
    <d v="2025-02-25T00:00:00"/>
    <x v="1"/>
    <x v="3"/>
    <x v="2"/>
    <x v="0"/>
    <x v="8"/>
    <x v="3"/>
    <x v="8"/>
    <x v="1"/>
  </r>
  <r>
    <x v="1467"/>
    <x v="14"/>
    <x v="11"/>
    <n v="24.4"/>
    <x v="1199"/>
    <d v="2025-02-24T00:00:00"/>
    <d v="2025-02-28T00:00:00"/>
    <x v="1"/>
    <x v="3"/>
    <x v="2"/>
    <x v="0"/>
    <x v="8"/>
    <x v="5"/>
    <x v="8"/>
    <x v="1"/>
  </r>
  <r>
    <x v="1468"/>
    <x v="8"/>
    <x v="0"/>
    <n v="18.2"/>
    <x v="1200"/>
    <d v="2025-02-24T00:00:00"/>
    <d v="2025-02-25T00:00:00"/>
    <x v="2"/>
    <x v="2"/>
    <x v="2"/>
    <x v="0"/>
    <x v="8"/>
    <x v="3"/>
    <x v="8"/>
    <x v="2"/>
  </r>
  <r>
    <x v="1469"/>
    <x v="8"/>
    <x v="12"/>
    <n v="51.2"/>
    <x v="403"/>
    <d v="2025-02-24T00:00:00"/>
    <d v="2025-02-25T00:00:00"/>
    <x v="2"/>
    <x v="0"/>
    <x v="0"/>
    <x v="0"/>
    <x v="8"/>
    <x v="3"/>
    <x v="8"/>
    <x v="2"/>
  </r>
  <r>
    <x v="1470"/>
    <x v="6"/>
    <x v="0"/>
    <n v="59.7"/>
    <x v="1201"/>
    <d v="2025-02-24T00:00:00"/>
    <d v="2025-02-27T00:00:00"/>
    <x v="1"/>
    <x v="0"/>
    <x v="2"/>
    <x v="0"/>
    <x v="8"/>
    <x v="2"/>
    <x v="8"/>
    <x v="1"/>
  </r>
  <r>
    <x v="1471"/>
    <x v="4"/>
    <x v="1"/>
    <n v="33.6"/>
    <x v="863"/>
    <d v="2025-02-24T00:00:00"/>
    <d v="2025-02-26T00:00:00"/>
    <x v="2"/>
    <x v="0"/>
    <x v="0"/>
    <x v="0"/>
    <x v="17"/>
    <x v="1"/>
    <x v="8"/>
    <x v="2"/>
  </r>
  <r>
    <x v="1472"/>
    <x v="12"/>
    <x v="0"/>
    <n v="90.4"/>
    <x v="786"/>
    <d v="2025-02-24T00:00:00"/>
    <d v="2025-02-28T00:00:00"/>
    <x v="1"/>
    <x v="1"/>
    <x v="2"/>
    <x v="0"/>
    <x v="10"/>
    <x v="5"/>
    <x v="8"/>
    <x v="1"/>
  </r>
  <r>
    <x v="1473"/>
    <x v="11"/>
    <x v="2"/>
    <n v="70.3"/>
    <x v="1202"/>
    <d v="2025-02-24T00:00:00"/>
    <d v="2025-02-24T00:00:00"/>
    <x v="1"/>
    <x v="1"/>
    <x v="2"/>
    <x v="0"/>
    <x v="11"/>
    <x v="7"/>
    <x v="8"/>
    <x v="1"/>
  </r>
  <r>
    <x v="1474"/>
    <x v="4"/>
    <x v="1"/>
    <n v="20.5"/>
    <x v="783"/>
    <d v="2025-02-24T00:00:00"/>
    <d v="2025-02-27T00:00:00"/>
    <x v="2"/>
    <x v="0"/>
    <x v="1"/>
    <x v="0"/>
    <x v="11"/>
    <x v="2"/>
    <x v="8"/>
    <x v="2"/>
  </r>
  <r>
    <x v="1475"/>
    <x v="5"/>
    <x v="5"/>
    <n v="37.6"/>
    <x v="1203"/>
    <d v="2025-02-24T00:00:00"/>
    <d v="2025-02-25T00:00:00"/>
    <x v="1"/>
    <x v="0"/>
    <x v="0"/>
    <x v="0"/>
    <x v="38"/>
    <x v="3"/>
    <x v="8"/>
    <x v="1"/>
  </r>
  <r>
    <x v="1476"/>
    <x v="5"/>
    <x v="12"/>
    <n v="61.5"/>
    <x v="1204"/>
    <d v="2025-02-24T00:00:00"/>
    <d v="2025-03-03T00:00:00"/>
    <x v="2"/>
    <x v="1"/>
    <x v="4"/>
    <x v="0"/>
    <x v="13"/>
    <x v="6"/>
    <x v="8"/>
    <x v="2"/>
  </r>
  <r>
    <x v="1477"/>
    <x v="9"/>
    <x v="0"/>
    <n v="33.5"/>
    <x v="253"/>
    <d v="2025-02-25T00:00:00"/>
    <d v="2025-03-01T00:00:00"/>
    <x v="1"/>
    <x v="4"/>
    <x v="1"/>
    <x v="0"/>
    <x v="21"/>
    <x v="5"/>
    <x v="8"/>
    <x v="1"/>
  </r>
  <r>
    <x v="1478"/>
    <x v="4"/>
    <x v="2"/>
    <n v="29.3"/>
    <x v="1205"/>
    <d v="2025-02-25T00:00:00"/>
    <d v="2025-02-27T00:00:00"/>
    <x v="2"/>
    <x v="1"/>
    <x v="2"/>
    <x v="0"/>
    <x v="1"/>
    <x v="1"/>
    <x v="8"/>
    <x v="2"/>
  </r>
  <r>
    <x v="1479"/>
    <x v="2"/>
    <x v="1"/>
    <n v="125.9"/>
    <x v="1206"/>
    <d v="2025-02-25T00:00:00"/>
    <d v="2025-03-02T00:00:00"/>
    <x v="2"/>
    <x v="4"/>
    <x v="1"/>
    <x v="0"/>
    <x v="1"/>
    <x v="0"/>
    <x v="8"/>
    <x v="2"/>
  </r>
  <r>
    <x v="1480"/>
    <x v="5"/>
    <x v="9"/>
    <n v="29.3"/>
    <x v="1207"/>
    <d v="2025-02-25T00:00:00"/>
    <d v="2025-02-25T00:00:00"/>
    <x v="1"/>
    <x v="2"/>
    <x v="0"/>
    <x v="0"/>
    <x v="44"/>
    <x v="7"/>
    <x v="8"/>
    <x v="1"/>
  </r>
  <r>
    <x v="1481"/>
    <x v="9"/>
    <x v="0"/>
    <n v="37.799999999999997"/>
    <x v="463"/>
    <d v="2025-02-25T00:00:00"/>
    <d v="2025-02-28T00:00:00"/>
    <x v="2"/>
    <x v="0"/>
    <x v="2"/>
    <x v="0"/>
    <x v="3"/>
    <x v="2"/>
    <x v="8"/>
    <x v="2"/>
  </r>
  <r>
    <x v="1482"/>
    <x v="0"/>
    <x v="12"/>
    <n v="31.7"/>
    <x v="1208"/>
    <d v="2025-02-25T00:00:00"/>
    <d v="2025-02-26T00:00:00"/>
    <x v="1"/>
    <x v="2"/>
    <x v="2"/>
    <x v="0"/>
    <x v="3"/>
    <x v="3"/>
    <x v="8"/>
    <x v="1"/>
  </r>
  <r>
    <x v="1483"/>
    <x v="8"/>
    <x v="9"/>
    <n v="26.3"/>
    <x v="1209"/>
    <d v="2025-02-25T00:00:00"/>
    <d v="2025-02-26T00:00:00"/>
    <x v="2"/>
    <x v="3"/>
    <x v="2"/>
    <x v="0"/>
    <x v="3"/>
    <x v="3"/>
    <x v="8"/>
    <x v="2"/>
  </r>
  <r>
    <x v="1484"/>
    <x v="8"/>
    <x v="2"/>
    <n v="23.1"/>
    <x v="59"/>
    <d v="2025-02-25T00:00:00"/>
    <d v="2025-02-26T00:00:00"/>
    <x v="3"/>
    <x v="2"/>
    <x v="1"/>
    <x v="0"/>
    <x v="3"/>
    <x v="3"/>
    <x v="8"/>
    <x v="3"/>
  </r>
  <r>
    <x v="1485"/>
    <x v="4"/>
    <x v="0"/>
    <n v="22.3"/>
    <x v="968"/>
    <d v="2025-02-25T00:00:00"/>
    <d v="2025-02-27T00:00:00"/>
    <x v="2"/>
    <x v="2"/>
    <x v="0"/>
    <x v="0"/>
    <x v="3"/>
    <x v="1"/>
    <x v="8"/>
    <x v="2"/>
  </r>
  <r>
    <x v="1486"/>
    <x v="12"/>
    <x v="1"/>
    <n v="99.5"/>
    <x v="1210"/>
    <d v="2025-02-25T00:00:00"/>
    <d v="2025-02-27T00:00:00"/>
    <x v="2"/>
    <x v="2"/>
    <x v="0"/>
    <x v="0"/>
    <x v="3"/>
    <x v="1"/>
    <x v="8"/>
    <x v="2"/>
  </r>
  <r>
    <x v="1487"/>
    <x v="12"/>
    <x v="12"/>
    <n v="47.4"/>
    <x v="455"/>
    <d v="2025-02-25T00:00:00"/>
    <d v="2025-02-28T00:00:00"/>
    <x v="2"/>
    <x v="1"/>
    <x v="0"/>
    <x v="0"/>
    <x v="3"/>
    <x v="2"/>
    <x v="8"/>
    <x v="2"/>
  </r>
  <r>
    <x v="1488"/>
    <x v="0"/>
    <x v="5"/>
    <n v="37.5"/>
    <x v="1211"/>
    <d v="2025-02-25T00:00:00"/>
    <d v="2025-02-27T00:00:00"/>
    <x v="2"/>
    <x v="0"/>
    <x v="3"/>
    <x v="0"/>
    <x v="3"/>
    <x v="1"/>
    <x v="8"/>
    <x v="2"/>
  </r>
  <r>
    <x v="1489"/>
    <x v="10"/>
    <x v="0"/>
    <n v="45.1"/>
    <x v="1212"/>
    <d v="2025-02-25T00:00:00"/>
    <d v="2025-03-02T00:00:00"/>
    <x v="1"/>
    <x v="3"/>
    <x v="2"/>
    <x v="0"/>
    <x v="24"/>
    <x v="0"/>
    <x v="8"/>
    <x v="1"/>
  </r>
  <r>
    <x v="1490"/>
    <x v="5"/>
    <x v="7"/>
    <n v="34.4"/>
    <x v="1213"/>
    <d v="2025-02-25T00:00:00"/>
    <d v="2025-02-28T00:00:00"/>
    <x v="1"/>
    <x v="2"/>
    <x v="0"/>
    <x v="0"/>
    <x v="16"/>
    <x v="2"/>
    <x v="8"/>
    <x v="1"/>
  </r>
  <r>
    <x v="1491"/>
    <x v="4"/>
    <x v="1"/>
    <n v="38"/>
    <x v="998"/>
    <d v="2025-02-25T00:00:00"/>
    <d v="2025-02-27T00:00:00"/>
    <x v="2"/>
    <x v="1"/>
    <x v="0"/>
    <x v="0"/>
    <x v="5"/>
    <x v="1"/>
    <x v="8"/>
    <x v="2"/>
  </r>
  <r>
    <x v="1492"/>
    <x v="3"/>
    <x v="21"/>
    <n v="32.4"/>
    <x v="1214"/>
    <d v="2025-02-25T00:00:00"/>
    <d v="2025-02-28T00:00:00"/>
    <x v="1"/>
    <x v="4"/>
    <x v="0"/>
    <x v="0"/>
    <x v="6"/>
    <x v="2"/>
    <x v="8"/>
    <x v="1"/>
  </r>
  <r>
    <x v="1493"/>
    <x v="6"/>
    <x v="2"/>
    <n v="40.9"/>
    <x v="544"/>
    <d v="2025-02-25T00:00:00"/>
    <d v="2025-02-25T00:00:00"/>
    <x v="0"/>
    <x v="1"/>
    <x v="0"/>
    <x v="0"/>
    <x v="8"/>
    <x v="7"/>
    <x v="8"/>
    <x v="0"/>
  </r>
  <r>
    <x v="1494"/>
    <x v="7"/>
    <x v="3"/>
    <n v="76.2"/>
    <x v="1215"/>
    <d v="2025-02-25T00:00:00"/>
    <d v="2025-02-27T00:00:00"/>
    <x v="2"/>
    <x v="2"/>
    <x v="1"/>
    <x v="0"/>
    <x v="8"/>
    <x v="1"/>
    <x v="8"/>
    <x v="2"/>
  </r>
  <r>
    <x v="1495"/>
    <x v="2"/>
    <x v="0"/>
    <n v="85.6"/>
    <x v="1216"/>
    <d v="2025-02-25T00:00:00"/>
    <d v="2025-02-27T00:00:00"/>
    <x v="1"/>
    <x v="2"/>
    <x v="0"/>
    <x v="0"/>
    <x v="8"/>
    <x v="1"/>
    <x v="8"/>
    <x v="1"/>
  </r>
  <r>
    <x v="1496"/>
    <x v="4"/>
    <x v="12"/>
    <n v="25"/>
    <x v="1217"/>
    <d v="2025-02-25T00:00:00"/>
    <d v="2025-02-27T00:00:00"/>
    <x v="2"/>
    <x v="2"/>
    <x v="2"/>
    <x v="0"/>
    <x v="8"/>
    <x v="1"/>
    <x v="8"/>
    <x v="2"/>
  </r>
  <r>
    <x v="1497"/>
    <x v="2"/>
    <x v="9"/>
    <n v="150.69999999999999"/>
    <x v="1218"/>
    <d v="2025-02-25T00:00:00"/>
    <d v="2025-02-26T00:00:00"/>
    <x v="0"/>
    <x v="0"/>
    <x v="2"/>
    <x v="0"/>
    <x v="8"/>
    <x v="3"/>
    <x v="8"/>
    <x v="0"/>
  </r>
  <r>
    <x v="1498"/>
    <x v="8"/>
    <x v="0"/>
    <n v="19.600000000000001"/>
    <x v="1219"/>
    <d v="2025-02-25T00:00:00"/>
    <d v="2025-02-26T00:00:00"/>
    <x v="1"/>
    <x v="1"/>
    <x v="4"/>
    <x v="0"/>
    <x v="8"/>
    <x v="3"/>
    <x v="8"/>
    <x v="1"/>
  </r>
  <r>
    <x v="1499"/>
    <x v="13"/>
    <x v="1"/>
    <n v="37.5"/>
    <x v="611"/>
    <d v="2025-02-25T00:00:00"/>
    <d v="2025-02-28T00:00:00"/>
    <x v="2"/>
    <x v="1"/>
    <x v="2"/>
    <x v="0"/>
    <x v="17"/>
    <x v="2"/>
    <x v="8"/>
    <x v="2"/>
  </r>
  <r>
    <x v="1500"/>
    <x v="9"/>
    <x v="2"/>
    <n v="51.9"/>
    <x v="515"/>
    <d v="2025-02-25T00:00:00"/>
    <d v="2025-03-03T00:00:00"/>
    <x v="2"/>
    <x v="0"/>
    <x v="4"/>
    <x v="0"/>
    <x v="11"/>
    <x v="4"/>
    <x v="8"/>
    <x v="2"/>
  </r>
  <r>
    <x v="1501"/>
    <x v="1"/>
    <x v="1"/>
    <n v="30.9"/>
    <x v="546"/>
    <d v="2025-02-25T00:00:00"/>
    <d v="2025-02-27T00:00:00"/>
    <x v="2"/>
    <x v="1"/>
    <x v="0"/>
    <x v="0"/>
    <x v="18"/>
    <x v="1"/>
    <x v="8"/>
    <x v="2"/>
  </r>
  <r>
    <x v="1502"/>
    <x v="4"/>
    <x v="2"/>
    <n v="21.2"/>
    <x v="1220"/>
    <d v="2025-02-25T00:00:00"/>
    <d v="2025-02-28T00:00:00"/>
    <x v="2"/>
    <x v="1"/>
    <x v="0"/>
    <x v="0"/>
    <x v="19"/>
    <x v="2"/>
    <x v="8"/>
    <x v="2"/>
  </r>
  <r>
    <x v="1503"/>
    <x v="13"/>
    <x v="14"/>
    <n v="17.5"/>
    <x v="1221"/>
    <d v="2025-02-25T00:00:00"/>
    <d v="2025-02-26T00:00:00"/>
    <x v="1"/>
    <x v="1"/>
    <x v="1"/>
    <x v="0"/>
    <x v="13"/>
    <x v="3"/>
    <x v="8"/>
    <x v="1"/>
  </r>
  <r>
    <x v="1504"/>
    <x v="12"/>
    <x v="1"/>
    <n v="53.8"/>
    <x v="799"/>
    <d v="2025-02-25T00:00:00"/>
    <d v="2025-03-02T00:00:00"/>
    <x v="2"/>
    <x v="0"/>
    <x v="2"/>
    <x v="0"/>
    <x v="21"/>
    <x v="0"/>
    <x v="8"/>
    <x v="2"/>
  </r>
  <r>
    <x v="1505"/>
    <x v="19"/>
    <x v="1"/>
    <n v="17"/>
    <x v="1222"/>
    <d v="2025-02-25T00:00:00"/>
    <d v="2025-02-26T00:00:00"/>
    <x v="1"/>
    <x v="3"/>
    <x v="0"/>
    <x v="0"/>
    <x v="21"/>
    <x v="3"/>
    <x v="8"/>
    <x v="1"/>
  </r>
  <r>
    <x v="1506"/>
    <x v="6"/>
    <x v="0"/>
    <n v="103.2"/>
    <x v="1223"/>
    <d v="2025-02-25T00:00:00"/>
    <d v="2025-03-05T00:00:00"/>
    <x v="1"/>
    <x v="2"/>
    <x v="1"/>
    <x v="0"/>
    <x v="1"/>
    <x v="9"/>
    <x v="8"/>
    <x v="1"/>
  </r>
  <r>
    <x v="1507"/>
    <x v="6"/>
    <x v="12"/>
    <n v="70.3"/>
    <x v="552"/>
    <d v="2025-02-25T00:00:00"/>
    <d v="2025-02-26T00:00:00"/>
    <x v="1"/>
    <x v="0"/>
    <x v="0"/>
    <x v="0"/>
    <x v="3"/>
    <x v="3"/>
    <x v="8"/>
    <x v="1"/>
  </r>
  <r>
    <x v="1508"/>
    <x v="2"/>
    <x v="1"/>
    <n v="73.8"/>
    <x v="1224"/>
    <d v="2025-02-25T00:00:00"/>
    <d v="2025-02-25T00:00:00"/>
    <x v="1"/>
    <x v="3"/>
    <x v="2"/>
    <x v="0"/>
    <x v="3"/>
    <x v="7"/>
    <x v="8"/>
    <x v="1"/>
  </r>
  <r>
    <x v="1509"/>
    <x v="1"/>
    <x v="4"/>
    <n v="67.7"/>
    <x v="1225"/>
    <d v="2025-02-25T00:00:00"/>
    <d v="2025-03-01T00:00:00"/>
    <x v="1"/>
    <x v="1"/>
    <x v="1"/>
    <x v="0"/>
    <x v="3"/>
    <x v="5"/>
    <x v="8"/>
    <x v="1"/>
  </r>
  <r>
    <x v="1510"/>
    <x v="13"/>
    <x v="3"/>
    <n v="43.8"/>
    <x v="1226"/>
    <d v="2025-02-25T00:00:00"/>
    <d v="2025-02-27T00:00:00"/>
    <x v="1"/>
    <x v="1"/>
    <x v="0"/>
    <x v="0"/>
    <x v="3"/>
    <x v="1"/>
    <x v="8"/>
    <x v="1"/>
  </r>
  <r>
    <x v="1511"/>
    <x v="17"/>
    <x v="13"/>
    <n v="71.900000000000006"/>
    <x v="1227"/>
    <d v="2025-02-25T00:00:00"/>
    <d v="2025-02-26T00:00:00"/>
    <x v="2"/>
    <x v="2"/>
    <x v="0"/>
    <x v="0"/>
    <x v="3"/>
    <x v="3"/>
    <x v="8"/>
    <x v="2"/>
  </r>
  <r>
    <x v="1512"/>
    <x v="8"/>
    <x v="1"/>
    <n v="26.3"/>
    <x v="1228"/>
    <d v="2025-02-26T00:00:00"/>
    <d v="2025-02-28T00:00:00"/>
    <x v="2"/>
    <x v="0"/>
    <x v="1"/>
    <x v="0"/>
    <x v="3"/>
    <x v="1"/>
    <x v="8"/>
    <x v="2"/>
  </r>
  <r>
    <x v="1513"/>
    <x v="6"/>
    <x v="12"/>
    <n v="52.6"/>
    <x v="138"/>
    <d v="2025-02-26T00:00:00"/>
    <d v="2025-02-28T00:00:00"/>
    <x v="2"/>
    <x v="2"/>
    <x v="1"/>
    <x v="0"/>
    <x v="3"/>
    <x v="1"/>
    <x v="8"/>
    <x v="2"/>
  </r>
  <r>
    <x v="1514"/>
    <x v="10"/>
    <x v="0"/>
    <n v="32.700000000000003"/>
    <x v="1229"/>
    <d v="2025-02-26T00:00:00"/>
    <d v="2025-03-05T00:00:00"/>
    <x v="2"/>
    <x v="0"/>
    <x v="2"/>
    <x v="0"/>
    <x v="3"/>
    <x v="6"/>
    <x v="8"/>
    <x v="2"/>
  </r>
  <r>
    <x v="1515"/>
    <x v="5"/>
    <x v="12"/>
    <n v="38.9"/>
    <x v="1230"/>
    <d v="2025-02-26T00:00:00"/>
    <d v="2025-02-27T00:00:00"/>
    <x v="2"/>
    <x v="0"/>
    <x v="0"/>
    <x v="0"/>
    <x v="3"/>
    <x v="3"/>
    <x v="8"/>
    <x v="2"/>
  </r>
  <r>
    <x v="1516"/>
    <x v="9"/>
    <x v="9"/>
    <n v="35"/>
    <x v="25"/>
    <d v="2025-02-26T00:00:00"/>
    <d v="2025-02-28T00:00:00"/>
    <x v="1"/>
    <x v="0"/>
    <x v="0"/>
    <x v="0"/>
    <x v="3"/>
    <x v="1"/>
    <x v="8"/>
    <x v="1"/>
  </r>
  <r>
    <x v="1517"/>
    <x v="2"/>
    <x v="1"/>
    <n v="121"/>
    <x v="1231"/>
    <d v="2025-02-26T00:00:00"/>
    <d v="2025-02-27T00:00:00"/>
    <x v="2"/>
    <x v="1"/>
    <x v="1"/>
    <x v="0"/>
    <x v="3"/>
    <x v="3"/>
    <x v="8"/>
    <x v="2"/>
  </r>
  <r>
    <x v="1518"/>
    <x v="6"/>
    <x v="2"/>
    <n v="65.099999999999994"/>
    <x v="1174"/>
    <d v="2025-02-26T00:00:00"/>
    <d v="2025-03-02T00:00:00"/>
    <x v="1"/>
    <x v="2"/>
    <x v="0"/>
    <x v="0"/>
    <x v="36"/>
    <x v="5"/>
    <x v="8"/>
    <x v="1"/>
  </r>
  <r>
    <x v="1519"/>
    <x v="1"/>
    <x v="38"/>
    <n v="63.8"/>
    <x v="1232"/>
    <d v="2025-02-26T00:00:00"/>
    <d v="2025-02-28T00:00:00"/>
    <x v="2"/>
    <x v="0"/>
    <x v="0"/>
    <x v="0"/>
    <x v="8"/>
    <x v="1"/>
    <x v="8"/>
    <x v="2"/>
  </r>
  <r>
    <x v="1520"/>
    <x v="7"/>
    <x v="0"/>
    <n v="77.7"/>
    <x v="1233"/>
    <d v="2025-02-26T00:00:00"/>
    <d v="2025-02-28T00:00:00"/>
    <x v="1"/>
    <x v="0"/>
    <x v="0"/>
    <x v="0"/>
    <x v="8"/>
    <x v="1"/>
    <x v="8"/>
    <x v="1"/>
  </r>
  <r>
    <x v="1521"/>
    <x v="5"/>
    <x v="12"/>
    <n v="60.3"/>
    <x v="1234"/>
    <d v="2025-02-26T00:00:00"/>
    <d v="2025-02-26T00:00:00"/>
    <x v="1"/>
    <x v="0"/>
    <x v="2"/>
    <x v="0"/>
    <x v="8"/>
    <x v="7"/>
    <x v="8"/>
    <x v="1"/>
  </r>
  <r>
    <x v="1522"/>
    <x v="5"/>
    <x v="1"/>
    <n v="124.1"/>
    <x v="1235"/>
    <d v="2025-02-26T00:00:00"/>
    <d v="2025-03-01T00:00:00"/>
    <x v="2"/>
    <x v="0"/>
    <x v="2"/>
    <x v="0"/>
    <x v="8"/>
    <x v="2"/>
    <x v="8"/>
    <x v="2"/>
  </r>
  <r>
    <x v="1523"/>
    <x v="16"/>
    <x v="3"/>
    <n v="66"/>
    <x v="1236"/>
    <d v="2025-02-26T00:00:00"/>
    <d v="2025-02-26T00:00:00"/>
    <x v="0"/>
    <x v="3"/>
    <x v="0"/>
    <x v="0"/>
    <x v="17"/>
    <x v="7"/>
    <x v="8"/>
    <x v="0"/>
  </r>
  <r>
    <x v="1524"/>
    <x v="2"/>
    <x v="42"/>
    <n v="118.2"/>
    <x v="1237"/>
    <d v="2025-02-26T00:00:00"/>
    <d v="2025-03-03T00:00:00"/>
    <x v="0"/>
    <x v="0"/>
    <x v="0"/>
    <x v="0"/>
    <x v="17"/>
    <x v="0"/>
    <x v="8"/>
    <x v="0"/>
  </r>
  <r>
    <x v="1525"/>
    <x v="5"/>
    <x v="9"/>
    <n v="64.3"/>
    <x v="1238"/>
    <d v="2025-02-26T00:00:00"/>
    <d v="2025-02-27T00:00:00"/>
    <x v="1"/>
    <x v="4"/>
    <x v="4"/>
    <x v="0"/>
    <x v="26"/>
    <x v="3"/>
    <x v="8"/>
    <x v="1"/>
  </r>
  <r>
    <x v="1526"/>
    <x v="1"/>
    <x v="1"/>
    <n v="54.8"/>
    <x v="1239"/>
    <d v="2025-02-26T00:00:00"/>
    <d v="2025-02-26T00:00:00"/>
    <x v="1"/>
    <x v="0"/>
    <x v="1"/>
    <x v="0"/>
    <x v="26"/>
    <x v="7"/>
    <x v="8"/>
    <x v="1"/>
  </r>
  <r>
    <x v="1527"/>
    <x v="7"/>
    <x v="1"/>
    <n v="78.599999999999994"/>
    <x v="507"/>
    <d v="2025-02-26T00:00:00"/>
    <d v="2025-02-27T00:00:00"/>
    <x v="1"/>
    <x v="0"/>
    <x v="2"/>
    <x v="0"/>
    <x v="9"/>
    <x v="3"/>
    <x v="8"/>
    <x v="1"/>
  </r>
  <r>
    <x v="1528"/>
    <x v="2"/>
    <x v="9"/>
    <n v="158.5"/>
    <x v="1240"/>
    <d v="2025-02-26T00:00:00"/>
    <d v="2025-02-28T00:00:00"/>
    <x v="0"/>
    <x v="2"/>
    <x v="2"/>
    <x v="0"/>
    <x v="9"/>
    <x v="1"/>
    <x v="8"/>
    <x v="0"/>
  </r>
  <r>
    <x v="1529"/>
    <x v="4"/>
    <x v="7"/>
    <n v="23.5"/>
    <x v="666"/>
    <d v="2025-02-26T00:00:00"/>
    <d v="2025-03-01T00:00:00"/>
    <x v="1"/>
    <x v="0"/>
    <x v="4"/>
    <x v="0"/>
    <x v="10"/>
    <x v="2"/>
    <x v="8"/>
    <x v="1"/>
  </r>
  <r>
    <x v="1530"/>
    <x v="5"/>
    <x v="1"/>
    <n v="32.1"/>
    <x v="1005"/>
    <d v="2025-02-26T00:00:00"/>
    <d v="2025-02-28T00:00:00"/>
    <x v="0"/>
    <x v="3"/>
    <x v="0"/>
    <x v="0"/>
    <x v="10"/>
    <x v="1"/>
    <x v="8"/>
    <x v="0"/>
  </r>
  <r>
    <x v="1531"/>
    <x v="17"/>
    <x v="12"/>
    <n v="71.900000000000006"/>
    <x v="1241"/>
    <d v="2025-02-26T00:00:00"/>
    <d v="2025-02-26T00:00:00"/>
    <x v="1"/>
    <x v="2"/>
    <x v="0"/>
    <x v="0"/>
    <x v="19"/>
    <x v="7"/>
    <x v="8"/>
    <x v="1"/>
  </r>
  <r>
    <x v="1532"/>
    <x v="4"/>
    <x v="13"/>
    <n v="22.3"/>
    <x v="981"/>
    <d v="2025-02-26T00:00:00"/>
    <d v="2025-02-27T00:00:00"/>
    <x v="0"/>
    <x v="3"/>
    <x v="2"/>
    <x v="0"/>
    <x v="13"/>
    <x v="3"/>
    <x v="8"/>
    <x v="0"/>
  </r>
  <r>
    <x v="1533"/>
    <x v="11"/>
    <x v="1"/>
    <n v="29.5"/>
    <x v="1242"/>
    <d v="2025-02-26T00:00:00"/>
    <d v="2025-02-27T00:00:00"/>
    <x v="2"/>
    <x v="0"/>
    <x v="2"/>
    <x v="0"/>
    <x v="13"/>
    <x v="3"/>
    <x v="8"/>
    <x v="2"/>
  </r>
  <r>
    <x v="1534"/>
    <x v="6"/>
    <x v="12"/>
    <n v="41.9"/>
    <x v="1243"/>
    <d v="2025-02-26T00:00:00"/>
    <d v="2025-03-02T00:00:00"/>
    <x v="2"/>
    <x v="0"/>
    <x v="1"/>
    <x v="0"/>
    <x v="21"/>
    <x v="5"/>
    <x v="8"/>
    <x v="2"/>
  </r>
  <r>
    <x v="1535"/>
    <x v="6"/>
    <x v="2"/>
    <n v="107.8"/>
    <x v="1244"/>
    <d v="2025-02-26T00:00:00"/>
    <d v="2025-02-27T00:00:00"/>
    <x v="1"/>
    <x v="1"/>
    <x v="2"/>
    <x v="0"/>
    <x v="46"/>
    <x v="3"/>
    <x v="8"/>
    <x v="1"/>
  </r>
  <r>
    <x v="1536"/>
    <x v="4"/>
    <x v="9"/>
    <n v="18.100000000000001"/>
    <x v="497"/>
    <d v="2025-02-26T00:00:00"/>
    <d v="2025-03-01T00:00:00"/>
    <x v="1"/>
    <x v="0"/>
    <x v="2"/>
    <x v="0"/>
    <x v="2"/>
    <x v="2"/>
    <x v="8"/>
    <x v="1"/>
  </r>
  <r>
    <x v="1537"/>
    <x v="12"/>
    <x v="11"/>
    <n v="79.8"/>
    <x v="1245"/>
    <d v="2025-02-26T00:00:00"/>
    <d v="2025-02-27T00:00:00"/>
    <x v="2"/>
    <x v="1"/>
    <x v="1"/>
    <x v="0"/>
    <x v="22"/>
    <x v="3"/>
    <x v="8"/>
    <x v="2"/>
  </r>
  <r>
    <x v="1538"/>
    <x v="0"/>
    <x v="2"/>
    <n v="22.3"/>
    <x v="884"/>
    <d v="2025-02-26T00:00:00"/>
    <d v="2025-03-01T00:00:00"/>
    <x v="2"/>
    <x v="0"/>
    <x v="2"/>
    <x v="0"/>
    <x v="22"/>
    <x v="2"/>
    <x v="8"/>
    <x v="2"/>
  </r>
  <r>
    <x v="1539"/>
    <x v="8"/>
    <x v="0"/>
    <n v="22.9"/>
    <x v="1246"/>
    <d v="2025-02-26T00:00:00"/>
    <d v="2025-02-26T00:00:00"/>
    <x v="2"/>
    <x v="1"/>
    <x v="0"/>
    <x v="0"/>
    <x v="22"/>
    <x v="7"/>
    <x v="8"/>
    <x v="2"/>
  </r>
  <r>
    <x v="1540"/>
    <x v="0"/>
    <x v="2"/>
    <n v="16.2"/>
    <x v="1247"/>
    <d v="2025-02-27T00:00:00"/>
    <d v="2025-02-27T00:00:00"/>
    <x v="1"/>
    <x v="4"/>
    <x v="2"/>
    <x v="0"/>
    <x v="3"/>
    <x v="7"/>
    <x v="8"/>
    <x v="1"/>
  </r>
  <r>
    <x v="1541"/>
    <x v="10"/>
    <x v="12"/>
    <n v="59.5"/>
    <x v="1248"/>
    <d v="2025-02-27T00:00:00"/>
    <d v="2025-02-28T00:00:00"/>
    <x v="1"/>
    <x v="1"/>
    <x v="2"/>
    <x v="0"/>
    <x v="3"/>
    <x v="3"/>
    <x v="8"/>
    <x v="1"/>
  </r>
  <r>
    <x v="1542"/>
    <x v="18"/>
    <x v="9"/>
    <n v="26.2"/>
    <x v="1249"/>
    <d v="2025-02-27T00:00:00"/>
    <d v="2025-03-02T00:00:00"/>
    <x v="1"/>
    <x v="3"/>
    <x v="4"/>
    <x v="0"/>
    <x v="3"/>
    <x v="2"/>
    <x v="8"/>
    <x v="1"/>
  </r>
  <r>
    <x v="1543"/>
    <x v="3"/>
    <x v="0"/>
    <n v="44.2"/>
    <x v="573"/>
    <d v="2025-02-27T00:00:00"/>
    <d v="2025-03-02T00:00:00"/>
    <x v="2"/>
    <x v="1"/>
    <x v="0"/>
    <x v="0"/>
    <x v="3"/>
    <x v="2"/>
    <x v="8"/>
    <x v="2"/>
  </r>
  <r>
    <x v="1544"/>
    <x v="9"/>
    <x v="1"/>
    <n v="59.2"/>
    <x v="1250"/>
    <d v="2025-02-27T00:00:00"/>
    <d v="2025-02-27T00:00:00"/>
    <x v="2"/>
    <x v="1"/>
    <x v="4"/>
    <x v="0"/>
    <x v="3"/>
    <x v="7"/>
    <x v="8"/>
    <x v="2"/>
  </r>
  <r>
    <x v="1545"/>
    <x v="15"/>
    <x v="12"/>
    <n v="41.5"/>
    <x v="1251"/>
    <d v="2025-02-27T00:00:00"/>
    <d v="2025-03-01T00:00:00"/>
    <x v="2"/>
    <x v="0"/>
    <x v="0"/>
    <x v="0"/>
    <x v="16"/>
    <x v="1"/>
    <x v="8"/>
    <x v="2"/>
  </r>
  <r>
    <x v="1546"/>
    <x v="6"/>
    <x v="4"/>
    <n v="67.099999999999994"/>
    <x v="1252"/>
    <d v="2025-02-27T00:00:00"/>
    <d v="2025-03-13T00:00:00"/>
    <x v="2"/>
    <x v="0"/>
    <x v="2"/>
    <x v="0"/>
    <x v="23"/>
    <x v="12"/>
    <x v="8"/>
    <x v="2"/>
  </r>
  <r>
    <x v="1547"/>
    <x v="8"/>
    <x v="1"/>
    <n v="28.7"/>
    <x v="1253"/>
    <d v="2025-02-27T00:00:00"/>
    <d v="2025-03-03T00:00:00"/>
    <x v="2"/>
    <x v="1"/>
    <x v="0"/>
    <x v="0"/>
    <x v="6"/>
    <x v="5"/>
    <x v="8"/>
    <x v="2"/>
  </r>
  <r>
    <x v="1548"/>
    <x v="2"/>
    <x v="12"/>
    <n v="132.1"/>
    <x v="1254"/>
    <d v="2025-02-27T00:00:00"/>
    <d v="2025-02-28T00:00:00"/>
    <x v="2"/>
    <x v="0"/>
    <x v="1"/>
    <x v="0"/>
    <x v="6"/>
    <x v="3"/>
    <x v="8"/>
    <x v="2"/>
  </r>
  <r>
    <x v="1549"/>
    <x v="18"/>
    <x v="1"/>
    <n v="47"/>
    <x v="255"/>
    <d v="2025-02-27T00:00:00"/>
    <d v="2025-03-01T00:00:00"/>
    <x v="1"/>
    <x v="4"/>
    <x v="0"/>
    <x v="0"/>
    <x v="8"/>
    <x v="1"/>
    <x v="8"/>
    <x v="1"/>
  </r>
  <r>
    <x v="1550"/>
    <x v="8"/>
    <x v="1"/>
    <n v="41.6"/>
    <x v="707"/>
    <d v="2025-02-27T00:00:00"/>
    <d v="2025-03-03T00:00:00"/>
    <x v="1"/>
    <x v="1"/>
    <x v="2"/>
    <x v="0"/>
    <x v="8"/>
    <x v="5"/>
    <x v="8"/>
    <x v="1"/>
  </r>
  <r>
    <x v="1551"/>
    <x v="8"/>
    <x v="43"/>
    <n v="17.3"/>
    <x v="1255"/>
    <d v="2025-02-27T00:00:00"/>
    <d v="2025-03-01T00:00:00"/>
    <x v="1"/>
    <x v="2"/>
    <x v="2"/>
    <x v="0"/>
    <x v="8"/>
    <x v="1"/>
    <x v="8"/>
    <x v="1"/>
  </r>
  <r>
    <x v="1552"/>
    <x v="13"/>
    <x v="2"/>
    <n v="41.8"/>
    <x v="352"/>
    <d v="2025-02-27T00:00:00"/>
    <d v="2025-03-02T00:00:00"/>
    <x v="1"/>
    <x v="0"/>
    <x v="2"/>
    <x v="0"/>
    <x v="8"/>
    <x v="2"/>
    <x v="8"/>
    <x v="1"/>
  </r>
  <r>
    <x v="1553"/>
    <x v="10"/>
    <x v="0"/>
    <n v="24"/>
    <x v="835"/>
    <d v="2025-02-27T00:00:00"/>
    <d v="2025-02-28T00:00:00"/>
    <x v="2"/>
    <x v="0"/>
    <x v="0"/>
    <x v="0"/>
    <x v="17"/>
    <x v="3"/>
    <x v="8"/>
    <x v="2"/>
  </r>
  <r>
    <x v="1554"/>
    <x v="14"/>
    <x v="11"/>
    <n v="18.5"/>
    <x v="1256"/>
    <d v="2025-02-27T00:00:00"/>
    <d v="2025-03-01T00:00:00"/>
    <x v="2"/>
    <x v="0"/>
    <x v="0"/>
    <x v="0"/>
    <x v="9"/>
    <x v="1"/>
    <x v="8"/>
    <x v="2"/>
  </r>
  <r>
    <x v="1555"/>
    <x v="3"/>
    <x v="4"/>
    <n v="66.7"/>
    <x v="1257"/>
    <d v="2025-02-27T00:00:00"/>
    <d v="2025-03-02T00:00:00"/>
    <x v="0"/>
    <x v="0"/>
    <x v="2"/>
    <x v="0"/>
    <x v="11"/>
    <x v="2"/>
    <x v="8"/>
    <x v="0"/>
  </r>
  <r>
    <x v="1556"/>
    <x v="1"/>
    <x v="12"/>
    <n v="33.1"/>
    <x v="979"/>
    <d v="2025-02-27T00:00:00"/>
    <d v="2025-03-04T00:00:00"/>
    <x v="1"/>
    <x v="3"/>
    <x v="0"/>
    <x v="0"/>
    <x v="11"/>
    <x v="0"/>
    <x v="8"/>
    <x v="1"/>
  </r>
  <r>
    <x v="1557"/>
    <x v="19"/>
    <x v="11"/>
    <n v="42.1"/>
    <x v="1258"/>
    <d v="2025-02-27T00:00:00"/>
    <d v="2025-03-10T00:00:00"/>
    <x v="1"/>
    <x v="1"/>
    <x v="0"/>
    <x v="0"/>
    <x v="18"/>
    <x v="11"/>
    <x v="8"/>
    <x v="1"/>
  </r>
  <r>
    <x v="1558"/>
    <x v="18"/>
    <x v="3"/>
    <n v="58.7"/>
    <x v="1259"/>
    <d v="2025-02-27T00:00:00"/>
    <d v="2025-02-27T00:00:00"/>
    <x v="3"/>
    <x v="3"/>
    <x v="0"/>
    <x v="0"/>
    <x v="31"/>
    <x v="7"/>
    <x v="8"/>
    <x v="3"/>
  </r>
  <r>
    <x v="1559"/>
    <x v="6"/>
    <x v="12"/>
    <n v="54"/>
    <x v="760"/>
    <d v="2025-02-27T00:00:00"/>
    <d v="2025-03-01T00:00:00"/>
    <x v="2"/>
    <x v="1"/>
    <x v="0"/>
    <x v="0"/>
    <x v="1"/>
    <x v="1"/>
    <x v="8"/>
    <x v="2"/>
  </r>
  <r>
    <x v="1560"/>
    <x v="8"/>
    <x v="0"/>
    <n v="52.1"/>
    <x v="475"/>
    <d v="2025-02-27T00:00:00"/>
    <d v="2025-02-28T00:00:00"/>
    <x v="2"/>
    <x v="2"/>
    <x v="2"/>
    <x v="0"/>
    <x v="2"/>
    <x v="3"/>
    <x v="8"/>
    <x v="2"/>
  </r>
  <r>
    <x v="1561"/>
    <x v="19"/>
    <x v="1"/>
    <n v="27"/>
    <x v="1260"/>
    <d v="2025-02-27T00:00:00"/>
    <d v="2025-03-02T00:00:00"/>
    <x v="3"/>
    <x v="2"/>
    <x v="0"/>
    <x v="0"/>
    <x v="22"/>
    <x v="2"/>
    <x v="8"/>
    <x v="3"/>
  </r>
  <r>
    <x v="1562"/>
    <x v="12"/>
    <x v="7"/>
    <n v="31"/>
    <x v="892"/>
    <d v="2025-02-28T00:00:00"/>
    <d v="2025-03-01T00:00:00"/>
    <x v="2"/>
    <x v="3"/>
    <x v="2"/>
    <x v="0"/>
    <x v="22"/>
    <x v="3"/>
    <x v="8"/>
    <x v="2"/>
  </r>
  <r>
    <x v="1563"/>
    <x v="10"/>
    <x v="1"/>
    <n v="46.7"/>
    <x v="1261"/>
    <d v="2025-02-28T00:00:00"/>
    <d v="2025-02-28T00:00:00"/>
    <x v="2"/>
    <x v="0"/>
    <x v="0"/>
    <x v="0"/>
    <x v="34"/>
    <x v="7"/>
    <x v="8"/>
    <x v="2"/>
  </r>
  <r>
    <x v="1564"/>
    <x v="6"/>
    <x v="0"/>
    <n v="144.69999999999999"/>
    <x v="1262"/>
    <d v="2025-02-28T00:00:00"/>
    <d v="2025-03-03T00:00:00"/>
    <x v="1"/>
    <x v="0"/>
    <x v="2"/>
    <x v="0"/>
    <x v="3"/>
    <x v="2"/>
    <x v="8"/>
    <x v="1"/>
  </r>
  <r>
    <x v="1565"/>
    <x v="2"/>
    <x v="11"/>
    <n v="90.9"/>
    <x v="1263"/>
    <d v="2025-02-28T00:00:00"/>
    <d v="2025-03-01T00:00:00"/>
    <x v="1"/>
    <x v="0"/>
    <x v="2"/>
    <x v="0"/>
    <x v="3"/>
    <x v="3"/>
    <x v="8"/>
    <x v="1"/>
  </r>
  <r>
    <x v="1566"/>
    <x v="1"/>
    <x v="1"/>
    <n v="75.8"/>
    <x v="318"/>
    <d v="2025-02-28T00:00:00"/>
    <d v="2025-03-01T00:00:00"/>
    <x v="2"/>
    <x v="2"/>
    <x v="1"/>
    <x v="0"/>
    <x v="3"/>
    <x v="3"/>
    <x v="8"/>
    <x v="2"/>
  </r>
  <r>
    <x v="1567"/>
    <x v="7"/>
    <x v="9"/>
    <n v="57.9"/>
    <x v="1264"/>
    <d v="2025-02-28T00:00:00"/>
    <d v="2025-03-02T00:00:00"/>
    <x v="1"/>
    <x v="2"/>
    <x v="2"/>
    <x v="0"/>
    <x v="3"/>
    <x v="1"/>
    <x v="8"/>
    <x v="1"/>
  </r>
  <r>
    <x v="1568"/>
    <x v="8"/>
    <x v="9"/>
    <n v="44.8"/>
    <x v="692"/>
    <d v="2025-02-28T00:00:00"/>
    <d v="2025-03-01T00:00:00"/>
    <x v="2"/>
    <x v="3"/>
    <x v="2"/>
    <x v="0"/>
    <x v="3"/>
    <x v="3"/>
    <x v="8"/>
    <x v="2"/>
  </r>
  <r>
    <x v="1569"/>
    <x v="9"/>
    <x v="2"/>
    <n v="44.2"/>
    <x v="1265"/>
    <d v="2025-02-28T00:00:00"/>
    <d v="2025-03-04T00:00:00"/>
    <x v="1"/>
    <x v="2"/>
    <x v="2"/>
    <x v="0"/>
    <x v="3"/>
    <x v="5"/>
    <x v="8"/>
    <x v="1"/>
  </r>
  <r>
    <x v="1570"/>
    <x v="5"/>
    <x v="9"/>
    <n v="53.5"/>
    <x v="1266"/>
    <d v="2025-02-28T00:00:00"/>
    <d v="2025-03-02T00:00:00"/>
    <x v="1"/>
    <x v="0"/>
    <x v="0"/>
    <x v="0"/>
    <x v="37"/>
    <x v="1"/>
    <x v="8"/>
    <x v="1"/>
  </r>
  <r>
    <x v="1571"/>
    <x v="6"/>
    <x v="1"/>
    <n v="72.2"/>
    <x v="613"/>
    <d v="2025-02-28T00:00:00"/>
    <d v="2025-03-01T00:00:00"/>
    <x v="1"/>
    <x v="0"/>
    <x v="2"/>
    <x v="0"/>
    <x v="25"/>
    <x v="3"/>
    <x v="8"/>
    <x v="1"/>
  </r>
  <r>
    <x v="1572"/>
    <x v="6"/>
    <x v="12"/>
    <n v="62.4"/>
    <x v="1267"/>
    <d v="2025-02-28T00:00:00"/>
    <d v="2025-03-03T00:00:00"/>
    <x v="2"/>
    <x v="0"/>
    <x v="1"/>
    <x v="0"/>
    <x v="23"/>
    <x v="2"/>
    <x v="8"/>
    <x v="2"/>
  </r>
  <r>
    <x v="1573"/>
    <x v="10"/>
    <x v="9"/>
    <n v="24.7"/>
    <x v="1268"/>
    <d v="2025-02-28T00:00:00"/>
    <d v="2025-03-01T00:00:00"/>
    <x v="2"/>
    <x v="0"/>
    <x v="0"/>
    <x v="0"/>
    <x v="6"/>
    <x v="3"/>
    <x v="8"/>
    <x v="2"/>
  </r>
  <r>
    <x v="1574"/>
    <x v="1"/>
    <x v="9"/>
    <n v="61.7"/>
    <x v="1269"/>
    <d v="2025-02-28T00:00:00"/>
    <d v="2025-03-02T00:00:00"/>
    <x v="2"/>
    <x v="2"/>
    <x v="0"/>
    <x v="0"/>
    <x v="8"/>
    <x v="1"/>
    <x v="8"/>
    <x v="2"/>
  </r>
  <r>
    <x v="1575"/>
    <x v="8"/>
    <x v="9"/>
    <n v="18.2"/>
    <x v="1270"/>
    <d v="2025-02-28T00:00:00"/>
    <d v="2025-03-02T00:00:00"/>
    <x v="2"/>
    <x v="3"/>
    <x v="0"/>
    <x v="0"/>
    <x v="8"/>
    <x v="1"/>
    <x v="8"/>
    <x v="2"/>
  </r>
  <r>
    <x v="1576"/>
    <x v="10"/>
    <x v="12"/>
    <n v="37.200000000000003"/>
    <x v="956"/>
    <d v="2025-02-28T00:00:00"/>
    <d v="2025-03-06T00:00:00"/>
    <x v="2"/>
    <x v="0"/>
    <x v="0"/>
    <x v="0"/>
    <x v="8"/>
    <x v="4"/>
    <x v="8"/>
    <x v="2"/>
  </r>
  <r>
    <x v="1577"/>
    <x v="9"/>
    <x v="2"/>
    <n v="53.5"/>
    <x v="1271"/>
    <d v="2025-02-28T00:00:00"/>
    <d v="2025-03-02T00:00:00"/>
    <x v="2"/>
    <x v="1"/>
    <x v="2"/>
    <x v="0"/>
    <x v="9"/>
    <x v="1"/>
    <x v="8"/>
    <x v="2"/>
  </r>
  <r>
    <x v="1578"/>
    <x v="8"/>
    <x v="2"/>
    <n v="43.6"/>
    <x v="1272"/>
    <d v="2025-02-28T00:00:00"/>
    <d v="2025-02-28T00:00:00"/>
    <x v="2"/>
    <x v="0"/>
    <x v="0"/>
    <x v="0"/>
    <x v="9"/>
    <x v="7"/>
    <x v="8"/>
    <x v="2"/>
  </r>
  <r>
    <x v="1579"/>
    <x v="1"/>
    <x v="7"/>
    <n v="135"/>
    <x v="1273"/>
    <d v="2025-02-28T00:00:00"/>
    <d v="2025-03-02T00:00:00"/>
    <x v="2"/>
    <x v="0"/>
    <x v="2"/>
    <x v="0"/>
    <x v="9"/>
    <x v="1"/>
    <x v="8"/>
    <x v="2"/>
  </r>
  <r>
    <x v="1580"/>
    <x v="8"/>
    <x v="9"/>
    <n v="38.5"/>
    <x v="796"/>
    <d v="2025-02-28T00:00:00"/>
    <d v="2025-02-28T00:00:00"/>
    <x v="1"/>
    <x v="4"/>
    <x v="2"/>
    <x v="0"/>
    <x v="10"/>
    <x v="7"/>
    <x v="8"/>
    <x v="1"/>
  </r>
  <r>
    <x v="1581"/>
    <x v="9"/>
    <x v="1"/>
    <n v="24"/>
    <x v="510"/>
    <d v="2025-02-28T00:00:00"/>
    <d v="2025-03-05T00:00:00"/>
    <x v="2"/>
    <x v="0"/>
    <x v="0"/>
    <x v="0"/>
    <x v="11"/>
    <x v="0"/>
    <x v="8"/>
    <x v="2"/>
  </r>
  <r>
    <x v="1582"/>
    <x v="4"/>
    <x v="2"/>
    <n v="28.2"/>
    <x v="1274"/>
    <d v="2025-02-28T00:00:00"/>
    <d v="2025-03-02T00:00:00"/>
    <x v="1"/>
    <x v="0"/>
    <x v="3"/>
    <x v="0"/>
    <x v="18"/>
    <x v="1"/>
    <x v="8"/>
    <x v="1"/>
  </r>
  <r>
    <x v="1583"/>
    <x v="7"/>
    <x v="2"/>
    <n v="37.4"/>
    <x v="794"/>
    <d v="2025-02-28T00:00:00"/>
    <d v="2025-03-01T00:00:00"/>
    <x v="2"/>
    <x v="3"/>
    <x v="0"/>
    <x v="0"/>
    <x v="1"/>
    <x v="3"/>
    <x v="8"/>
    <x v="2"/>
  </r>
  <r>
    <x v="1584"/>
    <x v="6"/>
    <x v="2"/>
    <n v="53.5"/>
    <x v="1271"/>
    <d v="2025-02-28T00:00:00"/>
    <d v="2025-03-03T00:00:00"/>
    <x v="0"/>
    <x v="4"/>
    <x v="4"/>
    <x v="0"/>
    <x v="1"/>
    <x v="2"/>
    <x v="8"/>
    <x v="0"/>
  </r>
  <r>
    <x v="1585"/>
    <x v="11"/>
    <x v="9"/>
    <n v="36.200000000000003"/>
    <x v="1275"/>
    <d v="2025-02-28T00:00:00"/>
    <d v="2025-03-01T00:00:00"/>
    <x v="1"/>
    <x v="1"/>
    <x v="2"/>
    <x v="0"/>
    <x v="33"/>
    <x v="3"/>
    <x v="8"/>
    <x v="1"/>
  </r>
  <r>
    <x v="1586"/>
    <x v="0"/>
    <x v="8"/>
    <n v="31.9"/>
    <x v="281"/>
    <d v="2025-02-28T00:00:00"/>
    <d v="2025-03-01T00:00:00"/>
    <x v="2"/>
    <x v="4"/>
    <x v="0"/>
    <x v="0"/>
    <x v="3"/>
    <x v="3"/>
    <x v="8"/>
    <x v="2"/>
  </r>
  <r>
    <x v="1587"/>
    <x v="8"/>
    <x v="2"/>
    <n v="21.3"/>
    <x v="1276"/>
    <d v="2025-02-28T00:00:00"/>
    <d v="2025-03-01T00:00:00"/>
    <x v="1"/>
    <x v="0"/>
    <x v="2"/>
    <x v="0"/>
    <x v="3"/>
    <x v="3"/>
    <x v="8"/>
    <x v="1"/>
  </r>
  <r>
    <x v="1588"/>
    <x v="8"/>
    <x v="0"/>
    <n v="36.299999999999997"/>
    <x v="1277"/>
    <d v="2025-02-28T00:00:00"/>
    <d v="2025-03-02T00:00:00"/>
    <x v="3"/>
    <x v="4"/>
    <x v="0"/>
    <x v="0"/>
    <x v="3"/>
    <x v="1"/>
    <x v="8"/>
    <x v="3"/>
  </r>
  <r>
    <x v="1589"/>
    <x v="6"/>
    <x v="2"/>
    <n v="110.5"/>
    <x v="1278"/>
    <d v="2025-02-28T00:00:00"/>
    <d v="2025-03-01T00:00:00"/>
    <x v="2"/>
    <x v="0"/>
    <x v="3"/>
    <x v="0"/>
    <x v="3"/>
    <x v="3"/>
    <x v="8"/>
    <x v="2"/>
  </r>
  <r>
    <x v="1590"/>
    <x v="10"/>
    <x v="3"/>
    <n v="32.6"/>
    <x v="1279"/>
    <d v="2025-02-28T00:00:00"/>
    <d v="2025-03-02T00:00:00"/>
    <x v="2"/>
    <x v="0"/>
    <x v="1"/>
    <x v="0"/>
    <x v="3"/>
    <x v="1"/>
    <x v="8"/>
    <x v="2"/>
  </r>
  <r>
    <x v="1591"/>
    <x v="5"/>
    <x v="2"/>
    <n v="55.6"/>
    <x v="701"/>
    <d v="2025-03-01T00:00:00"/>
    <d v="2025-03-14T00:00:00"/>
    <x v="2"/>
    <x v="0"/>
    <x v="0"/>
    <x v="0"/>
    <x v="3"/>
    <x v="10"/>
    <x v="8"/>
    <x v="2"/>
  </r>
  <r>
    <x v="1592"/>
    <x v="1"/>
    <x v="12"/>
    <n v="38"/>
    <x v="465"/>
    <d v="2025-03-01T00:00:00"/>
    <d v="2025-03-02T00:00:00"/>
    <x v="2"/>
    <x v="3"/>
    <x v="2"/>
    <x v="0"/>
    <x v="5"/>
    <x v="3"/>
    <x v="8"/>
    <x v="2"/>
  </r>
  <r>
    <x v="1593"/>
    <x v="10"/>
    <x v="1"/>
    <n v="51.8"/>
    <x v="186"/>
    <d v="2025-03-01T00:00:00"/>
    <d v="2025-03-07T00:00:00"/>
    <x v="1"/>
    <x v="1"/>
    <x v="4"/>
    <x v="0"/>
    <x v="6"/>
    <x v="4"/>
    <x v="8"/>
    <x v="1"/>
  </r>
  <r>
    <x v="1594"/>
    <x v="11"/>
    <x v="8"/>
    <n v="28.7"/>
    <x v="1166"/>
    <d v="2025-03-01T00:00:00"/>
    <d v="2025-03-06T00:00:00"/>
    <x v="2"/>
    <x v="0"/>
    <x v="0"/>
    <x v="0"/>
    <x v="6"/>
    <x v="0"/>
    <x v="8"/>
    <x v="2"/>
  </r>
  <r>
    <x v="1595"/>
    <x v="6"/>
    <x v="4"/>
    <n v="52.2"/>
    <x v="1280"/>
    <d v="2025-03-01T00:00:00"/>
    <d v="2025-03-01T00:00:00"/>
    <x v="1"/>
    <x v="0"/>
    <x v="1"/>
    <x v="0"/>
    <x v="6"/>
    <x v="7"/>
    <x v="8"/>
    <x v="1"/>
  </r>
  <r>
    <x v="1596"/>
    <x v="1"/>
    <x v="1"/>
    <n v="68.2"/>
    <x v="517"/>
    <d v="2025-03-01T00:00:00"/>
    <d v="2025-03-02T00:00:00"/>
    <x v="0"/>
    <x v="2"/>
    <x v="0"/>
    <x v="0"/>
    <x v="7"/>
    <x v="3"/>
    <x v="8"/>
    <x v="0"/>
  </r>
  <r>
    <x v="1597"/>
    <x v="0"/>
    <x v="2"/>
    <n v="34"/>
    <x v="1062"/>
    <d v="2025-03-01T00:00:00"/>
    <d v="2025-03-05T00:00:00"/>
    <x v="2"/>
    <x v="0"/>
    <x v="0"/>
    <x v="0"/>
    <x v="8"/>
    <x v="5"/>
    <x v="8"/>
    <x v="2"/>
  </r>
  <r>
    <x v="1598"/>
    <x v="8"/>
    <x v="2"/>
    <n v="19.100000000000001"/>
    <x v="1281"/>
    <d v="2025-03-01T00:00:00"/>
    <d v="2025-03-02T00:00:00"/>
    <x v="2"/>
    <x v="4"/>
    <x v="0"/>
    <x v="0"/>
    <x v="8"/>
    <x v="3"/>
    <x v="8"/>
    <x v="2"/>
  </r>
  <r>
    <x v="1599"/>
    <x v="5"/>
    <x v="8"/>
    <n v="34"/>
    <x v="1123"/>
    <d v="2025-03-01T00:00:00"/>
    <d v="2025-03-09T00:00:00"/>
    <x v="2"/>
    <x v="4"/>
    <x v="0"/>
    <x v="0"/>
    <x v="8"/>
    <x v="9"/>
    <x v="8"/>
    <x v="2"/>
  </r>
  <r>
    <x v="1600"/>
    <x v="12"/>
    <x v="1"/>
    <n v="109.1"/>
    <x v="1282"/>
    <d v="2025-03-01T00:00:00"/>
    <d v="2025-03-03T00:00:00"/>
    <x v="1"/>
    <x v="0"/>
    <x v="2"/>
    <x v="0"/>
    <x v="8"/>
    <x v="1"/>
    <x v="8"/>
    <x v="1"/>
  </r>
  <r>
    <x v="1601"/>
    <x v="18"/>
    <x v="1"/>
    <n v="64.8"/>
    <x v="632"/>
    <d v="2025-03-01T00:00:00"/>
    <d v="2025-03-03T00:00:00"/>
    <x v="1"/>
    <x v="0"/>
    <x v="2"/>
    <x v="0"/>
    <x v="8"/>
    <x v="1"/>
    <x v="8"/>
    <x v="1"/>
  </r>
  <r>
    <x v="1602"/>
    <x v="10"/>
    <x v="1"/>
    <n v="21.1"/>
    <x v="1283"/>
    <d v="2025-03-01T00:00:00"/>
    <d v="2025-03-01T00:00:00"/>
    <x v="2"/>
    <x v="1"/>
    <x v="0"/>
    <x v="0"/>
    <x v="11"/>
    <x v="7"/>
    <x v="8"/>
    <x v="2"/>
  </r>
  <r>
    <x v="1603"/>
    <x v="0"/>
    <x v="8"/>
    <n v="21.3"/>
    <x v="1284"/>
    <d v="2025-03-01T00:00:00"/>
    <d v="2025-03-03T00:00:00"/>
    <x v="1"/>
    <x v="3"/>
    <x v="1"/>
    <x v="0"/>
    <x v="18"/>
    <x v="1"/>
    <x v="8"/>
    <x v="1"/>
  </r>
  <r>
    <x v="1604"/>
    <x v="9"/>
    <x v="2"/>
    <n v="24.3"/>
    <x v="1285"/>
    <d v="2025-03-01T00:00:00"/>
    <d v="2025-03-02T00:00:00"/>
    <x v="1"/>
    <x v="1"/>
    <x v="0"/>
    <x v="0"/>
    <x v="19"/>
    <x v="3"/>
    <x v="8"/>
    <x v="1"/>
  </r>
  <r>
    <x v="1605"/>
    <x v="8"/>
    <x v="0"/>
    <n v="43.3"/>
    <x v="1286"/>
    <d v="2025-03-01T00:00:00"/>
    <d v="2025-03-05T00:00:00"/>
    <x v="1"/>
    <x v="1"/>
    <x v="1"/>
    <x v="0"/>
    <x v="13"/>
    <x v="5"/>
    <x v="8"/>
    <x v="1"/>
  </r>
  <r>
    <x v="1606"/>
    <x v="9"/>
    <x v="2"/>
    <n v="41"/>
    <x v="1287"/>
    <d v="2025-03-01T00:00:00"/>
    <d v="2025-03-02T00:00:00"/>
    <x v="2"/>
    <x v="3"/>
    <x v="4"/>
    <x v="0"/>
    <x v="21"/>
    <x v="3"/>
    <x v="8"/>
    <x v="2"/>
  </r>
  <r>
    <x v="1607"/>
    <x v="16"/>
    <x v="2"/>
    <n v="54.1"/>
    <x v="1288"/>
    <d v="2025-03-01T00:00:00"/>
    <d v="2025-03-03T00:00:00"/>
    <x v="2"/>
    <x v="4"/>
    <x v="0"/>
    <x v="0"/>
    <x v="21"/>
    <x v="1"/>
    <x v="8"/>
    <x v="2"/>
  </r>
  <r>
    <x v="1608"/>
    <x v="11"/>
    <x v="1"/>
    <n v="39"/>
    <x v="292"/>
    <d v="2025-03-01T00:00:00"/>
    <d v="2025-03-02T00:00:00"/>
    <x v="1"/>
    <x v="1"/>
    <x v="2"/>
    <x v="0"/>
    <x v="1"/>
    <x v="3"/>
    <x v="8"/>
    <x v="1"/>
  </r>
  <r>
    <x v="1609"/>
    <x v="8"/>
    <x v="1"/>
    <n v="40.299999999999997"/>
    <x v="7"/>
    <d v="2025-03-01T00:00:00"/>
    <d v="2025-03-03T00:00:00"/>
    <x v="1"/>
    <x v="3"/>
    <x v="0"/>
    <x v="0"/>
    <x v="27"/>
    <x v="1"/>
    <x v="8"/>
    <x v="1"/>
  </r>
  <r>
    <x v="1610"/>
    <x v="8"/>
    <x v="2"/>
    <n v="24.1"/>
    <x v="1289"/>
    <d v="2025-03-01T00:00:00"/>
    <d v="2025-03-02T00:00:00"/>
    <x v="1"/>
    <x v="0"/>
    <x v="2"/>
    <x v="0"/>
    <x v="34"/>
    <x v="3"/>
    <x v="8"/>
    <x v="1"/>
  </r>
  <r>
    <x v="1611"/>
    <x v="6"/>
    <x v="9"/>
    <n v="52.3"/>
    <x v="1290"/>
    <d v="2025-03-01T00:00:00"/>
    <d v="2025-03-02T00:00:00"/>
    <x v="1"/>
    <x v="2"/>
    <x v="0"/>
    <x v="0"/>
    <x v="3"/>
    <x v="3"/>
    <x v="8"/>
    <x v="1"/>
  </r>
  <r>
    <x v="1612"/>
    <x v="12"/>
    <x v="12"/>
    <n v="68.8"/>
    <x v="1291"/>
    <d v="2025-03-01T00:00:00"/>
    <d v="2025-03-05T00:00:00"/>
    <x v="2"/>
    <x v="4"/>
    <x v="2"/>
    <x v="0"/>
    <x v="3"/>
    <x v="5"/>
    <x v="8"/>
    <x v="2"/>
  </r>
  <r>
    <x v="1613"/>
    <x v="2"/>
    <x v="1"/>
    <n v="128.80000000000001"/>
    <x v="1292"/>
    <d v="2025-03-02T00:00:00"/>
    <d v="2025-03-05T00:00:00"/>
    <x v="2"/>
    <x v="1"/>
    <x v="1"/>
    <x v="0"/>
    <x v="3"/>
    <x v="2"/>
    <x v="9"/>
    <x v="2"/>
  </r>
  <r>
    <x v="1614"/>
    <x v="15"/>
    <x v="9"/>
    <n v="48.2"/>
    <x v="1044"/>
    <d v="2025-03-02T00:00:00"/>
    <d v="2025-03-04T00:00:00"/>
    <x v="2"/>
    <x v="3"/>
    <x v="0"/>
    <x v="0"/>
    <x v="3"/>
    <x v="1"/>
    <x v="9"/>
    <x v="2"/>
  </r>
  <r>
    <x v="1615"/>
    <x v="10"/>
    <x v="0"/>
    <n v="39.700000000000003"/>
    <x v="144"/>
    <d v="2025-03-02T00:00:00"/>
    <d v="2025-03-04T00:00:00"/>
    <x v="2"/>
    <x v="0"/>
    <x v="1"/>
    <x v="0"/>
    <x v="3"/>
    <x v="1"/>
    <x v="9"/>
    <x v="2"/>
  </r>
  <r>
    <x v="1616"/>
    <x v="9"/>
    <x v="0"/>
    <n v="59.7"/>
    <x v="1201"/>
    <d v="2025-03-02T00:00:00"/>
    <d v="2025-03-05T00:00:00"/>
    <x v="2"/>
    <x v="4"/>
    <x v="0"/>
    <x v="0"/>
    <x v="3"/>
    <x v="2"/>
    <x v="9"/>
    <x v="2"/>
  </r>
  <r>
    <x v="1617"/>
    <x v="6"/>
    <x v="0"/>
    <n v="48.3"/>
    <x v="1293"/>
    <d v="2025-03-02T00:00:00"/>
    <d v="2025-03-16T00:00:00"/>
    <x v="3"/>
    <x v="0"/>
    <x v="2"/>
    <x v="0"/>
    <x v="3"/>
    <x v="12"/>
    <x v="9"/>
    <x v="3"/>
  </r>
  <r>
    <x v="1618"/>
    <x v="8"/>
    <x v="2"/>
    <n v="45.5"/>
    <x v="1294"/>
    <d v="2025-03-02T00:00:00"/>
    <d v="2025-03-04T00:00:00"/>
    <x v="1"/>
    <x v="2"/>
    <x v="1"/>
    <x v="0"/>
    <x v="3"/>
    <x v="1"/>
    <x v="9"/>
    <x v="1"/>
  </r>
  <r>
    <x v="1619"/>
    <x v="9"/>
    <x v="6"/>
    <n v="51"/>
    <x v="1295"/>
    <d v="2025-03-02T00:00:00"/>
    <d v="2025-03-02T00:00:00"/>
    <x v="2"/>
    <x v="2"/>
    <x v="0"/>
    <x v="0"/>
    <x v="3"/>
    <x v="7"/>
    <x v="9"/>
    <x v="2"/>
  </r>
  <r>
    <x v="1620"/>
    <x v="4"/>
    <x v="13"/>
    <n v="20.399999999999999"/>
    <x v="1296"/>
    <d v="2025-03-02T00:00:00"/>
    <d v="2025-03-03T00:00:00"/>
    <x v="1"/>
    <x v="2"/>
    <x v="0"/>
    <x v="0"/>
    <x v="3"/>
    <x v="3"/>
    <x v="9"/>
    <x v="1"/>
  </r>
  <r>
    <x v="1621"/>
    <x v="10"/>
    <x v="1"/>
    <n v="30.4"/>
    <x v="1297"/>
    <d v="2025-03-02T00:00:00"/>
    <d v="2025-03-04T00:00:00"/>
    <x v="1"/>
    <x v="2"/>
    <x v="0"/>
    <x v="0"/>
    <x v="3"/>
    <x v="1"/>
    <x v="9"/>
    <x v="1"/>
  </r>
  <r>
    <x v="1622"/>
    <x v="7"/>
    <x v="1"/>
    <n v="71.5"/>
    <x v="1298"/>
    <d v="2025-03-02T00:00:00"/>
    <d v="2025-03-06T00:00:00"/>
    <x v="2"/>
    <x v="0"/>
    <x v="0"/>
    <x v="0"/>
    <x v="3"/>
    <x v="5"/>
    <x v="9"/>
    <x v="2"/>
  </r>
  <r>
    <x v="1623"/>
    <x v="8"/>
    <x v="13"/>
    <n v="18"/>
    <x v="807"/>
    <d v="2025-03-02T00:00:00"/>
    <d v="2025-03-03T00:00:00"/>
    <x v="3"/>
    <x v="1"/>
    <x v="2"/>
    <x v="0"/>
    <x v="6"/>
    <x v="3"/>
    <x v="9"/>
    <x v="3"/>
  </r>
  <r>
    <x v="1624"/>
    <x v="15"/>
    <x v="5"/>
    <n v="45.6"/>
    <x v="1299"/>
    <d v="2025-03-02T00:00:00"/>
    <d v="2025-03-03T00:00:00"/>
    <x v="3"/>
    <x v="1"/>
    <x v="1"/>
    <x v="0"/>
    <x v="7"/>
    <x v="3"/>
    <x v="9"/>
    <x v="3"/>
  </r>
  <r>
    <x v="1625"/>
    <x v="9"/>
    <x v="0"/>
    <n v="31.8"/>
    <x v="627"/>
    <d v="2025-03-02T00:00:00"/>
    <d v="2025-03-06T00:00:00"/>
    <x v="2"/>
    <x v="0"/>
    <x v="2"/>
    <x v="0"/>
    <x v="7"/>
    <x v="5"/>
    <x v="9"/>
    <x v="2"/>
  </r>
  <r>
    <x v="1626"/>
    <x v="8"/>
    <x v="9"/>
    <n v="19.899999999999999"/>
    <x v="1300"/>
    <d v="2025-03-02T00:00:00"/>
    <d v="2025-03-03T00:00:00"/>
    <x v="2"/>
    <x v="1"/>
    <x v="0"/>
    <x v="0"/>
    <x v="7"/>
    <x v="3"/>
    <x v="9"/>
    <x v="2"/>
  </r>
  <r>
    <x v="1627"/>
    <x v="12"/>
    <x v="11"/>
    <n v="52.1"/>
    <x v="1301"/>
    <d v="2025-03-02T00:00:00"/>
    <d v="2025-03-04T00:00:00"/>
    <x v="1"/>
    <x v="0"/>
    <x v="0"/>
    <x v="0"/>
    <x v="8"/>
    <x v="1"/>
    <x v="9"/>
    <x v="1"/>
  </r>
  <r>
    <x v="1628"/>
    <x v="1"/>
    <x v="3"/>
    <n v="45.9"/>
    <x v="1198"/>
    <d v="2025-03-02T00:00:00"/>
    <d v="2025-03-03T00:00:00"/>
    <x v="1"/>
    <x v="0"/>
    <x v="1"/>
    <x v="0"/>
    <x v="8"/>
    <x v="3"/>
    <x v="9"/>
    <x v="1"/>
  </r>
  <r>
    <x v="1629"/>
    <x v="1"/>
    <x v="7"/>
    <n v="115.9"/>
    <x v="1302"/>
    <d v="2025-03-02T00:00:00"/>
    <d v="2025-03-05T00:00:00"/>
    <x v="2"/>
    <x v="1"/>
    <x v="0"/>
    <x v="0"/>
    <x v="8"/>
    <x v="2"/>
    <x v="9"/>
    <x v="2"/>
  </r>
  <r>
    <x v="1630"/>
    <x v="6"/>
    <x v="11"/>
    <n v="86"/>
    <x v="1303"/>
    <d v="2025-03-02T00:00:00"/>
    <d v="2025-03-07T00:00:00"/>
    <x v="2"/>
    <x v="0"/>
    <x v="1"/>
    <x v="0"/>
    <x v="8"/>
    <x v="0"/>
    <x v="9"/>
    <x v="2"/>
  </r>
  <r>
    <x v="1631"/>
    <x v="7"/>
    <x v="3"/>
    <n v="73.599999999999994"/>
    <x v="1304"/>
    <d v="2025-03-02T00:00:00"/>
    <d v="2025-03-04T00:00:00"/>
    <x v="2"/>
    <x v="0"/>
    <x v="0"/>
    <x v="0"/>
    <x v="17"/>
    <x v="1"/>
    <x v="9"/>
    <x v="2"/>
  </r>
  <r>
    <x v="1632"/>
    <x v="10"/>
    <x v="2"/>
    <n v="26.7"/>
    <x v="1133"/>
    <d v="2025-03-02T00:00:00"/>
    <d v="2025-03-06T00:00:00"/>
    <x v="2"/>
    <x v="0"/>
    <x v="0"/>
    <x v="0"/>
    <x v="11"/>
    <x v="5"/>
    <x v="9"/>
    <x v="2"/>
  </r>
  <r>
    <x v="1633"/>
    <x v="8"/>
    <x v="3"/>
    <n v="46.6"/>
    <x v="1305"/>
    <d v="2025-03-02T00:00:00"/>
    <d v="2025-03-04T00:00:00"/>
    <x v="0"/>
    <x v="3"/>
    <x v="0"/>
    <x v="0"/>
    <x v="11"/>
    <x v="1"/>
    <x v="9"/>
    <x v="0"/>
  </r>
  <r>
    <x v="1634"/>
    <x v="3"/>
    <x v="2"/>
    <n v="84.6"/>
    <x v="1306"/>
    <d v="2025-03-02T00:00:00"/>
    <d v="2025-03-04T00:00:00"/>
    <x v="1"/>
    <x v="4"/>
    <x v="0"/>
    <x v="0"/>
    <x v="11"/>
    <x v="1"/>
    <x v="9"/>
    <x v="1"/>
  </r>
  <r>
    <x v="1635"/>
    <x v="7"/>
    <x v="21"/>
    <n v="41.5"/>
    <x v="1307"/>
    <d v="2025-03-02T00:00:00"/>
    <d v="2025-03-16T00:00:00"/>
    <x v="1"/>
    <x v="1"/>
    <x v="0"/>
    <x v="0"/>
    <x v="53"/>
    <x v="12"/>
    <x v="9"/>
    <x v="1"/>
  </r>
  <r>
    <x v="1636"/>
    <x v="8"/>
    <x v="0"/>
    <n v="32.799999999999997"/>
    <x v="944"/>
    <d v="2025-03-02T00:00:00"/>
    <d v="2025-03-05T00:00:00"/>
    <x v="1"/>
    <x v="0"/>
    <x v="2"/>
    <x v="0"/>
    <x v="30"/>
    <x v="2"/>
    <x v="9"/>
    <x v="1"/>
  </r>
  <r>
    <x v="1637"/>
    <x v="4"/>
    <x v="3"/>
    <n v="46.7"/>
    <x v="1308"/>
    <d v="2025-03-02T00:00:00"/>
    <d v="2025-03-04T00:00:00"/>
    <x v="3"/>
    <x v="0"/>
    <x v="2"/>
    <x v="0"/>
    <x v="18"/>
    <x v="1"/>
    <x v="9"/>
    <x v="3"/>
  </r>
  <r>
    <x v="1638"/>
    <x v="15"/>
    <x v="3"/>
    <n v="21"/>
    <x v="926"/>
    <d v="2025-03-02T00:00:00"/>
    <d v="2025-03-05T00:00:00"/>
    <x v="1"/>
    <x v="2"/>
    <x v="1"/>
    <x v="0"/>
    <x v="21"/>
    <x v="2"/>
    <x v="9"/>
    <x v="1"/>
  </r>
  <r>
    <x v="1639"/>
    <x v="5"/>
    <x v="3"/>
    <n v="29.4"/>
    <x v="43"/>
    <d v="2025-03-02T00:00:00"/>
    <d v="2025-03-02T00:00:00"/>
    <x v="1"/>
    <x v="3"/>
    <x v="2"/>
    <x v="0"/>
    <x v="21"/>
    <x v="7"/>
    <x v="9"/>
    <x v="1"/>
  </r>
  <r>
    <x v="1640"/>
    <x v="15"/>
    <x v="1"/>
    <n v="32.299999999999997"/>
    <x v="1099"/>
    <d v="2025-03-02T00:00:00"/>
    <d v="2025-03-03T00:00:00"/>
    <x v="1"/>
    <x v="0"/>
    <x v="2"/>
    <x v="0"/>
    <x v="21"/>
    <x v="3"/>
    <x v="9"/>
    <x v="1"/>
  </r>
  <r>
    <x v="1641"/>
    <x v="6"/>
    <x v="0"/>
    <n v="42.2"/>
    <x v="1283"/>
    <d v="2025-03-03T00:00:00"/>
    <d v="2025-03-05T00:00:00"/>
    <x v="2"/>
    <x v="0"/>
    <x v="2"/>
    <x v="0"/>
    <x v="21"/>
    <x v="1"/>
    <x v="9"/>
    <x v="2"/>
  </r>
  <r>
    <x v="1642"/>
    <x v="6"/>
    <x v="0"/>
    <n v="53.7"/>
    <x v="1309"/>
    <d v="2025-03-03T00:00:00"/>
    <d v="2025-03-05T00:00:00"/>
    <x v="1"/>
    <x v="1"/>
    <x v="1"/>
    <x v="0"/>
    <x v="1"/>
    <x v="1"/>
    <x v="9"/>
    <x v="1"/>
  </r>
  <r>
    <x v="1643"/>
    <x v="2"/>
    <x v="1"/>
    <n v="123.9"/>
    <x v="1310"/>
    <d v="2025-03-03T00:00:00"/>
    <d v="2025-03-06T00:00:00"/>
    <x v="1"/>
    <x v="2"/>
    <x v="0"/>
    <x v="0"/>
    <x v="1"/>
    <x v="2"/>
    <x v="9"/>
    <x v="1"/>
  </r>
  <r>
    <x v="1644"/>
    <x v="4"/>
    <x v="2"/>
    <n v="35.9"/>
    <x v="1311"/>
    <d v="2025-03-03T00:00:00"/>
    <d v="2025-03-05T00:00:00"/>
    <x v="1"/>
    <x v="2"/>
    <x v="0"/>
    <x v="0"/>
    <x v="22"/>
    <x v="1"/>
    <x v="9"/>
    <x v="1"/>
  </r>
  <r>
    <x v="1645"/>
    <x v="4"/>
    <x v="1"/>
    <n v="23.6"/>
    <x v="828"/>
    <d v="2025-03-03T00:00:00"/>
    <d v="2025-03-06T00:00:00"/>
    <x v="1"/>
    <x v="0"/>
    <x v="2"/>
    <x v="0"/>
    <x v="3"/>
    <x v="2"/>
    <x v="9"/>
    <x v="1"/>
  </r>
  <r>
    <x v="1646"/>
    <x v="15"/>
    <x v="36"/>
    <n v="45.7"/>
    <x v="1312"/>
    <d v="2025-03-03T00:00:00"/>
    <d v="2025-03-04T00:00:00"/>
    <x v="1"/>
    <x v="0"/>
    <x v="1"/>
    <x v="0"/>
    <x v="3"/>
    <x v="3"/>
    <x v="9"/>
    <x v="1"/>
  </r>
  <r>
    <x v="1647"/>
    <x v="6"/>
    <x v="5"/>
    <n v="118.3"/>
    <x v="1313"/>
    <d v="2025-03-03T00:00:00"/>
    <d v="2025-03-05T00:00:00"/>
    <x v="1"/>
    <x v="4"/>
    <x v="2"/>
    <x v="0"/>
    <x v="3"/>
    <x v="1"/>
    <x v="9"/>
    <x v="1"/>
  </r>
  <r>
    <x v="1648"/>
    <x v="19"/>
    <x v="0"/>
    <n v="36"/>
    <x v="53"/>
    <d v="2025-03-03T00:00:00"/>
    <d v="2025-03-04T00:00:00"/>
    <x v="2"/>
    <x v="0"/>
    <x v="1"/>
    <x v="0"/>
    <x v="3"/>
    <x v="3"/>
    <x v="9"/>
    <x v="2"/>
  </r>
  <r>
    <x v="1649"/>
    <x v="8"/>
    <x v="1"/>
    <n v="37.1"/>
    <x v="1314"/>
    <d v="2025-03-03T00:00:00"/>
    <d v="2025-03-06T00:00:00"/>
    <x v="2"/>
    <x v="2"/>
    <x v="0"/>
    <x v="0"/>
    <x v="3"/>
    <x v="2"/>
    <x v="9"/>
    <x v="2"/>
  </r>
  <r>
    <x v="1650"/>
    <x v="18"/>
    <x v="2"/>
    <n v="45.1"/>
    <x v="246"/>
    <d v="2025-03-03T00:00:00"/>
    <d v="2025-03-05T00:00:00"/>
    <x v="2"/>
    <x v="1"/>
    <x v="2"/>
    <x v="0"/>
    <x v="3"/>
    <x v="1"/>
    <x v="9"/>
    <x v="2"/>
  </r>
  <r>
    <x v="1651"/>
    <x v="5"/>
    <x v="27"/>
    <n v="37.9"/>
    <x v="1315"/>
    <d v="2025-03-03T00:00:00"/>
    <d v="2025-03-04T00:00:00"/>
    <x v="2"/>
    <x v="3"/>
    <x v="2"/>
    <x v="0"/>
    <x v="3"/>
    <x v="3"/>
    <x v="9"/>
    <x v="2"/>
  </r>
  <r>
    <x v="1652"/>
    <x v="2"/>
    <x v="1"/>
    <n v="121.6"/>
    <x v="1316"/>
    <d v="2025-03-03T00:00:00"/>
    <d v="2025-03-06T00:00:00"/>
    <x v="1"/>
    <x v="3"/>
    <x v="2"/>
    <x v="0"/>
    <x v="3"/>
    <x v="2"/>
    <x v="9"/>
    <x v="1"/>
  </r>
  <r>
    <x v="1653"/>
    <x v="5"/>
    <x v="3"/>
    <n v="38.200000000000003"/>
    <x v="1317"/>
    <d v="2025-03-03T00:00:00"/>
    <d v="2025-03-06T00:00:00"/>
    <x v="2"/>
    <x v="0"/>
    <x v="0"/>
    <x v="0"/>
    <x v="3"/>
    <x v="2"/>
    <x v="9"/>
    <x v="2"/>
  </r>
  <r>
    <x v="1654"/>
    <x v="17"/>
    <x v="1"/>
    <n v="37.200000000000003"/>
    <x v="610"/>
    <d v="2025-03-03T00:00:00"/>
    <d v="2025-03-06T00:00:00"/>
    <x v="1"/>
    <x v="4"/>
    <x v="0"/>
    <x v="0"/>
    <x v="3"/>
    <x v="2"/>
    <x v="9"/>
    <x v="1"/>
  </r>
  <r>
    <x v="1655"/>
    <x v="2"/>
    <x v="12"/>
    <n v="115.7"/>
    <x v="1318"/>
    <d v="2025-03-03T00:00:00"/>
    <d v="2025-03-06T00:00:00"/>
    <x v="2"/>
    <x v="1"/>
    <x v="0"/>
    <x v="0"/>
    <x v="3"/>
    <x v="2"/>
    <x v="9"/>
    <x v="2"/>
  </r>
  <r>
    <x v="1656"/>
    <x v="2"/>
    <x v="13"/>
    <n v="99.4"/>
    <x v="1319"/>
    <d v="2025-03-03T00:00:00"/>
    <d v="2025-03-06T00:00:00"/>
    <x v="1"/>
    <x v="0"/>
    <x v="2"/>
    <x v="0"/>
    <x v="3"/>
    <x v="2"/>
    <x v="9"/>
    <x v="1"/>
  </r>
  <r>
    <x v="1657"/>
    <x v="11"/>
    <x v="0"/>
    <n v="38.700000000000003"/>
    <x v="1320"/>
    <d v="2025-03-03T00:00:00"/>
    <d v="2025-03-04T00:00:00"/>
    <x v="2"/>
    <x v="2"/>
    <x v="0"/>
    <x v="0"/>
    <x v="25"/>
    <x v="3"/>
    <x v="9"/>
    <x v="2"/>
  </r>
  <r>
    <x v="1658"/>
    <x v="4"/>
    <x v="1"/>
    <n v="35.5"/>
    <x v="1321"/>
    <d v="2025-03-03T00:00:00"/>
    <d v="2025-03-06T00:00:00"/>
    <x v="1"/>
    <x v="0"/>
    <x v="2"/>
    <x v="0"/>
    <x v="25"/>
    <x v="2"/>
    <x v="9"/>
    <x v="1"/>
  </r>
  <r>
    <x v="1659"/>
    <x v="2"/>
    <x v="12"/>
    <n v="93.3"/>
    <x v="1322"/>
    <d v="2025-03-03T00:00:00"/>
    <d v="2025-03-06T00:00:00"/>
    <x v="2"/>
    <x v="0"/>
    <x v="2"/>
    <x v="0"/>
    <x v="6"/>
    <x v="2"/>
    <x v="9"/>
    <x v="2"/>
  </r>
  <r>
    <x v="1660"/>
    <x v="16"/>
    <x v="0"/>
    <n v="31.4"/>
    <x v="1323"/>
    <d v="2025-03-03T00:00:00"/>
    <d v="2025-03-08T00:00:00"/>
    <x v="2"/>
    <x v="2"/>
    <x v="2"/>
    <x v="0"/>
    <x v="6"/>
    <x v="0"/>
    <x v="9"/>
    <x v="2"/>
  </r>
  <r>
    <x v="1661"/>
    <x v="1"/>
    <x v="0"/>
    <n v="85.9"/>
    <x v="1324"/>
    <d v="2025-03-03T00:00:00"/>
    <d v="2025-03-06T00:00:00"/>
    <x v="1"/>
    <x v="1"/>
    <x v="0"/>
    <x v="0"/>
    <x v="6"/>
    <x v="2"/>
    <x v="9"/>
    <x v="1"/>
  </r>
  <r>
    <x v="1662"/>
    <x v="6"/>
    <x v="8"/>
    <n v="41.7"/>
    <x v="335"/>
    <d v="2025-03-03T00:00:00"/>
    <d v="2025-03-11T00:00:00"/>
    <x v="1"/>
    <x v="0"/>
    <x v="2"/>
    <x v="0"/>
    <x v="7"/>
    <x v="9"/>
    <x v="9"/>
    <x v="1"/>
  </r>
  <r>
    <x v="1663"/>
    <x v="8"/>
    <x v="12"/>
    <n v="31.5"/>
    <x v="624"/>
    <d v="2025-03-03T00:00:00"/>
    <d v="2025-03-04T00:00:00"/>
    <x v="2"/>
    <x v="0"/>
    <x v="0"/>
    <x v="0"/>
    <x v="7"/>
    <x v="3"/>
    <x v="9"/>
    <x v="2"/>
  </r>
  <r>
    <x v="1664"/>
    <x v="8"/>
    <x v="1"/>
    <n v="36.299999999999997"/>
    <x v="1325"/>
    <d v="2025-03-03T00:00:00"/>
    <d v="2025-03-04T00:00:00"/>
    <x v="2"/>
    <x v="0"/>
    <x v="4"/>
    <x v="0"/>
    <x v="8"/>
    <x v="3"/>
    <x v="9"/>
    <x v="2"/>
  </r>
  <r>
    <x v="1665"/>
    <x v="8"/>
    <x v="2"/>
    <n v="33.4"/>
    <x v="1326"/>
    <d v="2025-03-03T00:00:00"/>
    <d v="2025-03-04T00:00:00"/>
    <x v="2"/>
    <x v="3"/>
    <x v="0"/>
    <x v="0"/>
    <x v="17"/>
    <x v="3"/>
    <x v="9"/>
    <x v="2"/>
  </r>
  <r>
    <x v="1666"/>
    <x v="2"/>
    <x v="2"/>
    <n v="65.2"/>
    <x v="1327"/>
    <d v="2025-03-03T00:00:00"/>
    <d v="2025-03-04T00:00:00"/>
    <x v="2"/>
    <x v="2"/>
    <x v="2"/>
    <x v="0"/>
    <x v="26"/>
    <x v="3"/>
    <x v="9"/>
    <x v="2"/>
  </r>
  <r>
    <x v="1667"/>
    <x v="8"/>
    <x v="11"/>
    <n v="65.5"/>
    <x v="1328"/>
    <d v="2025-03-03T00:00:00"/>
    <d v="2025-03-06T00:00:00"/>
    <x v="2"/>
    <x v="0"/>
    <x v="2"/>
    <x v="0"/>
    <x v="9"/>
    <x v="2"/>
    <x v="9"/>
    <x v="2"/>
  </r>
  <r>
    <x v="1668"/>
    <x v="6"/>
    <x v="2"/>
    <n v="52.8"/>
    <x v="1329"/>
    <d v="2025-03-03T00:00:00"/>
    <d v="2025-03-06T00:00:00"/>
    <x v="1"/>
    <x v="2"/>
    <x v="0"/>
    <x v="0"/>
    <x v="9"/>
    <x v="2"/>
    <x v="9"/>
    <x v="1"/>
  </r>
  <r>
    <x v="1669"/>
    <x v="9"/>
    <x v="9"/>
    <n v="24"/>
    <x v="160"/>
    <d v="2025-03-03T00:00:00"/>
    <d v="2025-03-07T00:00:00"/>
    <x v="1"/>
    <x v="0"/>
    <x v="1"/>
    <x v="0"/>
    <x v="11"/>
    <x v="5"/>
    <x v="9"/>
    <x v="1"/>
  </r>
  <r>
    <x v="1670"/>
    <x v="3"/>
    <x v="2"/>
    <n v="51.2"/>
    <x v="1330"/>
    <d v="2025-03-03T00:00:00"/>
    <d v="2025-03-04T00:00:00"/>
    <x v="2"/>
    <x v="0"/>
    <x v="0"/>
    <x v="0"/>
    <x v="32"/>
    <x v="3"/>
    <x v="9"/>
    <x v="2"/>
  </r>
  <r>
    <x v="1671"/>
    <x v="5"/>
    <x v="2"/>
    <n v="28.3"/>
    <x v="1331"/>
    <d v="2025-03-03T00:00:00"/>
    <d v="2025-03-05T00:00:00"/>
    <x v="1"/>
    <x v="4"/>
    <x v="0"/>
    <x v="0"/>
    <x v="19"/>
    <x v="1"/>
    <x v="9"/>
    <x v="1"/>
  </r>
  <r>
    <x v="1672"/>
    <x v="6"/>
    <x v="2"/>
    <n v="42.3"/>
    <x v="1332"/>
    <d v="2025-03-03T00:00:00"/>
    <d v="2025-03-03T00:00:00"/>
    <x v="2"/>
    <x v="2"/>
    <x v="1"/>
    <x v="0"/>
    <x v="19"/>
    <x v="7"/>
    <x v="9"/>
    <x v="2"/>
  </r>
  <r>
    <x v="1673"/>
    <x v="2"/>
    <x v="8"/>
    <n v="163.30000000000001"/>
    <x v="1333"/>
    <d v="2025-03-04T00:00:00"/>
    <d v="2025-03-05T00:00:00"/>
    <x v="2"/>
    <x v="1"/>
    <x v="0"/>
    <x v="0"/>
    <x v="13"/>
    <x v="3"/>
    <x v="9"/>
    <x v="2"/>
  </r>
  <r>
    <x v="1674"/>
    <x v="6"/>
    <x v="3"/>
    <n v="47.3"/>
    <x v="1334"/>
    <d v="2025-03-04T00:00:00"/>
    <d v="2025-03-07T00:00:00"/>
    <x v="2"/>
    <x v="4"/>
    <x v="1"/>
    <x v="0"/>
    <x v="21"/>
    <x v="2"/>
    <x v="9"/>
    <x v="2"/>
  </r>
  <r>
    <x v="1675"/>
    <x v="8"/>
    <x v="27"/>
    <n v="27.3"/>
    <x v="1335"/>
    <d v="2025-03-04T00:00:00"/>
    <d v="2025-03-05T00:00:00"/>
    <x v="2"/>
    <x v="2"/>
    <x v="0"/>
    <x v="0"/>
    <x v="21"/>
    <x v="3"/>
    <x v="9"/>
    <x v="2"/>
  </r>
  <r>
    <x v="1676"/>
    <x v="10"/>
    <x v="13"/>
    <n v="34.9"/>
    <x v="1336"/>
    <d v="2025-03-04T00:00:00"/>
    <d v="2025-03-15T00:00:00"/>
    <x v="2"/>
    <x v="0"/>
    <x v="0"/>
    <x v="0"/>
    <x v="21"/>
    <x v="11"/>
    <x v="9"/>
    <x v="2"/>
  </r>
  <r>
    <x v="1677"/>
    <x v="6"/>
    <x v="1"/>
    <n v="53.9"/>
    <x v="215"/>
    <d v="2025-03-04T00:00:00"/>
    <d v="2025-03-07T00:00:00"/>
    <x v="3"/>
    <x v="0"/>
    <x v="4"/>
    <x v="0"/>
    <x v="1"/>
    <x v="2"/>
    <x v="9"/>
    <x v="3"/>
  </r>
  <r>
    <x v="1678"/>
    <x v="2"/>
    <x v="1"/>
    <n v="87.2"/>
    <x v="1337"/>
    <d v="2025-03-04T00:00:00"/>
    <d v="2025-03-05T00:00:00"/>
    <x v="2"/>
    <x v="0"/>
    <x v="1"/>
    <x v="0"/>
    <x v="1"/>
    <x v="3"/>
    <x v="9"/>
    <x v="2"/>
  </r>
  <r>
    <x v="1679"/>
    <x v="15"/>
    <x v="0"/>
    <n v="58.8"/>
    <x v="572"/>
    <d v="2025-03-04T00:00:00"/>
    <d v="2025-03-06T00:00:00"/>
    <x v="2"/>
    <x v="2"/>
    <x v="0"/>
    <x v="0"/>
    <x v="44"/>
    <x v="1"/>
    <x v="9"/>
    <x v="2"/>
  </r>
  <r>
    <x v="1680"/>
    <x v="2"/>
    <x v="3"/>
    <n v="125.5"/>
    <x v="1338"/>
    <d v="2025-03-04T00:00:00"/>
    <d v="2025-03-05T00:00:00"/>
    <x v="1"/>
    <x v="2"/>
    <x v="4"/>
    <x v="0"/>
    <x v="22"/>
    <x v="3"/>
    <x v="9"/>
    <x v="1"/>
  </r>
  <r>
    <x v="1681"/>
    <x v="1"/>
    <x v="12"/>
    <n v="124.6"/>
    <x v="1339"/>
    <d v="2025-03-04T00:00:00"/>
    <d v="2025-03-06T00:00:00"/>
    <x v="2"/>
    <x v="0"/>
    <x v="1"/>
    <x v="0"/>
    <x v="22"/>
    <x v="1"/>
    <x v="9"/>
    <x v="2"/>
  </r>
  <r>
    <x v="1682"/>
    <x v="1"/>
    <x v="3"/>
    <n v="39.9"/>
    <x v="1340"/>
    <d v="2025-03-04T00:00:00"/>
    <d v="2025-03-05T00:00:00"/>
    <x v="1"/>
    <x v="2"/>
    <x v="1"/>
    <x v="0"/>
    <x v="3"/>
    <x v="3"/>
    <x v="9"/>
    <x v="1"/>
  </r>
  <r>
    <x v="1683"/>
    <x v="6"/>
    <x v="0"/>
    <n v="94.6"/>
    <x v="422"/>
    <d v="2025-03-04T00:00:00"/>
    <d v="2025-03-18T00:00:00"/>
    <x v="2"/>
    <x v="0"/>
    <x v="1"/>
    <x v="0"/>
    <x v="3"/>
    <x v="12"/>
    <x v="9"/>
    <x v="2"/>
  </r>
  <r>
    <x v="1684"/>
    <x v="2"/>
    <x v="1"/>
    <n v="149.6"/>
    <x v="1341"/>
    <d v="2025-03-04T00:00:00"/>
    <d v="2025-03-05T00:00:00"/>
    <x v="2"/>
    <x v="0"/>
    <x v="0"/>
    <x v="0"/>
    <x v="3"/>
    <x v="3"/>
    <x v="9"/>
    <x v="2"/>
  </r>
  <r>
    <x v="1685"/>
    <x v="8"/>
    <x v="0"/>
    <n v="52.2"/>
    <x v="1342"/>
    <d v="2025-03-04T00:00:00"/>
    <d v="2025-03-05T00:00:00"/>
    <x v="0"/>
    <x v="1"/>
    <x v="0"/>
    <x v="0"/>
    <x v="3"/>
    <x v="3"/>
    <x v="9"/>
    <x v="0"/>
  </r>
  <r>
    <x v="1686"/>
    <x v="6"/>
    <x v="1"/>
    <n v="96.5"/>
    <x v="1343"/>
    <d v="2025-03-04T00:00:00"/>
    <d v="2025-03-05T00:00:00"/>
    <x v="2"/>
    <x v="1"/>
    <x v="1"/>
    <x v="0"/>
    <x v="3"/>
    <x v="3"/>
    <x v="9"/>
    <x v="2"/>
  </r>
  <r>
    <x v="1687"/>
    <x v="8"/>
    <x v="1"/>
    <n v="79.8"/>
    <x v="1344"/>
    <d v="2025-03-04T00:00:00"/>
    <d v="2025-03-06T00:00:00"/>
    <x v="2"/>
    <x v="0"/>
    <x v="1"/>
    <x v="0"/>
    <x v="3"/>
    <x v="1"/>
    <x v="9"/>
    <x v="2"/>
  </r>
  <r>
    <x v="1688"/>
    <x v="8"/>
    <x v="2"/>
    <n v="35.6"/>
    <x v="694"/>
    <d v="2025-03-04T00:00:00"/>
    <d v="2025-03-05T00:00:00"/>
    <x v="2"/>
    <x v="2"/>
    <x v="0"/>
    <x v="0"/>
    <x v="3"/>
    <x v="3"/>
    <x v="9"/>
    <x v="2"/>
  </r>
  <r>
    <x v="1689"/>
    <x v="16"/>
    <x v="0"/>
    <n v="50.2"/>
    <x v="486"/>
    <d v="2025-03-04T00:00:00"/>
    <d v="2025-03-05T00:00:00"/>
    <x v="2"/>
    <x v="1"/>
    <x v="2"/>
    <x v="0"/>
    <x v="3"/>
    <x v="3"/>
    <x v="9"/>
    <x v="2"/>
  </r>
  <r>
    <x v="1690"/>
    <x v="1"/>
    <x v="2"/>
    <n v="55.3"/>
    <x v="1345"/>
    <d v="2025-03-04T00:00:00"/>
    <d v="2025-03-07T00:00:00"/>
    <x v="2"/>
    <x v="0"/>
    <x v="4"/>
    <x v="0"/>
    <x v="40"/>
    <x v="2"/>
    <x v="9"/>
    <x v="2"/>
  </r>
  <r>
    <x v="1691"/>
    <x v="6"/>
    <x v="3"/>
    <n v="104.5"/>
    <x v="1346"/>
    <d v="2025-03-04T00:00:00"/>
    <d v="2025-03-08T00:00:00"/>
    <x v="2"/>
    <x v="1"/>
    <x v="0"/>
    <x v="0"/>
    <x v="7"/>
    <x v="5"/>
    <x v="9"/>
    <x v="2"/>
  </r>
  <r>
    <x v="1692"/>
    <x v="6"/>
    <x v="12"/>
    <n v="66.5"/>
    <x v="751"/>
    <d v="2025-03-04T00:00:00"/>
    <d v="2025-03-06T00:00:00"/>
    <x v="1"/>
    <x v="1"/>
    <x v="0"/>
    <x v="0"/>
    <x v="7"/>
    <x v="1"/>
    <x v="9"/>
    <x v="1"/>
  </r>
  <r>
    <x v="1693"/>
    <x v="10"/>
    <x v="8"/>
    <n v="38.299999999999997"/>
    <x v="1347"/>
    <d v="2025-03-04T00:00:00"/>
    <d v="2025-03-05T00:00:00"/>
    <x v="2"/>
    <x v="0"/>
    <x v="0"/>
    <x v="0"/>
    <x v="7"/>
    <x v="3"/>
    <x v="9"/>
    <x v="2"/>
  </r>
  <r>
    <x v="1694"/>
    <x v="6"/>
    <x v="2"/>
    <n v="63.8"/>
    <x v="1348"/>
    <d v="2025-03-04T00:00:00"/>
    <d v="2025-03-07T00:00:00"/>
    <x v="2"/>
    <x v="1"/>
    <x v="0"/>
    <x v="0"/>
    <x v="8"/>
    <x v="2"/>
    <x v="9"/>
    <x v="2"/>
  </r>
  <r>
    <x v="1695"/>
    <x v="15"/>
    <x v="0"/>
    <n v="21.4"/>
    <x v="1349"/>
    <d v="2025-03-04T00:00:00"/>
    <d v="2025-03-04T00:00:00"/>
    <x v="1"/>
    <x v="4"/>
    <x v="0"/>
    <x v="0"/>
    <x v="8"/>
    <x v="7"/>
    <x v="9"/>
    <x v="1"/>
  </r>
  <r>
    <x v="1696"/>
    <x v="8"/>
    <x v="12"/>
    <n v="44.1"/>
    <x v="1350"/>
    <d v="2025-03-04T00:00:00"/>
    <d v="2025-03-06T00:00:00"/>
    <x v="2"/>
    <x v="2"/>
    <x v="0"/>
    <x v="0"/>
    <x v="8"/>
    <x v="1"/>
    <x v="9"/>
    <x v="2"/>
  </r>
  <r>
    <x v="1697"/>
    <x v="5"/>
    <x v="8"/>
    <n v="57.6"/>
    <x v="1351"/>
    <d v="2025-03-04T00:00:00"/>
    <d v="2025-03-06T00:00:00"/>
    <x v="1"/>
    <x v="1"/>
    <x v="2"/>
    <x v="0"/>
    <x v="8"/>
    <x v="1"/>
    <x v="9"/>
    <x v="1"/>
  </r>
  <r>
    <x v="1698"/>
    <x v="9"/>
    <x v="1"/>
    <n v="20.3"/>
    <x v="1352"/>
    <d v="2025-03-04T00:00:00"/>
    <d v="2025-03-10T00:00:00"/>
    <x v="2"/>
    <x v="3"/>
    <x v="0"/>
    <x v="0"/>
    <x v="8"/>
    <x v="4"/>
    <x v="9"/>
    <x v="2"/>
  </r>
  <r>
    <x v="1699"/>
    <x v="8"/>
    <x v="0"/>
    <n v="22.9"/>
    <x v="1246"/>
    <d v="2025-03-04T00:00:00"/>
    <d v="2025-03-06T00:00:00"/>
    <x v="2"/>
    <x v="2"/>
    <x v="2"/>
    <x v="0"/>
    <x v="8"/>
    <x v="1"/>
    <x v="9"/>
    <x v="2"/>
  </r>
  <r>
    <x v="1700"/>
    <x v="6"/>
    <x v="12"/>
    <n v="105.9"/>
    <x v="1353"/>
    <d v="2025-03-04T00:00:00"/>
    <d v="2025-03-05T00:00:00"/>
    <x v="2"/>
    <x v="1"/>
    <x v="2"/>
    <x v="0"/>
    <x v="17"/>
    <x v="3"/>
    <x v="9"/>
    <x v="2"/>
  </r>
  <r>
    <x v="1701"/>
    <x v="1"/>
    <x v="11"/>
    <n v="37.4"/>
    <x v="1354"/>
    <d v="2025-03-04T00:00:00"/>
    <d v="2025-03-08T00:00:00"/>
    <x v="1"/>
    <x v="1"/>
    <x v="0"/>
    <x v="0"/>
    <x v="11"/>
    <x v="5"/>
    <x v="9"/>
    <x v="1"/>
  </r>
  <r>
    <x v="1702"/>
    <x v="18"/>
    <x v="1"/>
    <n v="79"/>
    <x v="1355"/>
    <d v="2025-03-04T00:00:00"/>
    <d v="2025-03-05T00:00:00"/>
    <x v="1"/>
    <x v="2"/>
    <x v="0"/>
    <x v="0"/>
    <x v="28"/>
    <x v="3"/>
    <x v="9"/>
    <x v="1"/>
  </r>
  <r>
    <x v="1703"/>
    <x v="0"/>
    <x v="2"/>
    <n v="19.3"/>
    <x v="1356"/>
    <d v="2025-03-04T00:00:00"/>
    <d v="2025-03-05T00:00:00"/>
    <x v="2"/>
    <x v="4"/>
    <x v="0"/>
    <x v="0"/>
    <x v="21"/>
    <x v="3"/>
    <x v="9"/>
    <x v="2"/>
  </r>
  <r>
    <x v="1704"/>
    <x v="0"/>
    <x v="0"/>
    <n v="24"/>
    <x v="835"/>
    <d v="2025-03-04T00:00:00"/>
    <d v="2025-03-05T00:00:00"/>
    <x v="2"/>
    <x v="1"/>
    <x v="0"/>
    <x v="0"/>
    <x v="1"/>
    <x v="3"/>
    <x v="9"/>
    <x v="2"/>
  </r>
  <r>
    <x v="1705"/>
    <x v="6"/>
    <x v="9"/>
    <n v="71.3"/>
    <x v="1357"/>
    <d v="2025-03-04T00:00:00"/>
    <d v="2025-03-07T00:00:00"/>
    <x v="2"/>
    <x v="2"/>
    <x v="0"/>
    <x v="0"/>
    <x v="2"/>
    <x v="2"/>
    <x v="9"/>
    <x v="2"/>
  </r>
  <r>
    <x v="1706"/>
    <x v="5"/>
    <x v="1"/>
    <n v="166.2"/>
    <x v="1358"/>
    <d v="2025-03-04T00:00:00"/>
    <d v="2025-03-05T00:00:00"/>
    <x v="1"/>
    <x v="0"/>
    <x v="2"/>
    <x v="0"/>
    <x v="50"/>
    <x v="3"/>
    <x v="9"/>
    <x v="1"/>
  </r>
  <r>
    <x v="1707"/>
    <x v="6"/>
    <x v="0"/>
    <n v="81"/>
    <x v="969"/>
    <d v="2025-03-04T00:00:00"/>
    <d v="2025-03-05T00:00:00"/>
    <x v="2"/>
    <x v="2"/>
    <x v="1"/>
    <x v="0"/>
    <x v="3"/>
    <x v="3"/>
    <x v="9"/>
    <x v="2"/>
  </r>
  <r>
    <x v="1708"/>
    <x v="10"/>
    <x v="13"/>
    <n v="38.5"/>
    <x v="1359"/>
    <d v="2025-03-04T00:00:00"/>
    <d v="2025-03-08T00:00:00"/>
    <x v="2"/>
    <x v="0"/>
    <x v="0"/>
    <x v="0"/>
    <x v="3"/>
    <x v="5"/>
    <x v="9"/>
    <x v="2"/>
  </r>
  <r>
    <x v="1709"/>
    <x v="6"/>
    <x v="0"/>
    <n v="86.1"/>
    <x v="1360"/>
    <d v="2025-03-04T00:00:00"/>
    <d v="2025-03-06T00:00:00"/>
    <x v="2"/>
    <x v="3"/>
    <x v="0"/>
    <x v="0"/>
    <x v="3"/>
    <x v="1"/>
    <x v="9"/>
    <x v="2"/>
  </r>
  <r>
    <x v="1710"/>
    <x v="2"/>
    <x v="9"/>
    <n v="51"/>
    <x v="951"/>
    <d v="2025-03-04T00:00:00"/>
    <d v="2025-03-05T00:00:00"/>
    <x v="1"/>
    <x v="0"/>
    <x v="1"/>
    <x v="0"/>
    <x v="3"/>
    <x v="3"/>
    <x v="9"/>
    <x v="1"/>
  </r>
  <r>
    <x v="1711"/>
    <x v="3"/>
    <x v="9"/>
    <n v="115.4"/>
    <x v="1361"/>
    <d v="2025-03-04T00:00:00"/>
    <d v="2025-03-05T00:00:00"/>
    <x v="1"/>
    <x v="0"/>
    <x v="0"/>
    <x v="0"/>
    <x v="3"/>
    <x v="3"/>
    <x v="9"/>
    <x v="1"/>
  </r>
  <r>
    <x v="1712"/>
    <x v="6"/>
    <x v="12"/>
    <n v="176.5"/>
    <x v="1362"/>
    <d v="2025-03-04T00:00:00"/>
    <d v="2025-03-05T00:00:00"/>
    <x v="2"/>
    <x v="2"/>
    <x v="2"/>
    <x v="0"/>
    <x v="3"/>
    <x v="3"/>
    <x v="9"/>
    <x v="2"/>
  </r>
  <r>
    <x v="1713"/>
    <x v="7"/>
    <x v="2"/>
    <n v="48.9"/>
    <x v="1363"/>
    <d v="2025-03-04T00:00:00"/>
    <d v="2025-03-05T00:00:00"/>
    <x v="1"/>
    <x v="4"/>
    <x v="0"/>
    <x v="0"/>
    <x v="3"/>
    <x v="3"/>
    <x v="9"/>
    <x v="1"/>
  </r>
  <r>
    <x v="1714"/>
    <x v="8"/>
    <x v="2"/>
    <n v="18.100000000000001"/>
    <x v="1364"/>
    <d v="2025-03-04T00:00:00"/>
    <d v="2025-03-11T00:00:00"/>
    <x v="2"/>
    <x v="1"/>
    <x v="2"/>
    <x v="0"/>
    <x v="29"/>
    <x v="6"/>
    <x v="9"/>
    <x v="2"/>
  </r>
  <r>
    <x v="1715"/>
    <x v="2"/>
    <x v="1"/>
    <n v="118.5"/>
    <x v="1365"/>
    <d v="2025-03-04T00:00:00"/>
    <d v="2025-03-07T00:00:00"/>
    <x v="1"/>
    <x v="1"/>
    <x v="2"/>
    <x v="0"/>
    <x v="16"/>
    <x v="2"/>
    <x v="9"/>
    <x v="1"/>
  </r>
  <r>
    <x v="1716"/>
    <x v="15"/>
    <x v="3"/>
    <n v="59.1"/>
    <x v="1366"/>
    <d v="2025-03-04T00:00:00"/>
    <d v="2025-03-05T00:00:00"/>
    <x v="2"/>
    <x v="3"/>
    <x v="0"/>
    <x v="0"/>
    <x v="25"/>
    <x v="3"/>
    <x v="9"/>
    <x v="2"/>
  </r>
  <r>
    <x v="1717"/>
    <x v="4"/>
    <x v="0"/>
    <n v="21.2"/>
    <x v="333"/>
    <d v="2025-03-04T00:00:00"/>
    <d v="2025-03-05T00:00:00"/>
    <x v="2"/>
    <x v="0"/>
    <x v="1"/>
    <x v="0"/>
    <x v="6"/>
    <x v="3"/>
    <x v="9"/>
    <x v="2"/>
  </r>
  <r>
    <x v="1718"/>
    <x v="6"/>
    <x v="1"/>
    <n v="68.8"/>
    <x v="1367"/>
    <d v="2025-03-04T00:00:00"/>
    <d v="2025-03-09T00:00:00"/>
    <x v="2"/>
    <x v="3"/>
    <x v="2"/>
    <x v="0"/>
    <x v="6"/>
    <x v="0"/>
    <x v="9"/>
    <x v="2"/>
  </r>
  <r>
    <x v="1719"/>
    <x v="6"/>
    <x v="1"/>
    <n v="65.400000000000006"/>
    <x v="1272"/>
    <d v="2025-03-04T00:00:00"/>
    <d v="2025-03-08T00:00:00"/>
    <x v="2"/>
    <x v="0"/>
    <x v="0"/>
    <x v="0"/>
    <x v="6"/>
    <x v="5"/>
    <x v="9"/>
    <x v="2"/>
  </r>
  <r>
    <x v="1720"/>
    <x v="12"/>
    <x v="9"/>
    <n v="66.3"/>
    <x v="1278"/>
    <d v="2025-03-05T00:00:00"/>
    <d v="2025-03-08T00:00:00"/>
    <x v="2"/>
    <x v="4"/>
    <x v="0"/>
    <x v="0"/>
    <x v="6"/>
    <x v="2"/>
    <x v="9"/>
    <x v="2"/>
  </r>
  <r>
    <x v="1721"/>
    <x v="6"/>
    <x v="2"/>
    <n v="97.5"/>
    <x v="1368"/>
    <d v="2025-03-05T00:00:00"/>
    <d v="2025-03-05T00:00:00"/>
    <x v="1"/>
    <x v="3"/>
    <x v="0"/>
    <x v="0"/>
    <x v="8"/>
    <x v="7"/>
    <x v="9"/>
    <x v="1"/>
  </r>
  <r>
    <x v="1722"/>
    <x v="1"/>
    <x v="1"/>
    <n v="44"/>
    <x v="1155"/>
    <d v="2025-03-05T00:00:00"/>
    <d v="2025-03-08T00:00:00"/>
    <x v="2"/>
    <x v="1"/>
    <x v="2"/>
    <x v="0"/>
    <x v="8"/>
    <x v="2"/>
    <x v="9"/>
    <x v="2"/>
  </r>
  <r>
    <x v="1723"/>
    <x v="0"/>
    <x v="0"/>
    <n v="21.9"/>
    <x v="731"/>
    <d v="2025-03-05T00:00:00"/>
    <d v="2025-03-06T00:00:00"/>
    <x v="1"/>
    <x v="0"/>
    <x v="0"/>
    <x v="0"/>
    <x v="8"/>
    <x v="3"/>
    <x v="9"/>
    <x v="1"/>
  </r>
  <r>
    <x v="1724"/>
    <x v="4"/>
    <x v="3"/>
    <n v="21.5"/>
    <x v="379"/>
    <d v="2025-03-05T00:00:00"/>
    <d v="2025-03-07T00:00:00"/>
    <x v="2"/>
    <x v="1"/>
    <x v="2"/>
    <x v="0"/>
    <x v="9"/>
    <x v="1"/>
    <x v="9"/>
    <x v="2"/>
  </r>
  <r>
    <x v="1725"/>
    <x v="12"/>
    <x v="13"/>
    <n v="133"/>
    <x v="1369"/>
    <d v="2025-03-05T00:00:00"/>
    <d v="2025-03-06T00:00:00"/>
    <x v="3"/>
    <x v="0"/>
    <x v="2"/>
    <x v="0"/>
    <x v="10"/>
    <x v="3"/>
    <x v="9"/>
    <x v="3"/>
  </r>
  <r>
    <x v="1726"/>
    <x v="8"/>
    <x v="1"/>
    <n v="47.7"/>
    <x v="233"/>
    <d v="2025-03-05T00:00:00"/>
    <d v="2025-03-09T00:00:00"/>
    <x v="1"/>
    <x v="0"/>
    <x v="2"/>
    <x v="0"/>
    <x v="10"/>
    <x v="5"/>
    <x v="9"/>
    <x v="1"/>
  </r>
  <r>
    <x v="1727"/>
    <x v="16"/>
    <x v="2"/>
    <n v="58.1"/>
    <x v="889"/>
    <d v="2025-03-05T00:00:00"/>
    <d v="2025-03-06T00:00:00"/>
    <x v="2"/>
    <x v="0"/>
    <x v="0"/>
    <x v="0"/>
    <x v="11"/>
    <x v="3"/>
    <x v="9"/>
    <x v="2"/>
  </r>
  <r>
    <x v="1728"/>
    <x v="12"/>
    <x v="12"/>
    <n v="66.599999999999994"/>
    <x v="1370"/>
    <d v="2025-03-05T00:00:00"/>
    <d v="2025-03-06T00:00:00"/>
    <x v="0"/>
    <x v="0"/>
    <x v="0"/>
    <x v="0"/>
    <x v="11"/>
    <x v="3"/>
    <x v="9"/>
    <x v="0"/>
  </r>
  <r>
    <x v="1729"/>
    <x v="9"/>
    <x v="0"/>
    <n v="24.1"/>
    <x v="1057"/>
    <d v="2025-03-05T00:00:00"/>
    <d v="2025-03-08T00:00:00"/>
    <x v="1"/>
    <x v="2"/>
    <x v="1"/>
    <x v="0"/>
    <x v="19"/>
    <x v="2"/>
    <x v="9"/>
    <x v="1"/>
  </r>
  <r>
    <x v="1730"/>
    <x v="10"/>
    <x v="9"/>
    <n v="51.5"/>
    <x v="1371"/>
    <d v="2025-03-05T00:00:00"/>
    <d v="2025-03-10T00:00:00"/>
    <x v="2"/>
    <x v="0"/>
    <x v="0"/>
    <x v="0"/>
    <x v="13"/>
    <x v="0"/>
    <x v="9"/>
    <x v="2"/>
  </r>
  <r>
    <x v="1731"/>
    <x v="0"/>
    <x v="5"/>
    <n v="25.8"/>
    <x v="674"/>
    <d v="2025-03-05T00:00:00"/>
    <d v="2025-03-09T00:00:00"/>
    <x v="2"/>
    <x v="3"/>
    <x v="4"/>
    <x v="0"/>
    <x v="21"/>
    <x v="5"/>
    <x v="9"/>
    <x v="2"/>
  </r>
  <r>
    <x v="1732"/>
    <x v="9"/>
    <x v="12"/>
    <n v="47.7"/>
    <x v="1372"/>
    <d v="2025-03-05T00:00:00"/>
    <d v="2025-03-05T00:00:00"/>
    <x v="2"/>
    <x v="0"/>
    <x v="1"/>
    <x v="0"/>
    <x v="21"/>
    <x v="7"/>
    <x v="9"/>
    <x v="2"/>
  </r>
  <r>
    <x v="1733"/>
    <x v="7"/>
    <x v="9"/>
    <n v="73.599999999999994"/>
    <x v="1373"/>
    <d v="2025-03-05T00:00:00"/>
    <d v="2025-03-09T00:00:00"/>
    <x v="1"/>
    <x v="1"/>
    <x v="0"/>
    <x v="0"/>
    <x v="21"/>
    <x v="5"/>
    <x v="9"/>
    <x v="1"/>
  </r>
  <r>
    <x v="1734"/>
    <x v="5"/>
    <x v="3"/>
    <n v="91.2"/>
    <x v="1374"/>
    <d v="2025-03-05T00:00:00"/>
    <d v="2025-03-06T00:00:00"/>
    <x v="1"/>
    <x v="1"/>
    <x v="2"/>
    <x v="0"/>
    <x v="21"/>
    <x v="3"/>
    <x v="9"/>
    <x v="1"/>
  </r>
  <r>
    <x v="1735"/>
    <x v="1"/>
    <x v="8"/>
    <n v="36.200000000000003"/>
    <x v="1375"/>
    <d v="2025-03-05T00:00:00"/>
    <d v="2025-03-05T00:00:00"/>
    <x v="1"/>
    <x v="2"/>
    <x v="2"/>
    <x v="0"/>
    <x v="1"/>
    <x v="7"/>
    <x v="9"/>
    <x v="1"/>
  </r>
  <r>
    <x v="1736"/>
    <x v="9"/>
    <x v="8"/>
    <n v="98"/>
    <x v="1376"/>
    <d v="2025-03-05T00:00:00"/>
    <d v="2025-03-09T00:00:00"/>
    <x v="2"/>
    <x v="2"/>
    <x v="0"/>
    <x v="0"/>
    <x v="2"/>
    <x v="5"/>
    <x v="9"/>
    <x v="2"/>
  </r>
  <r>
    <x v="1737"/>
    <x v="1"/>
    <x v="8"/>
    <n v="43.6"/>
    <x v="1377"/>
    <d v="2025-03-05T00:00:00"/>
    <d v="2025-03-06T00:00:00"/>
    <x v="2"/>
    <x v="2"/>
    <x v="0"/>
    <x v="0"/>
    <x v="22"/>
    <x v="3"/>
    <x v="9"/>
    <x v="2"/>
  </r>
  <r>
    <x v="1738"/>
    <x v="8"/>
    <x v="7"/>
    <n v="37.799999999999997"/>
    <x v="1378"/>
    <d v="2025-03-05T00:00:00"/>
    <d v="2025-03-05T00:00:00"/>
    <x v="3"/>
    <x v="0"/>
    <x v="0"/>
    <x v="0"/>
    <x v="50"/>
    <x v="7"/>
    <x v="9"/>
    <x v="3"/>
  </r>
  <r>
    <x v="1739"/>
    <x v="17"/>
    <x v="9"/>
    <n v="63.7"/>
    <x v="46"/>
    <d v="2025-03-05T00:00:00"/>
    <d v="2025-03-08T00:00:00"/>
    <x v="2"/>
    <x v="2"/>
    <x v="1"/>
    <x v="0"/>
    <x v="3"/>
    <x v="2"/>
    <x v="9"/>
    <x v="2"/>
  </r>
  <r>
    <x v="1740"/>
    <x v="5"/>
    <x v="11"/>
    <n v="62.9"/>
    <x v="1379"/>
    <d v="2025-03-05T00:00:00"/>
    <d v="2025-03-10T00:00:00"/>
    <x v="1"/>
    <x v="3"/>
    <x v="2"/>
    <x v="0"/>
    <x v="3"/>
    <x v="0"/>
    <x v="9"/>
    <x v="1"/>
  </r>
  <r>
    <x v="1741"/>
    <x v="6"/>
    <x v="3"/>
    <n v="61.7"/>
    <x v="245"/>
    <d v="2025-03-05T00:00:00"/>
    <d v="2025-03-08T00:00:00"/>
    <x v="2"/>
    <x v="2"/>
    <x v="2"/>
    <x v="0"/>
    <x v="3"/>
    <x v="2"/>
    <x v="9"/>
    <x v="2"/>
  </r>
  <r>
    <x v="1742"/>
    <x v="18"/>
    <x v="21"/>
    <n v="36.5"/>
    <x v="1380"/>
    <d v="2025-03-05T00:00:00"/>
    <d v="2025-03-06T00:00:00"/>
    <x v="1"/>
    <x v="0"/>
    <x v="2"/>
    <x v="0"/>
    <x v="3"/>
    <x v="3"/>
    <x v="9"/>
    <x v="1"/>
  </r>
  <r>
    <x v="1743"/>
    <x v="11"/>
    <x v="2"/>
    <n v="98.6"/>
    <x v="1381"/>
    <d v="2025-03-05T00:00:00"/>
    <d v="2025-03-08T00:00:00"/>
    <x v="3"/>
    <x v="0"/>
    <x v="4"/>
    <x v="0"/>
    <x v="3"/>
    <x v="2"/>
    <x v="9"/>
    <x v="3"/>
  </r>
  <r>
    <x v="1744"/>
    <x v="8"/>
    <x v="1"/>
    <n v="19.2"/>
    <x v="1139"/>
    <d v="2025-03-05T00:00:00"/>
    <d v="2025-03-15T00:00:00"/>
    <x v="1"/>
    <x v="0"/>
    <x v="0"/>
    <x v="0"/>
    <x v="3"/>
    <x v="14"/>
    <x v="9"/>
    <x v="1"/>
  </r>
  <r>
    <x v="1745"/>
    <x v="3"/>
    <x v="13"/>
    <n v="55.6"/>
    <x v="335"/>
    <d v="2025-03-05T00:00:00"/>
    <d v="2025-03-09T00:00:00"/>
    <x v="2"/>
    <x v="0"/>
    <x v="2"/>
    <x v="0"/>
    <x v="3"/>
    <x v="5"/>
    <x v="9"/>
    <x v="2"/>
  </r>
  <r>
    <x v="1746"/>
    <x v="5"/>
    <x v="13"/>
    <n v="56.4"/>
    <x v="1382"/>
    <d v="2025-03-05T00:00:00"/>
    <d v="2025-03-06T00:00:00"/>
    <x v="2"/>
    <x v="1"/>
    <x v="0"/>
    <x v="0"/>
    <x v="3"/>
    <x v="3"/>
    <x v="9"/>
    <x v="2"/>
  </r>
  <r>
    <x v="1747"/>
    <x v="4"/>
    <x v="8"/>
    <n v="43.1"/>
    <x v="1383"/>
    <d v="2025-03-05T00:00:00"/>
    <d v="2025-03-09T00:00:00"/>
    <x v="2"/>
    <x v="4"/>
    <x v="0"/>
    <x v="0"/>
    <x v="3"/>
    <x v="5"/>
    <x v="9"/>
    <x v="2"/>
  </r>
  <r>
    <x v="1748"/>
    <x v="1"/>
    <x v="1"/>
    <n v="77.3"/>
    <x v="1384"/>
    <d v="2025-03-05T00:00:00"/>
    <d v="2025-03-07T00:00:00"/>
    <x v="1"/>
    <x v="0"/>
    <x v="0"/>
    <x v="0"/>
    <x v="6"/>
    <x v="1"/>
    <x v="9"/>
    <x v="1"/>
  </r>
  <r>
    <x v="1749"/>
    <x v="9"/>
    <x v="8"/>
    <n v="38.299999999999997"/>
    <x v="1347"/>
    <d v="2025-03-05T00:00:00"/>
    <d v="2025-03-06T00:00:00"/>
    <x v="1"/>
    <x v="0"/>
    <x v="0"/>
    <x v="0"/>
    <x v="7"/>
    <x v="3"/>
    <x v="9"/>
    <x v="1"/>
  </r>
  <r>
    <x v="1750"/>
    <x v="0"/>
    <x v="3"/>
    <n v="16.8"/>
    <x v="557"/>
    <d v="2025-03-05T00:00:00"/>
    <d v="2025-03-08T00:00:00"/>
    <x v="1"/>
    <x v="2"/>
    <x v="1"/>
    <x v="0"/>
    <x v="8"/>
    <x v="2"/>
    <x v="9"/>
    <x v="1"/>
  </r>
  <r>
    <x v="1751"/>
    <x v="2"/>
    <x v="2"/>
    <n v="63.2"/>
    <x v="1385"/>
    <d v="2025-03-05T00:00:00"/>
    <d v="2025-03-06T00:00:00"/>
    <x v="2"/>
    <x v="0"/>
    <x v="2"/>
    <x v="0"/>
    <x v="8"/>
    <x v="3"/>
    <x v="9"/>
    <x v="2"/>
  </r>
  <r>
    <x v="1752"/>
    <x v="14"/>
    <x v="44"/>
    <n v="39.700000000000003"/>
    <x v="1386"/>
    <d v="2025-03-05T00:00:00"/>
    <d v="2025-03-06T00:00:00"/>
    <x v="1"/>
    <x v="0"/>
    <x v="0"/>
    <x v="0"/>
    <x v="8"/>
    <x v="3"/>
    <x v="9"/>
    <x v="1"/>
  </r>
  <r>
    <x v="1753"/>
    <x v="10"/>
    <x v="2"/>
    <n v="45.8"/>
    <x v="1387"/>
    <d v="2025-03-05T00:00:00"/>
    <d v="2025-03-06T00:00:00"/>
    <x v="2"/>
    <x v="1"/>
    <x v="2"/>
    <x v="0"/>
    <x v="8"/>
    <x v="3"/>
    <x v="9"/>
    <x v="2"/>
  </r>
  <r>
    <x v="1754"/>
    <x v="0"/>
    <x v="13"/>
    <n v="12.4"/>
    <x v="610"/>
    <d v="2025-03-05T00:00:00"/>
    <d v="2025-03-08T00:00:00"/>
    <x v="1"/>
    <x v="0"/>
    <x v="0"/>
    <x v="0"/>
    <x v="8"/>
    <x v="2"/>
    <x v="9"/>
    <x v="1"/>
  </r>
  <r>
    <x v="1755"/>
    <x v="14"/>
    <x v="2"/>
    <n v="50.8"/>
    <x v="1388"/>
    <d v="2025-03-06T00:00:00"/>
    <d v="2025-03-06T00:00:00"/>
    <x v="2"/>
    <x v="4"/>
    <x v="0"/>
    <x v="0"/>
    <x v="17"/>
    <x v="7"/>
    <x v="9"/>
    <x v="2"/>
  </r>
  <r>
    <x v="1756"/>
    <x v="9"/>
    <x v="0"/>
    <n v="76"/>
    <x v="998"/>
    <d v="2025-03-06T00:00:00"/>
    <d v="2025-03-10T00:00:00"/>
    <x v="3"/>
    <x v="2"/>
    <x v="2"/>
    <x v="0"/>
    <x v="17"/>
    <x v="5"/>
    <x v="9"/>
    <x v="3"/>
  </r>
  <r>
    <x v="1757"/>
    <x v="1"/>
    <x v="1"/>
    <n v="51.9"/>
    <x v="1389"/>
    <d v="2025-03-06T00:00:00"/>
    <d v="2025-03-07T00:00:00"/>
    <x v="1"/>
    <x v="1"/>
    <x v="2"/>
    <x v="0"/>
    <x v="26"/>
    <x v="3"/>
    <x v="9"/>
    <x v="1"/>
  </r>
  <r>
    <x v="1758"/>
    <x v="2"/>
    <x v="1"/>
    <n v="93.4"/>
    <x v="1390"/>
    <d v="2025-03-06T00:00:00"/>
    <d v="2025-03-13T00:00:00"/>
    <x v="1"/>
    <x v="0"/>
    <x v="3"/>
    <x v="0"/>
    <x v="11"/>
    <x v="6"/>
    <x v="9"/>
    <x v="1"/>
  </r>
  <r>
    <x v="1759"/>
    <x v="7"/>
    <x v="13"/>
    <n v="30.8"/>
    <x v="827"/>
    <d v="2025-03-06T00:00:00"/>
    <d v="2025-03-09T00:00:00"/>
    <x v="2"/>
    <x v="1"/>
    <x v="0"/>
    <x v="0"/>
    <x v="11"/>
    <x v="2"/>
    <x v="9"/>
    <x v="2"/>
  </r>
  <r>
    <x v="1760"/>
    <x v="2"/>
    <x v="0"/>
    <n v="143.19999999999999"/>
    <x v="1391"/>
    <d v="2025-03-06T00:00:00"/>
    <d v="2025-03-09T00:00:00"/>
    <x v="1"/>
    <x v="2"/>
    <x v="0"/>
    <x v="0"/>
    <x v="11"/>
    <x v="2"/>
    <x v="9"/>
    <x v="1"/>
  </r>
  <r>
    <x v="1761"/>
    <x v="6"/>
    <x v="5"/>
    <n v="40.4"/>
    <x v="1392"/>
    <d v="2025-03-06T00:00:00"/>
    <d v="2025-03-08T00:00:00"/>
    <x v="1"/>
    <x v="2"/>
    <x v="2"/>
    <x v="0"/>
    <x v="18"/>
    <x v="1"/>
    <x v="9"/>
    <x v="1"/>
  </r>
  <r>
    <x v="1762"/>
    <x v="2"/>
    <x v="10"/>
    <n v="131.5"/>
    <x v="1393"/>
    <d v="2025-03-06T00:00:00"/>
    <d v="2025-03-08T00:00:00"/>
    <x v="1"/>
    <x v="1"/>
    <x v="1"/>
    <x v="0"/>
    <x v="18"/>
    <x v="1"/>
    <x v="9"/>
    <x v="1"/>
  </r>
  <r>
    <x v="1763"/>
    <x v="18"/>
    <x v="3"/>
    <n v="61.6"/>
    <x v="348"/>
    <d v="2025-03-06T00:00:00"/>
    <d v="2025-03-07T00:00:00"/>
    <x v="1"/>
    <x v="2"/>
    <x v="0"/>
    <x v="0"/>
    <x v="21"/>
    <x v="3"/>
    <x v="9"/>
    <x v="1"/>
  </r>
  <r>
    <x v="1764"/>
    <x v="9"/>
    <x v="9"/>
    <n v="32.700000000000003"/>
    <x v="838"/>
    <d v="2025-03-06T00:00:00"/>
    <d v="2025-03-08T00:00:00"/>
    <x v="1"/>
    <x v="2"/>
    <x v="0"/>
    <x v="0"/>
    <x v="1"/>
    <x v="1"/>
    <x v="9"/>
    <x v="1"/>
  </r>
  <r>
    <x v="1765"/>
    <x v="0"/>
    <x v="7"/>
    <n v="13.7"/>
    <x v="383"/>
    <d v="2025-03-06T00:00:00"/>
    <d v="2025-03-07T00:00:00"/>
    <x v="1"/>
    <x v="0"/>
    <x v="2"/>
    <x v="0"/>
    <x v="3"/>
    <x v="3"/>
    <x v="9"/>
    <x v="1"/>
  </r>
  <r>
    <x v="1766"/>
    <x v="0"/>
    <x v="12"/>
    <n v="32.1"/>
    <x v="58"/>
    <d v="2025-03-06T00:00:00"/>
    <d v="2025-03-07T00:00:00"/>
    <x v="1"/>
    <x v="4"/>
    <x v="1"/>
    <x v="0"/>
    <x v="3"/>
    <x v="3"/>
    <x v="9"/>
    <x v="1"/>
  </r>
  <r>
    <x v="1767"/>
    <x v="14"/>
    <x v="8"/>
    <n v="12"/>
    <x v="854"/>
    <d v="2025-03-06T00:00:00"/>
    <d v="2025-03-07T00:00:00"/>
    <x v="1"/>
    <x v="1"/>
    <x v="0"/>
    <x v="0"/>
    <x v="24"/>
    <x v="3"/>
    <x v="9"/>
    <x v="1"/>
  </r>
  <r>
    <x v="1768"/>
    <x v="12"/>
    <x v="0"/>
    <n v="64.3"/>
    <x v="1394"/>
    <d v="2025-03-06T00:00:00"/>
    <d v="2025-03-08T00:00:00"/>
    <x v="2"/>
    <x v="2"/>
    <x v="2"/>
    <x v="0"/>
    <x v="6"/>
    <x v="1"/>
    <x v="9"/>
    <x v="2"/>
  </r>
  <r>
    <x v="1769"/>
    <x v="1"/>
    <x v="2"/>
    <n v="58.2"/>
    <x v="1395"/>
    <d v="2025-03-06T00:00:00"/>
    <d v="2025-03-08T00:00:00"/>
    <x v="2"/>
    <x v="1"/>
    <x v="2"/>
    <x v="0"/>
    <x v="6"/>
    <x v="1"/>
    <x v="9"/>
    <x v="2"/>
  </r>
  <r>
    <x v="1770"/>
    <x v="6"/>
    <x v="12"/>
    <n v="59.2"/>
    <x v="1396"/>
    <d v="2025-03-06T00:00:00"/>
    <d v="2025-03-06T00:00:00"/>
    <x v="1"/>
    <x v="1"/>
    <x v="2"/>
    <x v="0"/>
    <x v="6"/>
    <x v="7"/>
    <x v="9"/>
    <x v="1"/>
  </r>
  <r>
    <x v="1771"/>
    <x v="10"/>
    <x v="5"/>
    <n v="35.6"/>
    <x v="590"/>
    <d v="2025-03-06T00:00:00"/>
    <d v="2025-03-13T00:00:00"/>
    <x v="1"/>
    <x v="0"/>
    <x v="2"/>
    <x v="0"/>
    <x v="8"/>
    <x v="6"/>
    <x v="9"/>
    <x v="1"/>
  </r>
  <r>
    <x v="1772"/>
    <x v="16"/>
    <x v="8"/>
    <n v="37"/>
    <x v="1397"/>
    <d v="2025-03-06T00:00:00"/>
    <d v="2025-03-10T00:00:00"/>
    <x v="2"/>
    <x v="2"/>
    <x v="1"/>
    <x v="0"/>
    <x v="8"/>
    <x v="5"/>
    <x v="9"/>
    <x v="2"/>
  </r>
  <r>
    <x v="1773"/>
    <x v="1"/>
    <x v="15"/>
    <n v="80.8"/>
    <x v="1398"/>
    <d v="2025-03-06T00:00:00"/>
    <d v="2025-03-08T00:00:00"/>
    <x v="2"/>
    <x v="0"/>
    <x v="0"/>
    <x v="0"/>
    <x v="8"/>
    <x v="1"/>
    <x v="9"/>
    <x v="2"/>
  </r>
  <r>
    <x v="1774"/>
    <x v="8"/>
    <x v="1"/>
    <n v="63.2"/>
    <x v="628"/>
    <d v="2025-03-06T00:00:00"/>
    <d v="2025-03-07T00:00:00"/>
    <x v="1"/>
    <x v="0"/>
    <x v="1"/>
    <x v="0"/>
    <x v="8"/>
    <x v="3"/>
    <x v="9"/>
    <x v="1"/>
  </r>
  <r>
    <x v="1775"/>
    <x v="3"/>
    <x v="1"/>
    <n v="40.799999999999997"/>
    <x v="330"/>
    <d v="2025-03-06T00:00:00"/>
    <d v="2025-03-08T00:00:00"/>
    <x v="1"/>
    <x v="0"/>
    <x v="1"/>
    <x v="0"/>
    <x v="17"/>
    <x v="1"/>
    <x v="9"/>
    <x v="1"/>
  </r>
  <r>
    <x v="1776"/>
    <x v="13"/>
    <x v="13"/>
    <n v="25.7"/>
    <x v="1399"/>
    <d v="2025-03-06T00:00:00"/>
    <d v="2025-03-08T00:00:00"/>
    <x v="1"/>
    <x v="4"/>
    <x v="0"/>
    <x v="0"/>
    <x v="18"/>
    <x v="1"/>
    <x v="9"/>
    <x v="1"/>
  </r>
  <r>
    <x v="1777"/>
    <x v="16"/>
    <x v="1"/>
    <n v="49.9"/>
    <x v="350"/>
    <d v="2025-03-06T00:00:00"/>
    <d v="2025-03-09T00:00:00"/>
    <x v="1"/>
    <x v="0"/>
    <x v="0"/>
    <x v="0"/>
    <x v="20"/>
    <x v="2"/>
    <x v="9"/>
    <x v="1"/>
  </r>
  <r>
    <x v="1778"/>
    <x v="8"/>
    <x v="1"/>
    <n v="20.2"/>
    <x v="1400"/>
    <d v="2025-03-06T00:00:00"/>
    <d v="2025-03-08T00:00:00"/>
    <x v="2"/>
    <x v="3"/>
    <x v="0"/>
    <x v="0"/>
    <x v="21"/>
    <x v="1"/>
    <x v="9"/>
    <x v="2"/>
  </r>
  <r>
    <x v="1779"/>
    <x v="6"/>
    <x v="2"/>
    <n v="48.4"/>
    <x v="1401"/>
    <d v="2025-03-06T00:00:00"/>
    <d v="2025-03-11T00:00:00"/>
    <x v="2"/>
    <x v="0"/>
    <x v="2"/>
    <x v="0"/>
    <x v="21"/>
    <x v="0"/>
    <x v="9"/>
    <x v="2"/>
  </r>
  <r>
    <x v="1780"/>
    <x v="6"/>
    <x v="1"/>
    <n v="81"/>
    <x v="915"/>
    <d v="2025-03-06T00:00:00"/>
    <d v="2025-03-07T00:00:00"/>
    <x v="2"/>
    <x v="1"/>
    <x v="2"/>
    <x v="0"/>
    <x v="21"/>
    <x v="3"/>
    <x v="9"/>
    <x v="2"/>
  </r>
  <r>
    <x v="1781"/>
    <x v="8"/>
    <x v="13"/>
    <n v="19.899999999999999"/>
    <x v="1402"/>
    <d v="2025-03-06T00:00:00"/>
    <d v="2025-03-09T00:00:00"/>
    <x v="2"/>
    <x v="0"/>
    <x v="1"/>
    <x v="0"/>
    <x v="22"/>
    <x v="2"/>
    <x v="9"/>
    <x v="2"/>
  </r>
  <r>
    <x v="1782"/>
    <x v="4"/>
    <x v="12"/>
    <n v="32.200000000000003"/>
    <x v="1403"/>
    <d v="2025-03-06T00:00:00"/>
    <d v="2025-03-16T00:00:00"/>
    <x v="1"/>
    <x v="0"/>
    <x v="0"/>
    <x v="0"/>
    <x v="22"/>
    <x v="14"/>
    <x v="9"/>
    <x v="1"/>
  </r>
  <r>
    <x v="1783"/>
    <x v="5"/>
    <x v="2"/>
    <n v="76.8"/>
    <x v="1404"/>
    <d v="2025-03-06T00:00:00"/>
    <d v="2025-03-07T00:00:00"/>
    <x v="2"/>
    <x v="0"/>
    <x v="1"/>
    <x v="0"/>
    <x v="3"/>
    <x v="3"/>
    <x v="9"/>
    <x v="2"/>
  </r>
  <r>
    <x v="1784"/>
    <x v="6"/>
    <x v="1"/>
    <n v="41.9"/>
    <x v="1405"/>
    <d v="2025-03-06T00:00:00"/>
    <d v="2025-03-08T00:00:00"/>
    <x v="2"/>
    <x v="0"/>
    <x v="0"/>
    <x v="0"/>
    <x v="3"/>
    <x v="1"/>
    <x v="9"/>
    <x v="2"/>
  </r>
  <r>
    <x v="1785"/>
    <x v="0"/>
    <x v="3"/>
    <n v="34"/>
    <x v="1248"/>
    <d v="2025-03-06T00:00:00"/>
    <d v="2025-03-08T00:00:00"/>
    <x v="2"/>
    <x v="1"/>
    <x v="2"/>
    <x v="0"/>
    <x v="3"/>
    <x v="1"/>
    <x v="9"/>
    <x v="2"/>
  </r>
  <r>
    <x v="1786"/>
    <x v="7"/>
    <x v="3"/>
    <n v="61.3"/>
    <x v="1406"/>
    <d v="2025-03-06T00:00:00"/>
    <d v="2025-03-06T00:00:00"/>
    <x v="2"/>
    <x v="4"/>
    <x v="2"/>
    <x v="0"/>
    <x v="3"/>
    <x v="7"/>
    <x v="9"/>
    <x v="2"/>
  </r>
  <r>
    <x v="1787"/>
    <x v="9"/>
    <x v="0"/>
    <n v="54.7"/>
    <x v="1407"/>
    <d v="2025-03-07T00:00:00"/>
    <d v="2025-03-08T00:00:00"/>
    <x v="1"/>
    <x v="0"/>
    <x v="1"/>
    <x v="0"/>
    <x v="3"/>
    <x v="3"/>
    <x v="9"/>
    <x v="1"/>
  </r>
  <r>
    <x v="1788"/>
    <x v="6"/>
    <x v="7"/>
    <n v="84.7"/>
    <x v="1408"/>
    <d v="2025-03-07T00:00:00"/>
    <d v="2025-03-11T00:00:00"/>
    <x v="2"/>
    <x v="0"/>
    <x v="0"/>
    <x v="0"/>
    <x v="3"/>
    <x v="5"/>
    <x v="9"/>
    <x v="2"/>
  </r>
  <r>
    <x v="1789"/>
    <x v="1"/>
    <x v="2"/>
    <n v="93.4"/>
    <x v="1409"/>
    <d v="2025-03-07T00:00:00"/>
    <d v="2025-03-11T00:00:00"/>
    <x v="2"/>
    <x v="3"/>
    <x v="0"/>
    <x v="0"/>
    <x v="3"/>
    <x v="5"/>
    <x v="9"/>
    <x v="2"/>
  </r>
  <r>
    <x v="1790"/>
    <x v="8"/>
    <x v="9"/>
    <n v="27"/>
    <x v="340"/>
    <d v="2025-03-07T00:00:00"/>
    <d v="2025-03-10T00:00:00"/>
    <x v="1"/>
    <x v="0"/>
    <x v="1"/>
    <x v="0"/>
    <x v="3"/>
    <x v="2"/>
    <x v="9"/>
    <x v="1"/>
  </r>
  <r>
    <x v="1791"/>
    <x v="0"/>
    <x v="12"/>
    <n v="10.9"/>
    <x v="1195"/>
    <d v="2025-03-07T00:00:00"/>
    <d v="2025-03-08T00:00:00"/>
    <x v="1"/>
    <x v="2"/>
    <x v="0"/>
    <x v="0"/>
    <x v="3"/>
    <x v="3"/>
    <x v="9"/>
    <x v="1"/>
  </r>
  <r>
    <x v="1792"/>
    <x v="16"/>
    <x v="2"/>
    <n v="48"/>
    <x v="1410"/>
    <d v="2025-03-07T00:00:00"/>
    <d v="2025-03-12T00:00:00"/>
    <x v="2"/>
    <x v="4"/>
    <x v="0"/>
    <x v="0"/>
    <x v="3"/>
    <x v="0"/>
    <x v="9"/>
    <x v="2"/>
  </r>
  <r>
    <x v="1793"/>
    <x v="5"/>
    <x v="1"/>
    <n v="67.900000000000006"/>
    <x v="1411"/>
    <d v="2025-03-07T00:00:00"/>
    <d v="2025-03-08T00:00:00"/>
    <x v="1"/>
    <x v="0"/>
    <x v="2"/>
    <x v="0"/>
    <x v="23"/>
    <x v="3"/>
    <x v="9"/>
    <x v="1"/>
  </r>
  <r>
    <x v="1794"/>
    <x v="4"/>
    <x v="2"/>
    <n v="36"/>
    <x v="807"/>
    <d v="2025-03-07T00:00:00"/>
    <d v="2025-03-08T00:00:00"/>
    <x v="1"/>
    <x v="1"/>
    <x v="0"/>
    <x v="0"/>
    <x v="6"/>
    <x v="3"/>
    <x v="9"/>
    <x v="1"/>
  </r>
  <r>
    <x v="1795"/>
    <x v="2"/>
    <x v="0"/>
    <n v="128.80000000000001"/>
    <x v="1403"/>
    <d v="2025-03-07T00:00:00"/>
    <d v="2025-03-08T00:00:00"/>
    <x v="1"/>
    <x v="4"/>
    <x v="2"/>
    <x v="0"/>
    <x v="6"/>
    <x v="3"/>
    <x v="9"/>
    <x v="1"/>
  </r>
  <r>
    <x v="1796"/>
    <x v="18"/>
    <x v="3"/>
    <n v="33.299999999999997"/>
    <x v="1412"/>
    <d v="2025-03-07T00:00:00"/>
    <d v="2025-03-08T00:00:00"/>
    <x v="2"/>
    <x v="3"/>
    <x v="0"/>
    <x v="0"/>
    <x v="8"/>
    <x v="3"/>
    <x v="9"/>
    <x v="2"/>
  </r>
  <r>
    <x v="1797"/>
    <x v="10"/>
    <x v="2"/>
    <n v="37.799999999999997"/>
    <x v="1413"/>
    <d v="2025-03-07T00:00:00"/>
    <d v="2025-03-09T00:00:00"/>
    <x v="1"/>
    <x v="1"/>
    <x v="2"/>
    <x v="0"/>
    <x v="8"/>
    <x v="1"/>
    <x v="9"/>
    <x v="1"/>
  </r>
  <r>
    <x v="1798"/>
    <x v="5"/>
    <x v="2"/>
    <n v="26"/>
    <x v="292"/>
    <d v="2025-03-07T00:00:00"/>
    <d v="2025-03-12T00:00:00"/>
    <x v="2"/>
    <x v="0"/>
    <x v="0"/>
    <x v="0"/>
    <x v="8"/>
    <x v="0"/>
    <x v="9"/>
    <x v="2"/>
  </r>
  <r>
    <x v="1799"/>
    <x v="8"/>
    <x v="10"/>
    <n v="28.3"/>
    <x v="1414"/>
    <d v="2025-03-07T00:00:00"/>
    <d v="2025-03-08T00:00:00"/>
    <x v="2"/>
    <x v="3"/>
    <x v="4"/>
    <x v="0"/>
    <x v="8"/>
    <x v="3"/>
    <x v="9"/>
    <x v="2"/>
  </r>
  <r>
    <x v="1800"/>
    <x v="8"/>
    <x v="12"/>
    <n v="31.3"/>
    <x v="1415"/>
    <d v="2025-03-07T00:00:00"/>
    <d v="2025-03-07T00:00:00"/>
    <x v="2"/>
    <x v="0"/>
    <x v="0"/>
    <x v="0"/>
    <x v="8"/>
    <x v="7"/>
    <x v="9"/>
    <x v="2"/>
  </r>
  <r>
    <x v="1801"/>
    <x v="7"/>
    <x v="2"/>
    <n v="69.5"/>
    <x v="1416"/>
    <d v="2025-03-07T00:00:00"/>
    <d v="2025-03-08T00:00:00"/>
    <x v="2"/>
    <x v="3"/>
    <x v="2"/>
    <x v="0"/>
    <x v="8"/>
    <x v="3"/>
    <x v="9"/>
    <x v="2"/>
  </r>
  <r>
    <x v="1802"/>
    <x v="0"/>
    <x v="1"/>
    <n v="16.7"/>
    <x v="1417"/>
    <d v="2025-03-07T00:00:00"/>
    <d v="2025-03-08T00:00:00"/>
    <x v="2"/>
    <x v="3"/>
    <x v="1"/>
    <x v="0"/>
    <x v="8"/>
    <x v="3"/>
    <x v="9"/>
    <x v="2"/>
  </r>
  <r>
    <x v="1803"/>
    <x v="9"/>
    <x v="1"/>
    <n v="62.6"/>
    <x v="1415"/>
    <d v="2025-03-07T00:00:00"/>
    <d v="2025-03-08T00:00:00"/>
    <x v="1"/>
    <x v="2"/>
    <x v="2"/>
    <x v="0"/>
    <x v="9"/>
    <x v="3"/>
    <x v="9"/>
    <x v="1"/>
  </r>
  <r>
    <x v="1804"/>
    <x v="7"/>
    <x v="0"/>
    <n v="81.2"/>
    <x v="1101"/>
    <d v="2025-03-07T00:00:00"/>
    <d v="2025-03-13T00:00:00"/>
    <x v="1"/>
    <x v="4"/>
    <x v="4"/>
    <x v="0"/>
    <x v="9"/>
    <x v="4"/>
    <x v="9"/>
    <x v="1"/>
  </r>
  <r>
    <x v="1805"/>
    <x v="0"/>
    <x v="7"/>
    <n v="12.7"/>
    <x v="520"/>
    <d v="2025-03-07T00:00:00"/>
    <d v="2025-03-08T00:00:00"/>
    <x v="2"/>
    <x v="0"/>
    <x v="2"/>
    <x v="0"/>
    <x v="9"/>
    <x v="3"/>
    <x v="9"/>
    <x v="2"/>
  </r>
  <r>
    <x v="1806"/>
    <x v="7"/>
    <x v="12"/>
    <n v="77.7"/>
    <x v="1418"/>
    <d v="2025-03-08T00:00:00"/>
    <d v="2025-03-12T00:00:00"/>
    <x v="1"/>
    <x v="1"/>
    <x v="0"/>
    <x v="0"/>
    <x v="11"/>
    <x v="5"/>
    <x v="9"/>
    <x v="1"/>
  </r>
  <r>
    <x v="1807"/>
    <x v="5"/>
    <x v="1"/>
    <n v="37.299999999999997"/>
    <x v="110"/>
    <d v="2025-03-08T00:00:00"/>
    <d v="2025-03-09T00:00:00"/>
    <x v="2"/>
    <x v="0"/>
    <x v="2"/>
    <x v="0"/>
    <x v="18"/>
    <x v="3"/>
    <x v="9"/>
    <x v="2"/>
  </r>
  <r>
    <x v="1808"/>
    <x v="10"/>
    <x v="12"/>
    <n v="35.6"/>
    <x v="1419"/>
    <d v="2025-03-08T00:00:00"/>
    <d v="2025-03-10T00:00:00"/>
    <x v="2"/>
    <x v="1"/>
    <x v="1"/>
    <x v="0"/>
    <x v="19"/>
    <x v="1"/>
    <x v="9"/>
    <x v="2"/>
  </r>
  <r>
    <x v="1809"/>
    <x v="2"/>
    <x v="2"/>
    <n v="95"/>
    <x v="1420"/>
    <d v="2025-03-08T00:00:00"/>
    <d v="2025-03-12T00:00:00"/>
    <x v="2"/>
    <x v="2"/>
    <x v="2"/>
    <x v="0"/>
    <x v="56"/>
    <x v="5"/>
    <x v="9"/>
    <x v="2"/>
  </r>
  <r>
    <x v="1810"/>
    <x v="2"/>
    <x v="12"/>
    <n v="172.1"/>
    <x v="1421"/>
    <d v="2025-03-08T00:00:00"/>
    <d v="2025-03-12T00:00:00"/>
    <x v="3"/>
    <x v="2"/>
    <x v="2"/>
    <x v="0"/>
    <x v="21"/>
    <x v="5"/>
    <x v="9"/>
    <x v="3"/>
  </r>
  <r>
    <x v="1811"/>
    <x v="2"/>
    <x v="1"/>
    <n v="233"/>
    <x v="1147"/>
    <d v="2025-03-08T00:00:00"/>
    <d v="2025-03-11T00:00:00"/>
    <x v="2"/>
    <x v="1"/>
    <x v="0"/>
    <x v="0"/>
    <x v="21"/>
    <x v="2"/>
    <x v="9"/>
    <x v="2"/>
  </r>
  <r>
    <x v="1812"/>
    <x v="0"/>
    <x v="0"/>
    <n v="43.5"/>
    <x v="1422"/>
    <d v="2025-03-08T00:00:00"/>
    <d v="2025-03-09T00:00:00"/>
    <x v="2"/>
    <x v="2"/>
    <x v="2"/>
    <x v="0"/>
    <x v="21"/>
    <x v="3"/>
    <x v="9"/>
    <x v="2"/>
  </r>
  <r>
    <x v="1813"/>
    <x v="9"/>
    <x v="1"/>
    <n v="47.8"/>
    <x v="139"/>
    <d v="2025-03-08T00:00:00"/>
    <d v="2025-03-11T00:00:00"/>
    <x v="1"/>
    <x v="4"/>
    <x v="2"/>
    <x v="0"/>
    <x v="1"/>
    <x v="2"/>
    <x v="9"/>
    <x v="1"/>
  </r>
  <r>
    <x v="1814"/>
    <x v="12"/>
    <x v="1"/>
    <n v="65.8"/>
    <x v="1423"/>
    <d v="2025-03-08T00:00:00"/>
    <d v="2025-03-10T00:00:00"/>
    <x v="2"/>
    <x v="0"/>
    <x v="3"/>
    <x v="0"/>
    <x v="33"/>
    <x v="1"/>
    <x v="9"/>
    <x v="2"/>
  </r>
  <r>
    <x v="1815"/>
    <x v="15"/>
    <x v="5"/>
    <n v="38.700000000000003"/>
    <x v="1424"/>
    <d v="2025-03-08T00:00:00"/>
    <d v="2025-03-08T00:00:00"/>
    <x v="1"/>
    <x v="0"/>
    <x v="0"/>
    <x v="0"/>
    <x v="22"/>
    <x v="7"/>
    <x v="9"/>
    <x v="1"/>
  </r>
  <r>
    <x v="1816"/>
    <x v="3"/>
    <x v="12"/>
    <n v="55.7"/>
    <x v="839"/>
    <d v="2025-03-08T00:00:00"/>
    <d v="2025-03-10T00:00:00"/>
    <x v="3"/>
    <x v="0"/>
    <x v="1"/>
    <x v="0"/>
    <x v="22"/>
    <x v="1"/>
    <x v="9"/>
    <x v="3"/>
  </r>
  <r>
    <x v="1817"/>
    <x v="7"/>
    <x v="1"/>
    <n v="102.4"/>
    <x v="403"/>
    <d v="2025-03-08T00:00:00"/>
    <d v="2025-03-08T00:00:00"/>
    <x v="2"/>
    <x v="1"/>
    <x v="0"/>
    <x v="0"/>
    <x v="3"/>
    <x v="7"/>
    <x v="9"/>
    <x v="2"/>
  </r>
  <r>
    <x v="1818"/>
    <x v="1"/>
    <x v="0"/>
    <n v="92"/>
    <x v="988"/>
    <d v="2025-03-08T00:00:00"/>
    <d v="2025-03-12T00:00:00"/>
    <x v="0"/>
    <x v="2"/>
    <x v="0"/>
    <x v="0"/>
    <x v="3"/>
    <x v="5"/>
    <x v="9"/>
    <x v="0"/>
  </r>
  <r>
    <x v="1819"/>
    <x v="6"/>
    <x v="12"/>
    <n v="75.900000000000006"/>
    <x v="80"/>
    <d v="2025-03-08T00:00:00"/>
    <d v="2025-03-10T00:00:00"/>
    <x v="2"/>
    <x v="1"/>
    <x v="0"/>
    <x v="0"/>
    <x v="3"/>
    <x v="1"/>
    <x v="9"/>
    <x v="2"/>
  </r>
  <r>
    <x v="1820"/>
    <x v="1"/>
    <x v="12"/>
    <n v="36.200000000000003"/>
    <x v="353"/>
    <d v="2025-03-08T00:00:00"/>
    <d v="2025-03-09T00:00:00"/>
    <x v="2"/>
    <x v="1"/>
    <x v="0"/>
    <x v="0"/>
    <x v="3"/>
    <x v="3"/>
    <x v="9"/>
    <x v="2"/>
  </r>
  <r>
    <x v="1821"/>
    <x v="6"/>
    <x v="45"/>
    <n v="83.5"/>
    <x v="1425"/>
    <d v="2025-03-08T00:00:00"/>
    <d v="2025-03-10T00:00:00"/>
    <x v="0"/>
    <x v="3"/>
    <x v="0"/>
    <x v="0"/>
    <x v="3"/>
    <x v="1"/>
    <x v="9"/>
    <x v="0"/>
  </r>
  <r>
    <x v="1822"/>
    <x v="19"/>
    <x v="4"/>
    <n v="52.4"/>
    <x v="1092"/>
    <d v="2025-03-08T00:00:00"/>
    <d v="2025-03-08T00:00:00"/>
    <x v="1"/>
    <x v="2"/>
    <x v="0"/>
    <x v="0"/>
    <x v="3"/>
    <x v="7"/>
    <x v="9"/>
    <x v="1"/>
  </r>
  <r>
    <x v="1823"/>
    <x v="12"/>
    <x v="2"/>
    <n v="69.5"/>
    <x v="1416"/>
    <d v="2025-03-08T00:00:00"/>
    <d v="2025-03-09T00:00:00"/>
    <x v="3"/>
    <x v="4"/>
    <x v="0"/>
    <x v="0"/>
    <x v="3"/>
    <x v="3"/>
    <x v="9"/>
    <x v="3"/>
  </r>
  <r>
    <x v="1824"/>
    <x v="0"/>
    <x v="0"/>
    <n v="15.5"/>
    <x v="1426"/>
    <d v="2025-03-08T00:00:00"/>
    <d v="2025-03-10T00:00:00"/>
    <x v="1"/>
    <x v="0"/>
    <x v="0"/>
    <x v="0"/>
    <x v="3"/>
    <x v="1"/>
    <x v="9"/>
    <x v="1"/>
  </r>
  <r>
    <x v="1825"/>
    <x v="4"/>
    <x v="12"/>
    <n v="35.200000000000003"/>
    <x v="1427"/>
    <d v="2025-03-08T00:00:00"/>
    <d v="2025-03-09T00:00:00"/>
    <x v="2"/>
    <x v="2"/>
    <x v="2"/>
    <x v="0"/>
    <x v="3"/>
    <x v="3"/>
    <x v="9"/>
    <x v="2"/>
  </r>
  <r>
    <x v="1826"/>
    <x v="8"/>
    <x v="13"/>
    <n v="34.6"/>
    <x v="1428"/>
    <d v="2025-03-08T00:00:00"/>
    <d v="2025-03-09T00:00:00"/>
    <x v="0"/>
    <x v="0"/>
    <x v="1"/>
    <x v="0"/>
    <x v="3"/>
    <x v="3"/>
    <x v="9"/>
    <x v="0"/>
  </r>
  <r>
    <x v="1827"/>
    <x v="4"/>
    <x v="0"/>
    <n v="21.3"/>
    <x v="1429"/>
    <d v="2025-03-09T00:00:00"/>
    <d v="2025-03-10T00:00:00"/>
    <x v="1"/>
    <x v="2"/>
    <x v="1"/>
    <x v="0"/>
    <x v="3"/>
    <x v="3"/>
    <x v="10"/>
    <x v="1"/>
  </r>
  <r>
    <x v="1828"/>
    <x v="6"/>
    <x v="1"/>
    <n v="136.5"/>
    <x v="1430"/>
    <d v="2025-03-09T00:00:00"/>
    <d v="2025-03-15T00:00:00"/>
    <x v="2"/>
    <x v="0"/>
    <x v="0"/>
    <x v="0"/>
    <x v="37"/>
    <x v="4"/>
    <x v="10"/>
    <x v="2"/>
  </r>
  <r>
    <x v="1829"/>
    <x v="9"/>
    <x v="3"/>
    <n v="30.7"/>
    <x v="1431"/>
    <d v="2025-03-09T00:00:00"/>
    <d v="2025-03-10T00:00:00"/>
    <x v="1"/>
    <x v="2"/>
    <x v="2"/>
    <x v="0"/>
    <x v="25"/>
    <x v="3"/>
    <x v="10"/>
    <x v="1"/>
  </r>
  <r>
    <x v="1830"/>
    <x v="1"/>
    <x v="1"/>
    <n v="61.6"/>
    <x v="1432"/>
    <d v="2025-03-09T00:00:00"/>
    <d v="2025-03-10T00:00:00"/>
    <x v="2"/>
    <x v="2"/>
    <x v="2"/>
    <x v="0"/>
    <x v="23"/>
    <x v="3"/>
    <x v="10"/>
    <x v="2"/>
  </r>
  <r>
    <x v="1831"/>
    <x v="6"/>
    <x v="12"/>
    <n v="54.3"/>
    <x v="1433"/>
    <d v="2025-03-09T00:00:00"/>
    <d v="2025-03-11T00:00:00"/>
    <x v="0"/>
    <x v="4"/>
    <x v="0"/>
    <x v="0"/>
    <x v="7"/>
    <x v="1"/>
    <x v="10"/>
    <x v="0"/>
  </r>
  <r>
    <x v="1832"/>
    <x v="1"/>
    <x v="1"/>
    <n v="44.1"/>
    <x v="1047"/>
    <d v="2025-03-09T00:00:00"/>
    <d v="2025-03-21T00:00:00"/>
    <x v="2"/>
    <x v="0"/>
    <x v="2"/>
    <x v="0"/>
    <x v="8"/>
    <x v="13"/>
    <x v="10"/>
    <x v="2"/>
  </r>
  <r>
    <x v="1833"/>
    <x v="8"/>
    <x v="12"/>
    <n v="43.5"/>
    <x v="1434"/>
    <d v="2025-03-09T00:00:00"/>
    <d v="2025-03-15T00:00:00"/>
    <x v="1"/>
    <x v="3"/>
    <x v="0"/>
    <x v="0"/>
    <x v="8"/>
    <x v="4"/>
    <x v="10"/>
    <x v="1"/>
  </r>
  <r>
    <x v="1834"/>
    <x v="8"/>
    <x v="2"/>
    <n v="48.2"/>
    <x v="1435"/>
    <d v="2025-03-09T00:00:00"/>
    <d v="2025-03-13T00:00:00"/>
    <x v="1"/>
    <x v="3"/>
    <x v="1"/>
    <x v="0"/>
    <x v="8"/>
    <x v="5"/>
    <x v="10"/>
    <x v="1"/>
  </r>
  <r>
    <x v="1835"/>
    <x v="19"/>
    <x v="0"/>
    <n v="13.7"/>
    <x v="1436"/>
    <d v="2025-03-09T00:00:00"/>
    <d v="2025-03-10T00:00:00"/>
    <x v="2"/>
    <x v="2"/>
    <x v="2"/>
    <x v="0"/>
    <x v="8"/>
    <x v="3"/>
    <x v="10"/>
    <x v="2"/>
  </r>
  <r>
    <x v="1836"/>
    <x v="2"/>
    <x v="1"/>
    <n v="110.5"/>
    <x v="1437"/>
    <d v="2025-03-09T00:00:00"/>
    <d v="2025-03-10T00:00:00"/>
    <x v="2"/>
    <x v="0"/>
    <x v="1"/>
    <x v="0"/>
    <x v="8"/>
    <x v="3"/>
    <x v="10"/>
    <x v="2"/>
  </r>
  <r>
    <x v="1837"/>
    <x v="8"/>
    <x v="2"/>
    <n v="26"/>
    <x v="292"/>
    <d v="2025-03-09T00:00:00"/>
    <d v="2025-03-14T00:00:00"/>
    <x v="2"/>
    <x v="1"/>
    <x v="1"/>
    <x v="0"/>
    <x v="8"/>
    <x v="0"/>
    <x v="10"/>
    <x v="2"/>
  </r>
  <r>
    <x v="1838"/>
    <x v="2"/>
    <x v="7"/>
    <n v="140.69999999999999"/>
    <x v="1438"/>
    <d v="2025-03-09T00:00:00"/>
    <d v="2025-03-15T00:00:00"/>
    <x v="1"/>
    <x v="3"/>
    <x v="1"/>
    <x v="0"/>
    <x v="8"/>
    <x v="4"/>
    <x v="10"/>
    <x v="1"/>
  </r>
  <r>
    <x v="1839"/>
    <x v="17"/>
    <x v="1"/>
    <n v="41.7"/>
    <x v="925"/>
    <d v="2025-03-09T00:00:00"/>
    <d v="2025-03-17T00:00:00"/>
    <x v="2"/>
    <x v="0"/>
    <x v="4"/>
    <x v="0"/>
    <x v="8"/>
    <x v="9"/>
    <x v="10"/>
    <x v="2"/>
  </r>
  <r>
    <x v="1840"/>
    <x v="2"/>
    <x v="1"/>
    <n v="135.1"/>
    <x v="1439"/>
    <d v="2025-03-09T00:00:00"/>
    <d v="2025-03-10T00:00:00"/>
    <x v="1"/>
    <x v="0"/>
    <x v="2"/>
    <x v="0"/>
    <x v="17"/>
    <x v="3"/>
    <x v="10"/>
    <x v="1"/>
  </r>
  <r>
    <x v="1841"/>
    <x v="12"/>
    <x v="32"/>
    <n v="95.5"/>
    <x v="1440"/>
    <d v="2025-03-09T00:00:00"/>
    <d v="2025-03-10T00:00:00"/>
    <x v="2"/>
    <x v="4"/>
    <x v="4"/>
    <x v="0"/>
    <x v="26"/>
    <x v="3"/>
    <x v="10"/>
    <x v="2"/>
  </r>
  <r>
    <x v="1842"/>
    <x v="15"/>
    <x v="0"/>
    <n v="25.5"/>
    <x v="1441"/>
    <d v="2025-03-09T00:00:00"/>
    <d v="2025-03-12T00:00:00"/>
    <x v="0"/>
    <x v="2"/>
    <x v="2"/>
    <x v="0"/>
    <x v="11"/>
    <x v="2"/>
    <x v="10"/>
    <x v="0"/>
  </r>
  <r>
    <x v="1843"/>
    <x v="1"/>
    <x v="0"/>
    <n v="42.6"/>
    <x v="440"/>
    <d v="2025-03-09T00:00:00"/>
    <d v="2025-03-13T00:00:00"/>
    <x v="2"/>
    <x v="0"/>
    <x v="0"/>
    <x v="0"/>
    <x v="11"/>
    <x v="5"/>
    <x v="10"/>
    <x v="2"/>
  </r>
  <r>
    <x v="1844"/>
    <x v="8"/>
    <x v="20"/>
    <n v="32.4"/>
    <x v="1442"/>
    <d v="2025-03-09T00:00:00"/>
    <d v="2025-03-10T00:00:00"/>
    <x v="1"/>
    <x v="1"/>
    <x v="1"/>
    <x v="0"/>
    <x v="11"/>
    <x v="3"/>
    <x v="10"/>
    <x v="1"/>
  </r>
  <r>
    <x v="1845"/>
    <x v="4"/>
    <x v="12"/>
    <n v="20.2"/>
    <x v="1443"/>
    <d v="2025-03-09T00:00:00"/>
    <d v="2025-03-10T00:00:00"/>
    <x v="3"/>
    <x v="2"/>
    <x v="0"/>
    <x v="0"/>
    <x v="11"/>
    <x v="3"/>
    <x v="10"/>
    <x v="3"/>
  </r>
  <r>
    <x v="1846"/>
    <x v="16"/>
    <x v="2"/>
    <n v="52.5"/>
    <x v="905"/>
    <d v="2025-03-09T00:00:00"/>
    <d v="2025-03-14T00:00:00"/>
    <x v="2"/>
    <x v="4"/>
    <x v="0"/>
    <x v="0"/>
    <x v="18"/>
    <x v="0"/>
    <x v="10"/>
    <x v="2"/>
  </r>
  <r>
    <x v="1847"/>
    <x v="2"/>
    <x v="9"/>
    <n v="59.9"/>
    <x v="1444"/>
    <d v="2025-03-09T00:00:00"/>
    <d v="2025-03-11T00:00:00"/>
    <x v="2"/>
    <x v="2"/>
    <x v="0"/>
    <x v="0"/>
    <x v="19"/>
    <x v="1"/>
    <x v="10"/>
    <x v="2"/>
  </r>
  <r>
    <x v="1848"/>
    <x v="4"/>
    <x v="1"/>
    <n v="53.2"/>
    <x v="793"/>
    <d v="2025-03-09T00:00:00"/>
    <d v="2025-03-10T00:00:00"/>
    <x v="2"/>
    <x v="1"/>
    <x v="3"/>
    <x v="0"/>
    <x v="20"/>
    <x v="3"/>
    <x v="10"/>
    <x v="2"/>
  </r>
  <r>
    <x v="1849"/>
    <x v="2"/>
    <x v="1"/>
    <n v="60"/>
    <x v="160"/>
    <d v="2025-03-09T00:00:00"/>
    <d v="2025-03-15T00:00:00"/>
    <x v="1"/>
    <x v="1"/>
    <x v="2"/>
    <x v="0"/>
    <x v="20"/>
    <x v="4"/>
    <x v="10"/>
    <x v="1"/>
  </r>
  <r>
    <x v="1850"/>
    <x v="8"/>
    <x v="2"/>
    <n v="29.3"/>
    <x v="1205"/>
    <d v="2025-03-09T00:00:00"/>
    <d v="2025-03-10T00:00:00"/>
    <x v="2"/>
    <x v="4"/>
    <x v="0"/>
    <x v="0"/>
    <x v="13"/>
    <x v="3"/>
    <x v="10"/>
    <x v="2"/>
  </r>
  <r>
    <x v="1851"/>
    <x v="12"/>
    <x v="1"/>
    <n v="55.4"/>
    <x v="806"/>
    <d v="2025-03-09T00:00:00"/>
    <d v="2025-03-10T00:00:00"/>
    <x v="2"/>
    <x v="0"/>
    <x v="2"/>
    <x v="0"/>
    <x v="21"/>
    <x v="3"/>
    <x v="10"/>
    <x v="2"/>
  </r>
  <r>
    <x v="1852"/>
    <x v="0"/>
    <x v="9"/>
    <n v="20.100000000000001"/>
    <x v="427"/>
    <d v="2025-03-09T00:00:00"/>
    <d v="2025-03-11T00:00:00"/>
    <x v="2"/>
    <x v="1"/>
    <x v="2"/>
    <x v="0"/>
    <x v="21"/>
    <x v="1"/>
    <x v="10"/>
    <x v="2"/>
  </r>
  <r>
    <x v="1853"/>
    <x v="14"/>
    <x v="9"/>
    <n v="24"/>
    <x v="160"/>
    <d v="2025-03-09T00:00:00"/>
    <d v="2025-03-12T00:00:00"/>
    <x v="1"/>
    <x v="2"/>
    <x v="0"/>
    <x v="0"/>
    <x v="1"/>
    <x v="2"/>
    <x v="10"/>
    <x v="1"/>
  </r>
  <r>
    <x v="1854"/>
    <x v="8"/>
    <x v="1"/>
    <n v="30.6"/>
    <x v="1"/>
    <d v="2025-03-10T00:00:00"/>
    <d v="2025-03-12T00:00:00"/>
    <x v="2"/>
    <x v="0"/>
    <x v="0"/>
    <x v="0"/>
    <x v="1"/>
    <x v="1"/>
    <x v="10"/>
    <x v="2"/>
  </r>
  <r>
    <x v="1855"/>
    <x v="10"/>
    <x v="9"/>
    <n v="33"/>
    <x v="1445"/>
    <d v="2025-03-10T00:00:00"/>
    <d v="2025-03-11T00:00:00"/>
    <x v="1"/>
    <x v="1"/>
    <x v="1"/>
    <x v="0"/>
    <x v="27"/>
    <x v="3"/>
    <x v="10"/>
    <x v="1"/>
  </r>
  <r>
    <x v="1856"/>
    <x v="17"/>
    <x v="11"/>
    <n v="42.1"/>
    <x v="1258"/>
    <d v="2025-03-10T00:00:00"/>
    <d v="2025-03-16T00:00:00"/>
    <x v="2"/>
    <x v="2"/>
    <x v="0"/>
    <x v="0"/>
    <x v="44"/>
    <x v="4"/>
    <x v="10"/>
    <x v="2"/>
  </r>
  <r>
    <x v="1857"/>
    <x v="6"/>
    <x v="3"/>
    <n v="77.7"/>
    <x v="1446"/>
    <d v="2025-03-10T00:00:00"/>
    <d v="2025-03-15T00:00:00"/>
    <x v="2"/>
    <x v="1"/>
    <x v="2"/>
    <x v="0"/>
    <x v="50"/>
    <x v="0"/>
    <x v="10"/>
    <x v="2"/>
  </r>
  <r>
    <x v="1858"/>
    <x v="17"/>
    <x v="13"/>
    <n v="22.7"/>
    <x v="1134"/>
    <d v="2025-03-10T00:00:00"/>
    <d v="2025-03-13T00:00:00"/>
    <x v="2"/>
    <x v="2"/>
    <x v="0"/>
    <x v="0"/>
    <x v="3"/>
    <x v="2"/>
    <x v="10"/>
    <x v="2"/>
  </r>
  <r>
    <x v="1859"/>
    <x v="2"/>
    <x v="1"/>
    <n v="133"/>
    <x v="751"/>
    <d v="2025-03-10T00:00:00"/>
    <d v="2025-03-10T00:00:00"/>
    <x v="1"/>
    <x v="2"/>
    <x v="2"/>
    <x v="0"/>
    <x v="3"/>
    <x v="7"/>
    <x v="10"/>
    <x v="1"/>
  </r>
  <r>
    <x v="1860"/>
    <x v="0"/>
    <x v="1"/>
    <n v="23.3"/>
    <x v="1447"/>
    <d v="2025-03-10T00:00:00"/>
    <d v="2025-03-11T00:00:00"/>
    <x v="1"/>
    <x v="1"/>
    <x v="2"/>
    <x v="0"/>
    <x v="3"/>
    <x v="3"/>
    <x v="10"/>
    <x v="1"/>
  </r>
  <r>
    <x v="1861"/>
    <x v="8"/>
    <x v="2"/>
    <n v="20.7"/>
    <x v="1448"/>
    <d v="2025-03-10T00:00:00"/>
    <d v="2025-03-12T00:00:00"/>
    <x v="3"/>
    <x v="0"/>
    <x v="2"/>
    <x v="0"/>
    <x v="3"/>
    <x v="1"/>
    <x v="10"/>
    <x v="3"/>
  </r>
  <r>
    <x v="1862"/>
    <x v="12"/>
    <x v="1"/>
    <n v="47"/>
    <x v="255"/>
    <d v="2025-03-10T00:00:00"/>
    <d v="2025-03-11T00:00:00"/>
    <x v="1"/>
    <x v="1"/>
    <x v="2"/>
    <x v="0"/>
    <x v="3"/>
    <x v="3"/>
    <x v="10"/>
    <x v="1"/>
  </r>
  <r>
    <x v="1863"/>
    <x v="12"/>
    <x v="2"/>
    <n v="38.200000000000003"/>
    <x v="1449"/>
    <d v="2025-03-10T00:00:00"/>
    <d v="2025-03-12T00:00:00"/>
    <x v="2"/>
    <x v="2"/>
    <x v="4"/>
    <x v="0"/>
    <x v="3"/>
    <x v="1"/>
    <x v="10"/>
    <x v="2"/>
  </r>
  <r>
    <x v="1864"/>
    <x v="9"/>
    <x v="0"/>
    <n v="39.1"/>
    <x v="923"/>
    <d v="2025-03-10T00:00:00"/>
    <d v="2025-03-12T00:00:00"/>
    <x v="2"/>
    <x v="0"/>
    <x v="0"/>
    <x v="0"/>
    <x v="3"/>
    <x v="1"/>
    <x v="10"/>
    <x v="2"/>
  </r>
  <r>
    <x v="1865"/>
    <x v="7"/>
    <x v="30"/>
    <n v="55.6"/>
    <x v="1450"/>
    <d v="2025-03-10T00:00:00"/>
    <d v="2025-03-12T00:00:00"/>
    <x v="1"/>
    <x v="0"/>
    <x v="2"/>
    <x v="0"/>
    <x v="3"/>
    <x v="1"/>
    <x v="10"/>
    <x v="1"/>
  </r>
  <r>
    <x v="1866"/>
    <x v="15"/>
    <x v="0"/>
    <n v="43.1"/>
    <x v="39"/>
    <d v="2025-03-10T00:00:00"/>
    <d v="2025-03-10T00:00:00"/>
    <x v="3"/>
    <x v="1"/>
    <x v="2"/>
    <x v="0"/>
    <x v="3"/>
    <x v="7"/>
    <x v="10"/>
    <x v="3"/>
  </r>
  <r>
    <x v="1867"/>
    <x v="6"/>
    <x v="12"/>
    <n v="48.1"/>
    <x v="1451"/>
    <d v="2025-03-10T00:00:00"/>
    <d v="2025-03-11T00:00:00"/>
    <x v="2"/>
    <x v="4"/>
    <x v="2"/>
    <x v="0"/>
    <x v="3"/>
    <x v="3"/>
    <x v="10"/>
    <x v="2"/>
  </r>
  <r>
    <x v="1868"/>
    <x v="4"/>
    <x v="0"/>
    <n v="42"/>
    <x v="337"/>
    <d v="2025-03-10T00:00:00"/>
    <d v="2025-03-11T00:00:00"/>
    <x v="3"/>
    <x v="0"/>
    <x v="0"/>
    <x v="0"/>
    <x v="3"/>
    <x v="3"/>
    <x v="10"/>
    <x v="3"/>
  </r>
  <r>
    <x v="1869"/>
    <x v="8"/>
    <x v="9"/>
    <n v="18.3"/>
    <x v="1058"/>
    <d v="2025-03-10T00:00:00"/>
    <d v="2025-03-10T00:00:00"/>
    <x v="2"/>
    <x v="2"/>
    <x v="0"/>
    <x v="0"/>
    <x v="3"/>
    <x v="7"/>
    <x v="10"/>
    <x v="2"/>
  </r>
  <r>
    <x v="1870"/>
    <x v="10"/>
    <x v="12"/>
    <n v="45.3"/>
    <x v="1452"/>
    <d v="2025-03-10T00:00:00"/>
    <d v="2025-03-13T00:00:00"/>
    <x v="2"/>
    <x v="0"/>
    <x v="2"/>
    <x v="0"/>
    <x v="3"/>
    <x v="2"/>
    <x v="10"/>
    <x v="2"/>
  </r>
  <r>
    <x v="1871"/>
    <x v="0"/>
    <x v="1"/>
    <n v="27.6"/>
    <x v="291"/>
    <d v="2025-03-10T00:00:00"/>
    <d v="2025-03-12T00:00:00"/>
    <x v="1"/>
    <x v="0"/>
    <x v="2"/>
    <x v="0"/>
    <x v="37"/>
    <x v="1"/>
    <x v="10"/>
    <x v="1"/>
  </r>
  <r>
    <x v="1872"/>
    <x v="4"/>
    <x v="9"/>
    <n v="26.9"/>
    <x v="531"/>
    <d v="2025-03-10T00:00:00"/>
    <d v="2025-03-11T00:00:00"/>
    <x v="2"/>
    <x v="2"/>
    <x v="0"/>
    <x v="0"/>
    <x v="25"/>
    <x v="3"/>
    <x v="10"/>
    <x v="2"/>
  </r>
  <r>
    <x v="1873"/>
    <x v="2"/>
    <x v="11"/>
    <n v="82.4"/>
    <x v="1453"/>
    <d v="2025-03-10T00:00:00"/>
    <d v="2025-03-12T00:00:00"/>
    <x v="3"/>
    <x v="2"/>
    <x v="0"/>
    <x v="0"/>
    <x v="5"/>
    <x v="1"/>
    <x v="10"/>
    <x v="3"/>
  </r>
  <r>
    <x v="1874"/>
    <x v="6"/>
    <x v="0"/>
    <n v="103.7"/>
    <x v="1454"/>
    <d v="2025-03-10T00:00:00"/>
    <d v="2025-03-12T00:00:00"/>
    <x v="2"/>
    <x v="1"/>
    <x v="0"/>
    <x v="0"/>
    <x v="5"/>
    <x v="1"/>
    <x v="10"/>
    <x v="2"/>
  </r>
  <r>
    <x v="1875"/>
    <x v="2"/>
    <x v="1"/>
    <n v="58.8"/>
    <x v="833"/>
    <d v="2025-03-10T00:00:00"/>
    <d v="2025-03-15T00:00:00"/>
    <x v="2"/>
    <x v="1"/>
    <x v="2"/>
    <x v="0"/>
    <x v="6"/>
    <x v="0"/>
    <x v="10"/>
    <x v="2"/>
  </r>
  <r>
    <x v="1876"/>
    <x v="13"/>
    <x v="0"/>
    <n v="31.5"/>
    <x v="1455"/>
    <d v="2025-03-10T00:00:00"/>
    <d v="2025-03-11T00:00:00"/>
    <x v="2"/>
    <x v="1"/>
    <x v="1"/>
    <x v="0"/>
    <x v="6"/>
    <x v="3"/>
    <x v="10"/>
    <x v="2"/>
  </r>
  <r>
    <x v="1877"/>
    <x v="7"/>
    <x v="9"/>
    <n v="36.799999999999997"/>
    <x v="79"/>
    <d v="2025-03-10T00:00:00"/>
    <d v="2025-03-12T00:00:00"/>
    <x v="2"/>
    <x v="0"/>
    <x v="0"/>
    <x v="0"/>
    <x v="8"/>
    <x v="1"/>
    <x v="10"/>
    <x v="2"/>
  </r>
  <r>
    <x v="1878"/>
    <x v="3"/>
    <x v="0"/>
    <n v="84.4"/>
    <x v="533"/>
    <d v="2025-03-10T00:00:00"/>
    <d v="2025-03-11T00:00:00"/>
    <x v="2"/>
    <x v="0"/>
    <x v="0"/>
    <x v="0"/>
    <x v="8"/>
    <x v="3"/>
    <x v="10"/>
    <x v="2"/>
  </r>
  <r>
    <x v="1879"/>
    <x v="14"/>
    <x v="0"/>
    <n v="44.7"/>
    <x v="1456"/>
    <d v="2025-03-10T00:00:00"/>
    <d v="2025-03-11T00:00:00"/>
    <x v="1"/>
    <x v="0"/>
    <x v="1"/>
    <x v="0"/>
    <x v="8"/>
    <x v="3"/>
    <x v="10"/>
    <x v="1"/>
  </r>
  <r>
    <x v="1880"/>
    <x v="9"/>
    <x v="8"/>
    <n v="39.4"/>
    <x v="895"/>
    <d v="2025-03-10T00:00:00"/>
    <d v="2025-03-11T00:00:00"/>
    <x v="2"/>
    <x v="1"/>
    <x v="2"/>
    <x v="0"/>
    <x v="8"/>
    <x v="3"/>
    <x v="10"/>
    <x v="2"/>
  </r>
  <r>
    <x v="1881"/>
    <x v="11"/>
    <x v="12"/>
    <n v="34.9"/>
    <x v="1457"/>
    <d v="2025-03-10T00:00:00"/>
    <d v="2025-03-12T00:00:00"/>
    <x v="2"/>
    <x v="0"/>
    <x v="2"/>
    <x v="0"/>
    <x v="8"/>
    <x v="1"/>
    <x v="10"/>
    <x v="2"/>
  </r>
  <r>
    <x v="1882"/>
    <x v="1"/>
    <x v="2"/>
    <n v="62.3"/>
    <x v="1458"/>
    <d v="2025-03-10T00:00:00"/>
    <d v="2025-03-12T00:00:00"/>
    <x v="1"/>
    <x v="4"/>
    <x v="2"/>
    <x v="0"/>
    <x v="8"/>
    <x v="1"/>
    <x v="10"/>
    <x v="1"/>
  </r>
  <r>
    <x v="1883"/>
    <x v="8"/>
    <x v="12"/>
    <n v="21.1"/>
    <x v="533"/>
    <d v="2025-03-10T00:00:00"/>
    <d v="2025-03-13T00:00:00"/>
    <x v="1"/>
    <x v="3"/>
    <x v="0"/>
    <x v="0"/>
    <x v="8"/>
    <x v="2"/>
    <x v="10"/>
    <x v="1"/>
  </r>
  <r>
    <x v="1884"/>
    <x v="8"/>
    <x v="2"/>
    <n v="33.200000000000003"/>
    <x v="1459"/>
    <d v="2025-03-10T00:00:00"/>
    <d v="2025-03-24T00:00:00"/>
    <x v="0"/>
    <x v="0"/>
    <x v="4"/>
    <x v="0"/>
    <x v="8"/>
    <x v="12"/>
    <x v="10"/>
    <x v="0"/>
  </r>
  <r>
    <x v="1885"/>
    <x v="1"/>
    <x v="12"/>
    <n v="74.5"/>
    <x v="1460"/>
    <d v="2025-03-10T00:00:00"/>
    <d v="2025-03-11T00:00:00"/>
    <x v="1"/>
    <x v="4"/>
    <x v="0"/>
    <x v="0"/>
    <x v="8"/>
    <x v="3"/>
    <x v="10"/>
    <x v="1"/>
  </r>
  <r>
    <x v="1886"/>
    <x v="10"/>
    <x v="4"/>
    <n v="68.599999999999994"/>
    <x v="1461"/>
    <d v="2025-03-10T00:00:00"/>
    <d v="2025-03-13T00:00:00"/>
    <x v="2"/>
    <x v="0"/>
    <x v="2"/>
    <x v="0"/>
    <x v="8"/>
    <x v="2"/>
    <x v="10"/>
    <x v="2"/>
  </r>
  <r>
    <x v="1887"/>
    <x v="5"/>
    <x v="21"/>
    <n v="36.4"/>
    <x v="1462"/>
    <d v="2025-03-10T00:00:00"/>
    <d v="2025-03-12T00:00:00"/>
    <x v="2"/>
    <x v="0"/>
    <x v="1"/>
    <x v="0"/>
    <x v="9"/>
    <x v="1"/>
    <x v="10"/>
    <x v="2"/>
  </r>
  <r>
    <x v="1888"/>
    <x v="16"/>
    <x v="9"/>
    <n v="67.599999999999994"/>
    <x v="1463"/>
    <d v="2025-03-11T00:00:00"/>
    <d v="2025-03-14T00:00:00"/>
    <x v="2"/>
    <x v="4"/>
    <x v="1"/>
    <x v="0"/>
    <x v="9"/>
    <x v="2"/>
    <x v="10"/>
    <x v="2"/>
  </r>
  <r>
    <x v="1889"/>
    <x v="15"/>
    <x v="0"/>
    <n v="46.3"/>
    <x v="516"/>
    <d v="2025-03-11T00:00:00"/>
    <d v="2025-03-12T00:00:00"/>
    <x v="1"/>
    <x v="2"/>
    <x v="0"/>
    <x v="0"/>
    <x v="9"/>
    <x v="3"/>
    <x v="10"/>
    <x v="1"/>
  </r>
  <r>
    <x v="1890"/>
    <x v="1"/>
    <x v="2"/>
    <n v="124.2"/>
    <x v="1464"/>
    <d v="2025-03-11T00:00:00"/>
    <d v="2025-03-13T00:00:00"/>
    <x v="2"/>
    <x v="1"/>
    <x v="2"/>
    <x v="0"/>
    <x v="11"/>
    <x v="1"/>
    <x v="10"/>
    <x v="2"/>
  </r>
  <r>
    <x v="1891"/>
    <x v="10"/>
    <x v="1"/>
    <n v="37"/>
    <x v="372"/>
    <d v="2025-03-11T00:00:00"/>
    <d v="2025-03-17T00:00:00"/>
    <x v="1"/>
    <x v="0"/>
    <x v="0"/>
    <x v="0"/>
    <x v="11"/>
    <x v="4"/>
    <x v="10"/>
    <x v="1"/>
  </r>
  <r>
    <x v="1892"/>
    <x v="5"/>
    <x v="0"/>
    <n v="41.8"/>
    <x v="1465"/>
    <d v="2025-03-11T00:00:00"/>
    <d v="2025-03-12T00:00:00"/>
    <x v="1"/>
    <x v="2"/>
    <x v="0"/>
    <x v="0"/>
    <x v="31"/>
    <x v="3"/>
    <x v="10"/>
    <x v="1"/>
  </r>
  <r>
    <x v="1893"/>
    <x v="9"/>
    <x v="1"/>
    <n v="57.2"/>
    <x v="1466"/>
    <d v="2025-03-11T00:00:00"/>
    <d v="2025-03-13T00:00:00"/>
    <x v="1"/>
    <x v="2"/>
    <x v="1"/>
    <x v="0"/>
    <x v="20"/>
    <x v="1"/>
    <x v="10"/>
    <x v="1"/>
  </r>
  <r>
    <x v="1894"/>
    <x v="6"/>
    <x v="1"/>
    <n v="47.1"/>
    <x v="1467"/>
    <d v="2025-03-11T00:00:00"/>
    <d v="2025-03-13T00:00:00"/>
    <x v="2"/>
    <x v="0"/>
    <x v="4"/>
    <x v="0"/>
    <x v="20"/>
    <x v="1"/>
    <x v="10"/>
    <x v="2"/>
  </r>
  <r>
    <x v="1895"/>
    <x v="5"/>
    <x v="2"/>
    <n v="86.4"/>
    <x v="1468"/>
    <d v="2025-03-11T00:00:00"/>
    <d v="2025-03-12T00:00:00"/>
    <x v="1"/>
    <x v="2"/>
    <x v="1"/>
    <x v="0"/>
    <x v="52"/>
    <x v="3"/>
    <x v="10"/>
    <x v="1"/>
  </r>
  <r>
    <x v="1896"/>
    <x v="6"/>
    <x v="9"/>
    <n v="105"/>
    <x v="1469"/>
    <d v="2025-03-11T00:00:00"/>
    <d v="2025-03-14T00:00:00"/>
    <x v="1"/>
    <x v="0"/>
    <x v="0"/>
    <x v="0"/>
    <x v="13"/>
    <x v="2"/>
    <x v="10"/>
    <x v="1"/>
  </r>
  <r>
    <x v="1897"/>
    <x v="18"/>
    <x v="0"/>
    <n v="33"/>
    <x v="940"/>
    <d v="2025-03-11T00:00:00"/>
    <d v="2025-03-14T00:00:00"/>
    <x v="1"/>
    <x v="4"/>
    <x v="0"/>
    <x v="0"/>
    <x v="21"/>
    <x v="2"/>
    <x v="10"/>
    <x v="1"/>
  </r>
  <r>
    <x v="1898"/>
    <x v="6"/>
    <x v="9"/>
    <n v="106.6"/>
    <x v="1470"/>
    <d v="2025-03-11T00:00:00"/>
    <d v="2025-03-24T00:00:00"/>
    <x v="2"/>
    <x v="2"/>
    <x v="0"/>
    <x v="0"/>
    <x v="1"/>
    <x v="10"/>
    <x v="10"/>
    <x v="2"/>
  </r>
  <r>
    <x v="1899"/>
    <x v="10"/>
    <x v="46"/>
    <n v="26.8"/>
    <x v="1471"/>
    <d v="2025-03-11T00:00:00"/>
    <d v="2025-03-12T00:00:00"/>
    <x v="2"/>
    <x v="2"/>
    <x v="0"/>
    <x v="0"/>
    <x v="1"/>
    <x v="3"/>
    <x v="10"/>
    <x v="2"/>
  </r>
  <r>
    <x v="1900"/>
    <x v="17"/>
    <x v="9"/>
    <n v="25.8"/>
    <x v="309"/>
    <d v="2025-03-11T00:00:00"/>
    <d v="2025-03-11T00:00:00"/>
    <x v="2"/>
    <x v="1"/>
    <x v="2"/>
    <x v="0"/>
    <x v="3"/>
    <x v="7"/>
    <x v="10"/>
    <x v="2"/>
  </r>
  <r>
    <x v="1901"/>
    <x v="2"/>
    <x v="2"/>
    <n v="217"/>
    <x v="1472"/>
    <d v="2025-03-11T00:00:00"/>
    <d v="2025-03-12T00:00:00"/>
    <x v="2"/>
    <x v="1"/>
    <x v="1"/>
    <x v="0"/>
    <x v="3"/>
    <x v="3"/>
    <x v="10"/>
    <x v="2"/>
  </r>
  <r>
    <x v="1902"/>
    <x v="2"/>
    <x v="1"/>
    <n v="97.3"/>
    <x v="1473"/>
    <d v="2025-03-11T00:00:00"/>
    <d v="2025-03-12T00:00:00"/>
    <x v="1"/>
    <x v="2"/>
    <x v="4"/>
    <x v="0"/>
    <x v="3"/>
    <x v="3"/>
    <x v="10"/>
    <x v="1"/>
  </r>
  <r>
    <x v="1903"/>
    <x v="1"/>
    <x v="0"/>
    <n v="49.8"/>
    <x v="1474"/>
    <d v="2025-03-11T00:00:00"/>
    <d v="2025-03-12T00:00:00"/>
    <x v="2"/>
    <x v="0"/>
    <x v="0"/>
    <x v="0"/>
    <x v="3"/>
    <x v="3"/>
    <x v="10"/>
    <x v="2"/>
  </r>
  <r>
    <x v="1904"/>
    <x v="12"/>
    <x v="9"/>
    <n v="32.6"/>
    <x v="1475"/>
    <d v="2025-03-11T00:00:00"/>
    <d v="2025-03-12T00:00:00"/>
    <x v="2"/>
    <x v="0"/>
    <x v="0"/>
    <x v="0"/>
    <x v="3"/>
    <x v="3"/>
    <x v="10"/>
    <x v="2"/>
  </r>
  <r>
    <x v="1905"/>
    <x v="9"/>
    <x v="1"/>
    <n v="40.1"/>
    <x v="556"/>
    <d v="2025-03-11T00:00:00"/>
    <d v="2025-03-14T00:00:00"/>
    <x v="1"/>
    <x v="1"/>
    <x v="2"/>
    <x v="0"/>
    <x v="3"/>
    <x v="2"/>
    <x v="10"/>
    <x v="1"/>
  </r>
  <r>
    <x v="1906"/>
    <x v="10"/>
    <x v="1"/>
    <n v="49.4"/>
    <x v="197"/>
    <d v="2025-03-11T00:00:00"/>
    <d v="2025-03-13T00:00:00"/>
    <x v="1"/>
    <x v="1"/>
    <x v="0"/>
    <x v="0"/>
    <x v="3"/>
    <x v="1"/>
    <x v="10"/>
    <x v="1"/>
  </r>
  <r>
    <x v="1907"/>
    <x v="2"/>
    <x v="0"/>
    <n v="67.3"/>
    <x v="1476"/>
    <d v="2025-03-11T00:00:00"/>
    <d v="2025-03-12T00:00:00"/>
    <x v="2"/>
    <x v="0"/>
    <x v="2"/>
    <x v="0"/>
    <x v="3"/>
    <x v="3"/>
    <x v="10"/>
    <x v="2"/>
  </r>
  <r>
    <x v="1908"/>
    <x v="18"/>
    <x v="12"/>
    <n v="44.5"/>
    <x v="394"/>
    <d v="2025-03-11T00:00:00"/>
    <d v="2025-03-14T00:00:00"/>
    <x v="0"/>
    <x v="1"/>
    <x v="0"/>
    <x v="0"/>
    <x v="3"/>
    <x v="2"/>
    <x v="10"/>
    <x v="0"/>
  </r>
  <r>
    <x v="1909"/>
    <x v="6"/>
    <x v="5"/>
    <n v="111.1"/>
    <x v="1477"/>
    <d v="2025-03-11T00:00:00"/>
    <d v="2025-03-12T00:00:00"/>
    <x v="2"/>
    <x v="4"/>
    <x v="0"/>
    <x v="0"/>
    <x v="3"/>
    <x v="3"/>
    <x v="10"/>
    <x v="2"/>
  </r>
  <r>
    <x v="1910"/>
    <x v="8"/>
    <x v="2"/>
    <n v="19.7"/>
    <x v="1478"/>
    <d v="2025-03-11T00:00:00"/>
    <d v="2025-03-12T00:00:00"/>
    <x v="2"/>
    <x v="4"/>
    <x v="4"/>
    <x v="0"/>
    <x v="3"/>
    <x v="3"/>
    <x v="10"/>
    <x v="2"/>
  </r>
  <r>
    <x v="1911"/>
    <x v="1"/>
    <x v="0"/>
    <n v="40.299999999999997"/>
    <x v="518"/>
    <d v="2025-03-11T00:00:00"/>
    <d v="2025-03-12T00:00:00"/>
    <x v="3"/>
    <x v="1"/>
    <x v="0"/>
    <x v="0"/>
    <x v="3"/>
    <x v="3"/>
    <x v="10"/>
    <x v="3"/>
  </r>
  <r>
    <x v="1912"/>
    <x v="6"/>
    <x v="1"/>
    <n v="108.8"/>
    <x v="1479"/>
    <d v="2025-03-11T00:00:00"/>
    <d v="2025-03-16T00:00:00"/>
    <x v="1"/>
    <x v="0"/>
    <x v="2"/>
    <x v="0"/>
    <x v="6"/>
    <x v="0"/>
    <x v="10"/>
    <x v="1"/>
  </r>
  <r>
    <x v="1913"/>
    <x v="8"/>
    <x v="2"/>
    <n v="48.2"/>
    <x v="1435"/>
    <d v="2025-03-11T00:00:00"/>
    <d v="2025-03-16T00:00:00"/>
    <x v="2"/>
    <x v="4"/>
    <x v="0"/>
    <x v="0"/>
    <x v="7"/>
    <x v="0"/>
    <x v="10"/>
    <x v="2"/>
  </r>
  <r>
    <x v="1914"/>
    <x v="2"/>
    <x v="2"/>
    <n v="104.7"/>
    <x v="1480"/>
    <d v="2025-03-11T00:00:00"/>
    <d v="2025-03-13T00:00:00"/>
    <x v="2"/>
    <x v="0"/>
    <x v="1"/>
    <x v="0"/>
    <x v="7"/>
    <x v="1"/>
    <x v="10"/>
    <x v="2"/>
  </r>
  <r>
    <x v="1915"/>
    <x v="1"/>
    <x v="1"/>
    <n v="80.599999999999994"/>
    <x v="154"/>
    <d v="2025-03-11T00:00:00"/>
    <d v="2025-03-11T00:00:00"/>
    <x v="2"/>
    <x v="1"/>
    <x v="0"/>
    <x v="0"/>
    <x v="8"/>
    <x v="7"/>
    <x v="10"/>
    <x v="2"/>
  </r>
  <r>
    <x v="1916"/>
    <x v="6"/>
    <x v="0"/>
    <n v="65.5"/>
    <x v="1481"/>
    <d v="2025-03-11T00:00:00"/>
    <d v="2025-03-13T00:00:00"/>
    <x v="3"/>
    <x v="1"/>
    <x v="0"/>
    <x v="0"/>
    <x v="8"/>
    <x v="1"/>
    <x v="10"/>
    <x v="3"/>
  </r>
  <r>
    <x v="1917"/>
    <x v="9"/>
    <x v="2"/>
    <n v="61.4"/>
    <x v="1173"/>
    <d v="2025-03-11T00:00:00"/>
    <d v="2025-03-13T00:00:00"/>
    <x v="2"/>
    <x v="4"/>
    <x v="2"/>
    <x v="0"/>
    <x v="8"/>
    <x v="1"/>
    <x v="10"/>
    <x v="2"/>
  </r>
  <r>
    <x v="1918"/>
    <x v="0"/>
    <x v="0"/>
    <n v="12.5"/>
    <x v="1482"/>
    <d v="2025-03-12T00:00:00"/>
    <d v="2025-03-15T00:00:00"/>
    <x v="2"/>
    <x v="0"/>
    <x v="1"/>
    <x v="0"/>
    <x v="8"/>
    <x v="2"/>
    <x v="10"/>
    <x v="2"/>
  </r>
  <r>
    <x v="1919"/>
    <x v="4"/>
    <x v="12"/>
    <n v="35.1"/>
    <x v="381"/>
    <d v="2025-03-12T00:00:00"/>
    <d v="2025-03-13T00:00:00"/>
    <x v="1"/>
    <x v="2"/>
    <x v="1"/>
    <x v="0"/>
    <x v="17"/>
    <x v="3"/>
    <x v="10"/>
    <x v="1"/>
  </r>
  <r>
    <x v="1920"/>
    <x v="5"/>
    <x v="1"/>
    <n v="55.7"/>
    <x v="1483"/>
    <d v="2025-03-12T00:00:00"/>
    <d v="2025-03-13T00:00:00"/>
    <x v="1"/>
    <x v="0"/>
    <x v="1"/>
    <x v="0"/>
    <x v="26"/>
    <x v="3"/>
    <x v="10"/>
    <x v="1"/>
  </r>
  <r>
    <x v="1921"/>
    <x v="7"/>
    <x v="1"/>
    <n v="57.7"/>
    <x v="1484"/>
    <d v="2025-03-12T00:00:00"/>
    <d v="2025-03-14T00:00:00"/>
    <x v="1"/>
    <x v="4"/>
    <x v="1"/>
    <x v="0"/>
    <x v="9"/>
    <x v="1"/>
    <x v="10"/>
    <x v="1"/>
  </r>
  <r>
    <x v="1922"/>
    <x v="2"/>
    <x v="13"/>
    <n v="85.7"/>
    <x v="1485"/>
    <d v="2025-03-12T00:00:00"/>
    <d v="2025-03-13T00:00:00"/>
    <x v="1"/>
    <x v="3"/>
    <x v="2"/>
    <x v="0"/>
    <x v="9"/>
    <x v="3"/>
    <x v="10"/>
    <x v="1"/>
  </r>
  <r>
    <x v="1923"/>
    <x v="2"/>
    <x v="2"/>
    <n v="86.9"/>
    <x v="1486"/>
    <d v="2025-03-12T00:00:00"/>
    <d v="2025-03-14T00:00:00"/>
    <x v="2"/>
    <x v="1"/>
    <x v="0"/>
    <x v="0"/>
    <x v="11"/>
    <x v="1"/>
    <x v="10"/>
    <x v="2"/>
  </r>
  <r>
    <x v="1924"/>
    <x v="18"/>
    <x v="1"/>
    <n v="46.4"/>
    <x v="1487"/>
    <d v="2025-03-12T00:00:00"/>
    <d v="2025-03-15T00:00:00"/>
    <x v="2"/>
    <x v="4"/>
    <x v="0"/>
    <x v="0"/>
    <x v="11"/>
    <x v="2"/>
    <x v="10"/>
    <x v="2"/>
  </r>
  <r>
    <x v="1925"/>
    <x v="5"/>
    <x v="2"/>
    <n v="25.4"/>
    <x v="1488"/>
    <d v="2025-03-12T00:00:00"/>
    <d v="2025-03-12T00:00:00"/>
    <x v="2"/>
    <x v="2"/>
    <x v="2"/>
    <x v="0"/>
    <x v="18"/>
    <x v="7"/>
    <x v="10"/>
    <x v="2"/>
  </r>
  <r>
    <x v="1926"/>
    <x v="10"/>
    <x v="2"/>
    <n v="47.8"/>
    <x v="1489"/>
    <d v="2025-03-12T00:00:00"/>
    <d v="2025-03-12T00:00:00"/>
    <x v="0"/>
    <x v="2"/>
    <x v="2"/>
    <x v="0"/>
    <x v="19"/>
    <x v="7"/>
    <x v="10"/>
    <x v="0"/>
  </r>
  <r>
    <x v="1927"/>
    <x v="8"/>
    <x v="10"/>
    <n v="18.399999999999999"/>
    <x v="1490"/>
    <d v="2025-03-12T00:00:00"/>
    <d v="2025-03-14T00:00:00"/>
    <x v="3"/>
    <x v="2"/>
    <x v="0"/>
    <x v="0"/>
    <x v="20"/>
    <x v="1"/>
    <x v="10"/>
    <x v="3"/>
  </r>
  <r>
    <x v="1928"/>
    <x v="12"/>
    <x v="2"/>
    <n v="65.5"/>
    <x v="756"/>
    <d v="2025-03-12T00:00:00"/>
    <d v="2025-03-20T00:00:00"/>
    <x v="2"/>
    <x v="0"/>
    <x v="0"/>
    <x v="0"/>
    <x v="21"/>
    <x v="9"/>
    <x v="10"/>
    <x v="2"/>
  </r>
  <r>
    <x v="1929"/>
    <x v="10"/>
    <x v="1"/>
    <n v="50.6"/>
    <x v="855"/>
    <d v="2025-03-12T00:00:00"/>
    <d v="2025-03-15T00:00:00"/>
    <x v="1"/>
    <x v="2"/>
    <x v="4"/>
    <x v="0"/>
    <x v="21"/>
    <x v="2"/>
    <x v="10"/>
    <x v="1"/>
  </r>
  <r>
    <x v="1930"/>
    <x v="3"/>
    <x v="9"/>
    <n v="69"/>
    <x v="1491"/>
    <d v="2025-03-12T00:00:00"/>
    <d v="2025-03-16T00:00:00"/>
    <x v="1"/>
    <x v="3"/>
    <x v="0"/>
    <x v="0"/>
    <x v="21"/>
    <x v="5"/>
    <x v="10"/>
    <x v="1"/>
  </r>
  <r>
    <x v="1931"/>
    <x v="9"/>
    <x v="8"/>
    <n v="51.1"/>
    <x v="18"/>
    <d v="2025-03-12T00:00:00"/>
    <d v="2025-03-14T00:00:00"/>
    <x v="2"/>
    <x v="0"/>
    <x v="0"/>
    <x v="0"/>
    <x v="1"/>
    <x v="1"/>
    <x v="10"/>
    <x v="2"/>
  </r>
  <r>
    <x v="1932"/>
    <x v="9"/>
    <x v="0"/>
    <n v="36.1"/>
    <x v="168"/>
    <d v="2025-03-12T00:00:00"/>
    <d v="2025-03-13T00:00:00"/>
    <x v="2"/>
    <x v="0"/>
    <x v="2"/>
    <x v="0"/>
    <x v="34"/>
    <x v="3"/>
    <x v="10"/>
    <x v="2"/>
  </r>
  <r>
    <x v="1933"/>
    <x v="14"/>
    <x v="0"/>
    <n v="18.7"/>
    <x v="1492"/>
    <d v="2025-03-12T00:00:00"/>
    <d v="2025-03-13T00:00:00"/>
    <x v="1"/>
    <x v="0"/>
    <x v="0"/>
    <x v="0"/>
    <x v="3"/>
    <x v="3"/>
    <x v="10"/>
    <x v="1"/>
  </r>
  <r>
    <x v="1934"/>
    <x v="17"/>
    <x v="0"/>
    <n v="30.1"/>
    <x v="1493"/>
    <d v="2025-03-12T00:00:00"/>
    <d v="2025-03-15T00:00:00"/>
    <x v="2"/>
    <x v="3"/>
    <x v="1"/>
    <x v="0"/>
    <x v="3"/>
    <x v="2"/>
    <x v="10"/>
    <x v="2"/>
  </r>
  <r>
    <x v="1935"/>
    <x v="8"/>
    <x v="0"/>
    <n v="16.3"/>
    <x v="1494"/>
    <d v="2025-03-12T00:00:00"/>
    <d v="2025-03-13T00:00:00"/>
    <x v="1"/>
    <x v="3"/>
    <x v="0"/>
    <x v="0"/>
    <x v="3"/>
    <x v="3"/>
    <x v="10"/>
    <x v="1"/>
  </r>
  <r>
    <x v="1936"/>
    <x v="1"/>
    <x v="2"/>
    <n v="63.8"/>
    <x v="1348"/>
    <d v="2025-03-12T00:00:00"/>
    <d v="2025-03-17T00:00:00"/>
    <x v="2"/>
    <x v="2"/>
    <x v="1"/>
    <x v="0"/>
    <x v="3"/>
    <x v="0"/>
    <x v="10"/>
    <x v="2"/>
  </r>
  <r>
    <x v="1937"/>
    <x v="1"/>
    <x v="3"/>
    <n v="73.900000000000006"/>
    <x v="1495"/>
    <d v="2025-03-12T00:00:00"/>
    <d v="2025-03-12T00:00:00"/>
    <x v="2"/>
    <x v="0"/>
    <x v="1"/>
    <x v="0"/>
    <x v="3"/>
    <x v="7"/>
    <x v="10"/>
    <x v="2"/>
  </r>
  <r>
    <x v="1938"/>
    <x v="0"/>
    <x v="1"/>
    <n v="20.2"/>
    <x v="1400"/>
    <d v="2025-03-12T00:00:00"/>
    <d v="2025-03-13T00:00:00"/>
    <x v="1"/>
    <x v="0"/>
    <x v="1"/>
    <x v="0"/>
    <x v="3"/>
    <x v="3"/>
    <x v="10"/>
    <x v="1"/>
  </r>
  <r>
    <x v="1939"/>
    <x v="11"/>
    <x v="5"/>
    <n v="29.5"/>
    <x v="1496"/>
    <d v="2025-03-12T00:00:00"/>
    <d v="2025-03-13T00:00:00"/>
    <x v="1"/>
    <x v="0"/>
    <x v="0"/>
    <x v="0"/>
    <x v="3"/>
    <x v="3"/>
    <x v="10"/>
    <x v="1"/>
  </r>
  <r>
    <x v="1940"/>
    <x v="15"/>
    <x v="3"/>
    <n v="37.9"/>
    <x v="1497"/>
    <d v="2025-03-12T00:00:00"/>
    <d v="2025-03-13T00:00:00"/>
    <x v="1"/>
    <x v="1"/>
    <x v="0"/>
    <x v="0"/>
    <x v="3"/>
    <x v="3"/>
    <x v="10"/>
    <x v="1"/>
  </r>
  <r>
    <x v="1941"/>
    <x v="2"/>
    <x v="0"/>
    <n v="56.5"/>
    <x v="1498"/>
    <d v="2025-03-12T00:00:00"/>
    <d v="2025-03-13T00:00:00"/>
    <x v="2"/>
    <x v="2"/>
    <x v="1"/>
    <x v="0"/>
    <x v="3"/>
    <x v="3"/>
    <x v="10"/>
    <x v="2"/>
  </r>
  <r>
    <x v="1942"/>
    <x v="2"/>
    <x v="1"/>
    <n v="66.900000000000006"/>
    <x v="981"/>
    <d v="2025-03-12T00:00:00"/>
    <d v="2025-03-18T00:00:00"/>
    <x v="1"/>
    <x v="1"/>
    <x v="4"/>
    <x v="0"/>
    <x v="25"/>
    <x v="4"/>
    <x v="10"/>
    <x v="1"/>
  </r>
  <r>
    <x v="1943"/>
    <x v="2"/>
    <x v="9"/>
    <n v="51.9"/>
    <x v="1499"/>
    <d v="2025-03-12T00:00:00"/>
    <d v="2025-03-15T00:00:00"/>
    <x v="1"/>
    <x v="1"/>
    <x v="0"/>
    <x v="0"/>
    <x v="7"/>
    <x v="2"/>
    <x v="10"/>
    <x v="1"/>
  </r>
  <r>
    <x v="1944"/>
    <x v="2"/>
    <x v="1"/>
    <n v="75.599999999999994"/>
    <x v="277"/>
    <d v="2025-03-12T00:00:00"/>
    <d v="2025-03-15T00:00:00"/>
    <x v="1"/>
    <x v="1"/>
    <x v="0"/>
    <x v="0"/>
    <x v="8"/>
    <x v="2"/>
    <x v="10"/>
    <x v="1"/>
  </r>
  <r>
    <x v="1945"/>
    <x v="12"/>
    <x v="13"/>
    <n v="47.3"/>
    <x v="592"/>
    <d v="2025-03-12T00:00:00"/>
    <d v="2025-03-23T00:00:00"/>
    <x v="1"/>
    <x v="0"/>
    <x v="0"/>
    <x v="0"/>
    <x v="8"/>
    <x v="11"/>
    <x v="10"/>
    <x v="1"/>
  </r>
  <r>
    <x v="1946"/>
    <x v="4"/>
    <x v="0"/>
    <n v="20.6"/>
    <x v="1500"/>
    <d v="2025-03-12T00:00:00"/>
    <d v="2025-03-13T00:00:00"/>
    <x v="0"/>
    <x v="0"/>
    <x v="1"/>
    <x v="0"/>
    <x v="8"/>
    <x v="3"/>
    <x v="10"/>
    <x v="0"/>
  </r>
  <r>
    <x v="1947"/>
    <x v="6"/>
    <x v="2"/>
    <n v="49.7"/>
    <x v="1501"/>
    <d v="2025-03-12T00:00:00"/>
    <d v="2025-03-14T00:00:00"/>
    <x v="1"/>
    <x v="0"/>
    <x v="1"/>
    <x v="0"/>
    <x v="8"/>
    <x v="1"/>
    <x v="10"/>
    <x v="1"/>
  </r>
  <r>
    <x v="1948"/>
    <x v="3"/>
    <x v="0"/>
    <n v="37.9"/>
    <x v="853"/>
    <d v="2025-03-12T00:00:00"/>
    <d v="2025-03-14T00:00:00"/>
    <x v="2"/>
    <x v="0"/>
    <x v="0"/>
    <x v="0"/>
    <x v="8"/>
    <x v="1"/>
    <x v="10"/>
    <x v="2"/>
  </r>
  <r>
    <x v="1949"/>
    <x v="13"/>
    <x v="20"/>
    <n v="32"/>
    <x v="1502"/>
    <d v="2025-03-12T00:00:00"/>
    <d v="2025-03-14T00:00:00"/>
    <x v="2"/>
    <x v="4"/>
    <x v="0"/>
    <x v="0"/>
    <x v="11"/>
    <x v="1"/>
    <x v="10"/>
    <x v="2"/>
  </r>
  <r>
    <x v="1950"/>
    <x v="10"/>
    <x v="16"/>
    <n v="38.5"/>
    <x v="1503"/>
    <d v="2025-03-13T00:00:00"/>
    <d v="2025-03-14T00:00:00"/>
    <x v="1"/>
    <x v="0"/>
    <x v="2"/>
    <x v="0"/>
    <x v="11"/>
    <x v="3"/>
    <x v="10"/>
    <x v="1"/>
  </r>
  <r>
    <x v="1951"/>
    <x v="0"/>
    <x v="12"/>
    <n v="11.7"/>
    <x v="86"/>
    <d v="2025-03-13T00:00:00"/>
    <d v="2025-03-15T00:00:00"/>
    <x v="2"/>
    <x v="1"/>
    <x v="0"/>
    <x v="0"/>
    <x v="20"/>
    <x v="1"/>
    <x v="10"/>
    <x v="2"/>
  </r>
  <r>
    <x v="1952"/>
    <x v="3"/>
    <x v="13"/>
    <n v="83.8"/>
    <x v="1504"/>
    <d v="2025-03-13T00:00:00"/>
    <d v="2025-03-14T00:00:00"/>
    <x v="1"/>
    <x v="0"/>
    <x v="0"/>
    <x v="0"/>
    <x v="21"/>
    <x v="3"/>
    <x v="10"/>
    <x v="1"/>
  </r>
  <r>
    <x v="1953"/>
    <x v="0"/>
    <x v="3"/>
    <n v="14"/>
    <x v="11"/>
    <d v="2025-03-13T00:00:00"/>
    <d v="2025-03-16T00:00:00"/>
    <x v="1"/>
    <x v="0"/>
    <x v="1"/>
    <x v="0"/>
    <x v="22"/>
    <x v="2"/>
    <x v="10"/>
    <x v="1"/>
  </r>
  <r>
    <x v="1954"/>
    <x v="16"/>
    <x v="12"/>
    <n v="77.3"/>
    <x v="1505"/>
    <d v="2025-03-13T00:00:00"/>
    <d v="2025-03-15T00:00:00"/>
    <x v="2"/>
    <x v="4"/>
    <x v="2"/>
    <x v="0"/>
    <x v="3"/>
    <x v="1"/>
    <x v="10"/>
    <x v="2"/>
  </r>
  <r>
    <x v="1955"/>
    <x v="2"/>
    <x v="1"/>
    <n v="76.900000000000006"/>
    <x v="1506"/>
    <d v="2025-03-13T00:00:00"/>
    <d v="2025-03-17T00:00:00"/>
    <x v="2"/>
    <x v="0"/>
    <x v="1"/>
    <x v="0"/>
    <x v="3"/>
    <x v="5"/>
    <x v="10"/>
    <x v="2"/>
  </r>
  <r>
    <x v="1956"/>
    <x v="1"/>
    <x v="0"/>
    <n v="48"/>
    <x v="510"/>
    <d v="2025-03-13T00:00:00"/>
    <d v="2025-03-15T00:00:00"/>
    <x v="2"/>
    <x v="1"/>
    <x v="2"/>
    <x v="0"/>
    <x v="3"/>
    <x v="1"/>
    <x v="10"/>
    <x v="2"/>
  </r>
  <r>
    <x v="1957"/>
    <x v="2"/>
    <x v="0"/>
    <n v="94.5"/>
    <x v="234"/>
    <d v="2025-03-13T00:00:00"/>
    <d v="2025-03-16T00:00:00"/>
    <x v="1"/>
    <x v="1"/>
    <x v="1"/>
    <x v="0"/>
    <x v="3"/>
    <x v="2"/>
    <x v="10"/>
    <x v="1"/>
  </r>
  <r>
    <x v="1958"/>
    <x v="10"/>
    <x v="2"/>
    <n v="58.4"/>
    <x v="122"/>
    <d v="2025-03-13T00:00:00"/>
    <d v="2025-03-15T00:00:00"/>
    <x v="2"/>
    <x v="1"/>
    <x v="2"/>
    <x v="0"/>
    <x v="3"/>
    <x v="1"/>
    <x v="10"/>
    <x v="2"/>
  </r>
  <r>
    <x v="1959"/>
    <x v="7"/>
    <x v="15"/>
    <n v="42.2"/>
    <x v="1507"/>
    <d v="2025-03-13T00:00:00"/>
    <d v="2025-03-13T00:00:00"/>
    <x v="1"/>
    <x v="0"/>
    <x v="0"/>
    <x v="0"/>
    <x v="25"/>
    <x v="7"/>
    <x v="10"/>
    <x v="1"/>
  </r>
  <r>
    <x v="1960"/>
    <x v="6"/>
    <x v="1"/>
    <n v="152.19999999999999"/>
    <x v="1508"/>
    <d v="2025-03-13T00:00:00"/>
    <d v="2025-03-14T00:00:00"/>
    <x v="1"/>
    <x v="4"/>
    <x v="1"/>
    <x v="0"/>
    <x v="25"/>
    <x v="3"/>
    <x v="10"/>
    <x v="1"/>
  </r>
  <r>
    <x v="1961"/>
    <x v="6"/>
    <x v="25"/>
    <n v="72"/>
    <x v="1509"/>
    <d v="2025-03-13T00:00:00"/>
    <d v="2025-03-14T00:00:00"/>
    <x v="1"/>
    <x v="0"/>
    <x v="1"/>
    <x v="0"/>
    <x v="6"/>
    <x v="3"/>
    <x v="10"/>
    <x v="1"/>
  </r>
  <r>
    <x v="1962"/>
    <x v="1"/>
    <x v="44"/>
    <n v="70.900000000000006"/>
    <x v="1510"/>
    <d v="2025-03-13T00:00:00"/>
    <d v="2025-03-14T00:00:00"/>
    <x v="2"/>
    <x v="2"/>
    <x v="0"/>
    <x v="0"/>
    <x v="8"/>
    <x v="3"/>
    <x v="10"/>
    <x v="2"/>
  </r>
  <r>
    <x v="1963"/>
    <x v="2"/>
    <x v="1"/>
    <n v="53.7"/>
    <x v="1511"/>
    <d v="2025-03-13T00:00:00"/>
    <d v="2025-03-14T00:00:00"/>
    <x v="1"/>
    <x v="2"/>
    <x v="2"/>
    <x v="0"/>
    <x v="8"/>
    <x v="3"/>
    <x v="10"/>
    <x v="1"/>
  </r>
  <r>
    <x v="1964"/>
    <x v="9"/>
    <x v="12"/>
    <n v="42.9"/>
    <x v="1512"/>
    <d v="2025-03-13T00:00:00"/>
    <d v="2025-03-14T00:00:00"/>
    <x v="2"/>
    <x v="2"/>
    <x v="4"/>
    <x v="0"/>
    <x v="9"/>
    <x v="3"/>
    <x v="10"/>
    <x v="2"/>
  </r>
  <r>
    <x v="1965"/>
    <x v="2"/>
    <x v="3"/>
    <n v="107.5"/>
    <x v="1513"/>
    <d v="2025-03-13T00:00:00"/>
    <d v="2025-03-14T00:00:00"/>
    <x v="1"/>
    <x v="1"/>
    <x v="0"/>
    <x v="0"/>
    <x v="11"/>
    <x v="3"/>
    <x v="10"/>
    <x v="1"/>
  </r>
  <r>
    <x v="1966"/>
    <x v="17"/>
    <x v="27"/>
    <n v="21.5"/>
    <x v="1213"/>
    <d v="2025-03-13T00:00:00"/>
    <d v="2025-03-14T00:00:00"/>
    <x v="1"/>
    <x v="1"/>
    <x v="1"/>
    <x v="0"/>
    <x v="32"/>
    <x v="3"/>
    <x v="10"/>
    <x v="1"/>
  </r>
  <r>
    <x v="1967"/>
    <x v="3"/>
    <x v="9"/>
    <n v="85.3"/>
    <x v="1514"/>
    <d v="2025-03-13T00:00:00"/>
    <d v="2025-03-15T00:00:00"/>
    <x v="2"/>
    <x v="3"/>
    <x v="0"/>
    <x v="0"/>
    <x v="18"/>
    <x v="1"/>
    <x v="10"/>
    <x v="2"/>
  </r>
  <r>
    <x v="1968"/>
    <x v="7"/>
    <x v="9"/>
    <n v="80.8"/>
    <x v="1515"/>
    <d v="2025-03-13T00:00:00"/>
    <d v="2025-03-21T00:00:00"/>
    <x v="3"/>
    <x v="1"/>
    <x v="1"/>
    <x v="0"/>
    <x v="19"/>
    <x v="9"/>
    <x v="10"/>
    <x v="3"/>
  </r>
  <r>
    <x v="1969"/>
    <x v="2"/>
    <x v="2"/>
    <n v="123.1"/>
    <x v="1516"/>
    <d v="2025-03-13T00:00:00"/>
    <d v="2025-03-15T00:00:00"/>
    <x v="0"/>
    <x v="2"/>
    <x v="0"/>
    <x v="0"/>
    <x v="21"/>
    <x v="1"/>
    <x v="10"/>
    <x v="0"/>
  </r>
  <r>
    <x v="1970"/>
    <x v="8"/>
    <x v="1"/>
    <n v="36.9"/>
    <x v="1517"/>
    <d v="2025-03-13T00:00:00"/>
    <d v="2025-03-15T00:00:00"/>
    <x v="2"/>
    <x v="2"/>
    <x v="4"/>
    <x v="0"/>
    <x v="51"/>
    <x v="1"/>
    <x v="10"/>
    <x v="2"/>
  </r>
  <r>
    <x v="1971"/>
    <x v="11"/>
    <x v="9"/>
    <n v="40"/>
    <x v="308"/>
    <d v="2025-03-13T00:00:00"/>
    <d v="2025-03-14T00:00:00"/>
    <x v="1"/>
    <x v="0"/>
    <x v="0"/>
    <x v="0"/>
    <x v="1"/>
    <x v="3"/>
    <x v="10"/>
    <x v="1"/>
  </r>
  <r>
    <x v="1972"/>
    <x v="6"/>
    <x v="2"/>
    <n v="55.5"/>
    <x v="1256"/>
    <d v="2025-03-13T00:00:00"/>
    <d v="2025-03-14T00:00:00"/>
    <x v="1"/>
    <x v="4"/>
    <x v="2"/>
    <x v="0"/>
    <x v="1"/>
    <x v="3"/>
    <x v="10"/>
    <x v="1"/>
  </r>
  <r>
    <x v="1973"/>
    <x v="0"/>
    <x v="12"/>
    <n v="20.5"/>
    <x v="1518"/>
    <d v="2025-03-13T00:00:00"/>
    <d v="2025-03-17T00:00:00"/>
    <x v="2"/>
    <x v="4"/>
    <x v="0"/>
    <x v="0"/>
    <x v="1"/>
    <x v="5"/>
    <x v="10"/>
    <x v="2"/>
  </r>
  <r>
    <x v="1974"/>
    <x v="18"/>
    <x v="12"/>
    <n v="50.1"/>
    <x v="1519"/>
    <d v="2025-03-13T00:00:00"/>
    <d v="2025-03-14T00:00:00"/>
    <x v="2"/>
    <x v="4"/>
    <x v="0"/>
    <x v="0"/>
    <x v="1"/>
    <x v="3"/>
    <x v="10"/>
    <x v="2"/>
  </r>
  <r>
    <x v="1975"/>
    <x v="9"/>
    <x v="0"/>
    <n v="35.9"/>
    <x v="1520"/>
    <d v="2025-03-13T00:00:00"/>
    <d v="2025-03-15T00:00:00"/>
    <x v="1"/>
    <x v="1"/>
    <x v="2"/>
    <x v="0"/>
    <x v="1"/>
    <x v="1"/>
    <x v="10"/>
    <x v="1"/>
  </r>
  <r>
    <x v="1976"/>
    <x v="13"/>
    <x v="12"/>
    <n v="29.4"/>
    <x v="833"/>
    <d v="2025-03-14T00:00:00"/>
    <d v="2025-03-15T00:00:00"/>
    <x v="1"/>
    <x v="2"/>
    <x v="2"/>
    <x v="0"/>
    <x v="33"/>
    <x v="3"/>
    <x v="10"/>
    <x v="1"/>
  </r>
  <r>
    <x v="1977"/>
    <x v="8"/>
    <x v="9"/>
    <n v="29.1"/>
    <x v="973"/>
    <d v="2025-03-14T00:00:00"/>
    <d v="2025-03-22T00:00:00"/>
    <x v="3"/>
    <x v="2"/>
    <x v="1"/>
    <x v="0"/>
    <x v="33"/>
    <x v="9"/>
    <x v="10"/>
    <x v="3"/>
  </r>
  <r>
    <x v="1978"/>
    <x v="8"/>
    <x v="2"/>
    <n v="33.5"/>
    <x v="427"/>
    <d v="2025-03-14T00:00:00"/>
    <d v="2025-03-26T00:00:00"/>
    <x v="1"/>
    <x v="0"/>
    <x v="2"/>
    <x v="0"/>
    <x v="22"/>
    <x v="13"/>
    <x v="10"/>
    <x v="1"/>
  </r>
  <r>
    <x v="1979"/>
    <x v="4"/>
    <x v="7"/>
    <n v="36"/>
    <x v="1521"/>
    <d v="2025-03-14T00:00:00"/>
    <d v="2025-03-14T00:00:00"/>
    <x v="1"/>
    <x v="3"/>
    <x v="2"/>
    <x v="0"/>
    <x v="3"/>
    <x v="7"/>
    <x v="10"/>
    <x v="1"/>
  </r>
  <r>
    <x v="1980"/>
    <x v="16"/>
    <x v="2"/>
    <n v="57.3"/>
    <x v="1522"/>
    <d v="2025-03-14T00:00:00"/>
    <d v="2025-03-18T00:00:00"/>
    <x v="2"/>
    <x v="0"/>
    <x v="2"/>
    <x v="0"/>
    <x v="3"/>
    <x v="5"/>
    <x v="10"/>
    <x v="2"/>
  </r>
  <r>
    <x v="1981"/>
    <x v="1"/>
    <x v="0"/>
    <n v="81.400000000000006"/>
    <x v="1523"/>
    <d v="2025-03-14T00:00:00"/>
    <d v="2025-03-15T00:00:00"/>
    <x v="2"/>
    <x v="2"/>
    <x v="2"/>
    <x v="0"/>
    <x v="3"/>
    <x v="3"/>
    <x v="10"/>
    <x v="2"/>
  </r>
  <r>
    <x v="1982"/>
    <x v="10"/>
    <x v="1"/>
    <n v="35.299999999999997"/>
    <x v="527"/>
    <d v="2025-03-14T00:00:00"/>
    <d v="2025-03-18T00:00:00"/>
    <x v="1"/>
    <x v="0"/>
    <x v="2"/>
    <x v="0"/>
    <x v="3"/>
    <x v="5"/>
    <x v="10"/>
    <x v="1"/>
  </r>
  <r>
    <x v="1983"/>
    <x v="3"/>
    <x v="0"/>
    <n v="36.1"/>
    <x v="168"/>
    <d v="2025-03-14T00:00:00"/>
    <d v="2025-03-15T00:00:00"/>
    <x v="2"/>
    <x v="4"/>
    <x v="0"/>
    <x v="0"/>
    <x v="3"/>
    <x v="3"/>
    <x v="10"/>
    <x v="2"/>
  </r>
  <r>
    <x v="1984"/>
    <x v="1"/>
    <x v="1"/>
    <n v="36.700000000000003"/>
    <x v="1524"/>
    <d v="2025-03-14T00:00:00"/>
    <d v="2025-03-16T00:00:00"/>
    <x v="2"/>
    <x v="0"/>
    <x v="2"/>
    <x v="0"/>
    <x v="3"/>
    <x v="1"/>
    <x v="10"/>
    <x v="2"/>
  </r>
  <r>
    <x v="1985"/>
    <x v="10"/>
    <x v="0"/>
    <n v="20.9"/>
    <x v="798"/>
    <d v="2025-03-14T00:00:00"/>
    <d v="2025-03-16T00:00:00"/>
    <x v="2"/>
    <x v="0"/>
    <x v="4"/>
    <x v="0"/>
    <x v="3"/>
    <x v="1"/>
    <x v="10"/>
    <x v="2"/>
  </r>
  <r>
    <x v="1986"/>
    <x v="12"/>
    <x v="2"/>
    <n v="58.8"/>
    <x v="1525"/>
    <d v="2025-03-14T00:00:00"/>
    <d v="2025-03-18T00:00:00"/>
    <x v="1"/>
    <x v="0"/>
    <x v="2"/>
    <x v="0"/>
    <x v="25"/>
    <x v="5"/>
    <x v="10"/>
    <x v="1"/>
  </r>
  <r>
    <x v="1987"/>
    <x v="2"/>
    <x v="2"/>
    <n v="97.6"/>
    <x v="1526"/>
    <d v="2025-03-15T00:00:00"/>
    <d v="2025-03-17T00:00:00"/>
    <x v="0"/>
    <x v="0"/>
    <x v="0"/>
    <x v="0"/>
    <x v="6"/>
    <x v="1"/>
    <x v="10"/>
    <x v="0"/>
  </r>
  <r>
    <x v="1988"/>
    <x v="1"/>
    <x v="1"/>
    <n v="58.7"/>
    <x v="1527"/>
    <d v="2025-03-15T00:00:00"/>
    <d v="2025-03-18T00:00:00"/>
    <x v="2"/>
    <x v="0"/>
    <x v="1"/>
    <x v="0"/>
    <x v="6"/>
    <x v="2"/>
    <x v="10"/>
    <x v="2"/>
  </r>
  <r>
    <x v="1989"/>
    <x v="6"/>
    <x v="9"/>
    <n v="71.900000000000006"/>
    <x v="1528"/>
    <d v="2025-03-15T00:00:00"/>
    <d v="2025-03-16T00:00:00"/>
    <x v="0"/>
    <x v="0"/>
    <x v="1"/>
    <x v="0"/>
    <x v="6"/>
    <x v="3"/>
    <x v="10"/>
    <x v="0"/>
  </r>
  <r>
    <x v="1990"/>
    <x v="1"/>
    <x v="1"/>
    <n v="62.4"/>
    <x v="1109"/>
    <d v="2025-03-15T00:00:00"/>
    <d v="2025-03-17T00:00:00"/>
    <x v="0"/>
    <x v="0"/>
    <x v="1"/>
    <x v="0"/>
    <x v="8"/>
    <x v="1"/>
    <x v="10"/>
    <x v="0"/>
  </r>
  <r>
    <x v="1991"/>
    <x v="6"/>
    <x v="27"/>
    <n v="53.8"/>
    <x v="1529"/>
    <d v="2025-03-15T00:00:00"/>
    <d v="2025-03-16T00:00:00"/>
    <x v="2"/>
    <x v="1"/>
    <x v="0"/>
    <x v="0"/>
    <x v="8"/>
    <x v="3"/>
    <x v="10"/>
    <x v="2"/>
  </r>
  <r>
    <x v="1992"/>
    <x v="9"/>
    <x v="0"/>
    <n v="43.8"/>
    <x v="328"/>
    <d v="2025-03-15T00:00:00"/>
    <d v="2025-03-22T00:00:00"/>
    <x v="2"/>
    <x v="0"/>
    <x v="2"/>
    <x v="0"/>
    <x v="8"/>
    <x v="6"/>
    <x v="10"/>
    <x v="2"/>
  </r>
  <r>
    <x v="1993"/>
    <x v="5"/>
    <x v="2"/>
    <n v="53.6"/>
    <x v="1530"/>
    <d v="2025-03-15T00:00:00"/>
    <d v="2025-03-16T00:00:00"/>
    <x v="1"/>
    <x v="3"/>
    <x v="0"/>
    <x v="0"/>
    <x v="8"/>
    <x v="3"/>
    <x v="10"/>
    <x v="1"/>
  </r>
  <r>
    <x v="1994"/>
    <x v="12"/>
    <x v="1"/>
    <n v="84.3"/>
    <x v="1531"/>
    <d v="2025-03-15T00:00:00"/>
    <d v="2025-03-18T00:00:00"/>
    <x v="1"/>
    <x v="4"/>
    <x v="1"/>
    <x v="0"/>
    <x v="8"/>
    <x v="2"/>
    <x v="10"/>
    <x v="1"/>
  </r>
  <r>
    <x v="1995"/>
    <x v="6"/>
    <x v="11"/>
    <n v="117.9"/>
    <x v="1532"/>
    <d v="2025-03-15T00:00:00"/>
    <d v="2025-03-16T00:00:00"/>
    <x v="2"/>
    <x v="1"/>
    <x v="2"/>
    <x v="0"/>
    <x v="8"/>
    <x v="3"/>
    <x v="10"/>
    <x v="2"/>
  </r>
  <r>
    <x v="1996"/>
    <x v="4"/>
    <x v="8"/>
    <n v="30"/>
    <x v="1533"/>
    <d v="2025-03-15T00:00:00"/>
    <d v="2025-03-16T00:00:00"/>
    <x v="2"/>
    <x v="1"/>
    <x v="0"/>
    <x v="0"/>
    <x v="26"/>
    <x v="3"/>
    <x v="10"/>
    <x v="2"/>
  </r>
  <r>
    <x v="1997"/>
    <x v="14"/>
    <x v="2"/>
    <n v="37.299999999999997"/>
    <x v="1534"/>
    <d v="2025-03-15T00:00:00"/>
    <d v="2025-03-16T00:00:00"/>
    <x v="1"/>
    <x v="2"/>
    <x v="0"/>
    <x v="0"/>
    <x v="9"/>
    <x v="3"/>
    <x v="10"/>
    <x v="1"/>
  </r>
  <r>
    <x v="1998"/>
    <x v="4"/>
    <x v="11"/>
    <n v="25.1"/>
    <x v="1535"/>
    <d v="2025-03-15T00:00:00"/>
    <d v="2025-03-17T00:00:00"/>
    <x v="1"/>
    <x v="1"/>
    <x v="2"/>
    <x v="0"/>
    <x v="11"/>
    <x v="1"/>
    <x v="10"/>
    <x v="1"/>
  </r>
  <r>
    <x v="1999"/>
    <x v="8"/>
    <x v="5"/>
    <n v="36"/>
    <x v="501"/>
    <d v="2025-03-15T00:00:00"/>
    <d v="2025-03-25T00:00:00"/>
    <x v="1"/>
    <x v="1"/>
    <x v="0"/>
    <x v="0"/>
    <x v="18"/>
    <x v="14"/>
    <x v="10"/>
    <x v="1"/>
  </r>
  <r>
    <x v="2000"/>
    <x v="16"/>
    <x v="2"/>
    <n v="48.5"/>
    <x v="973"/>
    <d v="2025-03-15T00:00:00"/>
    <d v="2025-03-19T00:00:00"/>
    <x v="2"/>
    <x v="1"/>
    <x v="0"/>
    <x v="0"/>
    <x v="19"/>
    <x v="5"/>
    <x v="10"/>
    <x v="2"/>
  </r>
  <r>
    <x v="2001"/>
    <x v="17"/>
    <x v="13"/>
    <n v="21.1"/>
    <x v="1077"/>
    <d v="2025-03-15T00:00:00"/>
    <d v="2025-03-16T00:00:00"/>
    <x v="1"/>
    <x v="1"/>
    <x v="2"/>
    <x v="0"/>
    <x v="21"/>
    <x v="3"/>
    <x v="10"/>
    <x v="1"/>
  </r>
  <r>
    <x v="2002"/>
    <x v="15"/>
    <x v="21"/>
    <n v="43.2"/>
    <x v="1536"/>
    <d v="2025-03-15T00:00:00"/>
    <d v="2025-03-16T00:00:00"/>
    <x v="3"/>
    <x v="0"/>
    <x v="1"/>
    <x v="0"/>
    <x v="21"/>
    <x v="3"/>
    <x v="10"/>
    <x v="3"/>
  </r>
  <r>
    <x v="2003"/>
    <x v="9"/>
    <x v="1"/>
    <n v="21.1"/>
    <x v="1283"/>
    <d v="2025-03-15T00:00:00"/>
    <d v="2025-03-16T00:00:00"/>
    <x v="0"/>
    <x v="3"/>
    <x v="1"/>
    <x v="0"/>
    <x v="21"/>
    <x v="3"/>
    <x v="10"/>
    <x v="0"/>
  </r>
  <r>
    <x v="2004"/>
    <x v="6"/>
    <x v="12"/>
    <n v="41.3"/>
    <x v="1537"/>
    <d v="2025-03-15T00:00:00"/>
    <d v="2025-03-17T00:00:00"/>
    <x v="2"/>
    <x v="3"/>
    <x v="2"/>
    <x v="0"/>
    <x v="1"/>
    <x v="1"/>
    <x v="10"/>
    <x v="2"/>
  </r>
  <r>
    <x v="2005"/>
    <x v="8"/>
    <x v="1"/>
    <n v="15.3"/>
    <x v="1538"/>
    <d v="2025-03-15T00:00:00"/>
    <d v="2025-03-18T00:00:00"/>
    <x v="0"/>
    <x v="2"/>
    <x v="2"/>
    <x v="0"/>
    <x v="1"/>
    <x v="2"/>
    <x v="10"/>
    <x v="0"/>
  </r>
  <r>
    <x v="2006"/>
    <x v="1"/>
    <x v="0"/>
    <n v="54.6"/>
    <x v="1539"/>
    <d v="2025-03-15T00:00:00"/>
    <d v="2025-03-17T00:00:00"/>
    <x v="1"/>
    <x v="1"/>
    <x v="1"/>
    <x v="0"/>
    <x v="2"/>
    <x v="1"/>
    <x v="10"/>
    <x v="1"/>
  </r>
  <r>
    <x v="2007"/>
    <x v="8"/>
    <x v="0"/>
    <n v="15.9"/>
    <x v="1021"/>
    <d v="2025-03-15T00:00:00"/>
    <d v="2025-03-16T00:00:00"/>
    <x v="1"/>
    <x v="0"/>
    <x v="1"/>
    <x v="0"/>
    <x v="22"/>
    <x v="3"/>
    <x v="10"/>
    <x v="1"/>
  </r>
  <r>
    <x v="2008"/>
    <x v="9"/>
    <x v="0"/>
    <n v="50.2"/>
    <x v="486"/>
    <d v="2025-03-15T00:00:00"/>
    <d v="2025-03-17T00:00:00"/>
    <x v="2"/>
    <x v="3"/>
    <x v="2"/>
    <x v="0"/>
    <x v="34"/>
    <x v="1"/>
    <x v="10"/>
    <x v="2"/>
  </r>
  <r>
    <x v="2009"/>
    <x v="11"/>
    <x v="12"/>
    <n v="85.1"/>
    <x v="1540"/>
    <d v="2025-03-15T00:00:00"/>
    <d v="2025-03-16T00:00:00"/>
    <x v="2"/>
    <x v="3"/>
    <x v="4"/>
    <x v="0"/>
    <x v="34"/>
    <x v="3"/>
    <x v="10"/>
    <x v="2"/>
  </r>
  <r>
    <x v="2010"/>
    <x v="11"/>
    <x v="1"/>
    <n v="41.4"/>
    <x v="1182"/>
    <d v="2025-03-15T00:00:00"/>
    <d v="2025-03-16T00:00:00"/>
    <x v="2"/>
    <x v="0"/>
    <x v="2"/>
    <x v="0"/>
    <x v="3"/>
    <x v="3"/>
    <x v="10"/>
    <x v="2"/>
  </r>
  <r>
    <x v="2011"/>
    <x v="4"/>
    <x v="3"/>
    <n v="32.700000000000003"/>
    <x v="1541"/>
    <d v="2025-03-15T00:00:00"/>
    <d v="2025-03-16T00:00:00"/>
    <x v="2"/>
    <x v="2"/>
    <x v="1"/>
    <x v="0"/>
    <x v="3"/>
    <x v="3"/>
    <x v="10"/>
    <x v="2"/>
  </r>
  <r>
    <x v="2012"/>
    <x v="4"/>
    <x v="1"/>
    <n v="41.6"/>
    <x v="707"/>
    <d v="2025-03-15T00:00:00"/>
    <d v="2025-03-17T00:00:00"/>
    <x v="1"/>
    <x v="4"/>
    <x v="1"/>
    <x v="0"/>
    <x v="3"/>
    <x v="1"/>
    <x v="10"/>
    <x v="1"/>
  </r>
  <r>
    <x v="2013"/>
    <x v="5"/>
    <x v="12"/>
    <n v="64.8"/>
    <x v="629"/>
    <d v="2025-03-15T00:00:00"/>
    <d v="2025-03-16T00:00:00"/>
    <x v="0"/>
    <x v="2"/>
    <x v="0"/>
    <x v="0"/>
    <x v="3"/>
    <x v="3"/>
    <x v="10"/>
    <x v="0"/>
  </r>
  <r>
    <x v="2014"/>
    <x v="15"/>
    <x v="1"/>
    <n v="33.6"/>
    <x v="863"/>
    <d v="2025-03-15T00:00:00"/>
    <d v="2025-03-16T00:00:00"/>
    <x v="1"/>
    <x v="0"/>
    <x v="2"/>
    <x v="0"/>
    <x v="3"/>
    <x v="3"/>
    <x v="10"/>
    <x v="1"/>
  </r>
  <r>
    <x v="2015"/>
    <x v="6"/>
    <x v="2"/>
    <n v="100.7"/>
    <x v="1542"/>
    <d v="2025-03-15T00:00:00"/>
    <d v="2025-03-16T00:00:00"/>
    <x v="0"/>
    <x v="1"/>
    <x v="0"/>
    <x v="0"/>
    <x v="3"/>
    <x v="3"/>
    <x v="10"/>
    <x v="0"/>
  </r>
  <r>
    <x v="2016"/>
    <x v="4"/>
    <x v="1"/>
    <n v="49.3"/>
    <x v="1543"/>
    <d v="2025-03-16T00:00:00"/>
    <d v="2025-03-18T00:00:00"/>
    <x v="2"/>
    <x v="4"/>
    <x v="2"/>
    <x v="0"/>
    <x v="3"/>
    <x v="1"/>
    <x v="11"/>
    <x v="2"/>
  </r>
  <r>
    <x v="2017"/>
    <x v="2"/>
    <x v="13"/>
    <n v="97"/>
    <x v="1544"/>
    <d v="2025-03-16T00:00:00"/>
    <d v="2025-03-19T00:00:00"/>
    <x v="1"/>
    <x v="2"/>
    <x v="2"/>
    <x v="0"/>
    <x v="3"/>
    <x v="2"/>
    <x v="11"/>
    <x v="1"/>
  </r>
  <r>
    <x v="2018"/>
    <x v="0"/>
    <x v="13"/>
    <n v="25.2"/>
    <x v="277"/>
    <d v="2025-03-16T00:00:00"/>
    <d v="2025-03-19T00:00:00"/>
    <x v="2"/>
    <x v="4"/>
    <x v="2"/>
    <x v="0"/>
    <x v="3"/>
    <x v="2"/>
    <x v="11"/>
    <x v="2"/>
  </r>
  <r>
    <x v="2019"/>
    <x v="0"/>
    <x v="5"/>
    <n v="12.2"/>
    <x v="1545"/>
    <d v="2025-03-16T00:00:00"/>
    <d v="2025-03-17T00:00:00"/>
    <x v="0"/>
    <x v="0"/>
    <x v="1"/>
    <x v="0"/>
    <x v="3"/>
    <x v="3"/>
    <x v="11"/>
    <x v="0"/>
  </r>
  <r>
    <x v="2020"/>
    <x v="8"/>
    <x v="3"/>
    <n v="38.799999999999997"/>
    <x v="1546"/>
    <d v="2025-03-16T00:00:00"/>
    <d v="2025-03-18T00:00:00"/>
    <x v="2"/>
    <x v="1"/>
    <x v="1"/>
    <x v="0"/>
    <x v="23"/>
    <x v="1"/>
    <x v="11"/>
    <x v="2"/>
  </r>
  <r>
    <x v="2021"/>
    <x v="2"/>
    <x v="12"/>
    <n v="53.2"/>
    <x v="1547"/>
    <d v="2025-03-16T00:00:00"/>
    <d v="2025-03-17T00:00:00"/>
    <x v="1"/>
    <x v="0"/>
    <x v="2"/>
    <x v="0"/>
    <x v="8"/>
    <x v="3"/>
    <x v="11"/>
    <x v="1"/>
  </r>
  <r>
    <x v="2022"/>
    <x v="6"/>
    <x v="3"/>
    <n v="151"/>
    <x v="1548"/>
    <d v="2025-03-16T00:00:00"/>
    <d v="2025-03-17T00:00:00"/>
    <x v="3"/>
    <x v="1"/>
    <x v="1"/>
    <x v="0"/>
    <x v="8"/>
    <x v="3"/>
    <x v="11"/>
    <x v="3"/>
  </r>
  <r>
    <x v="2023"/>
    <x v="1"/>
    <x v="1"/>
    <n v="37.1"/>
    <x v="1314"/>
    <d v="2025-03-16T00:00:00"/>
    <d v="2025-03-17T00:00:00"/>
    <x v="2"/>
    <x v="4"/>
    <x v="0"/>
    <x v="0"/>
    <x v="8"/>
    <x v="3"/>
    <x v="11"/>
    <x v="2"/>
  </r>
  <r>
    <x v="2024"/>
    <x v="5"/>
    <x v="1"/>
    <n v="38.9"/>
    <x v="482"/>
    <d v="2025-03-16T00:00:00"/>
    <d v="2025-03-17T00:00:00"/>
    <x v="1"/>
    <x v="4"/>
    <x v="0"/>
    <x v="0"/>
    <x v="8"/>
    <x v="3"/>
    <x v="11"/>
    <x v="1"/>
  </r>
  <r>
    <x v="2025"/>
    <x v="10"/>
    <x v="1"/>
    <n v="35.200000000000003"/>
    <x v="1549"/>
    <d v="2025-03-16T00:00:00"/>
    <d v="2025-03-17T00:00:00"/>
    <x v="1"/>
    <x v="0"/>
    <x v="2"/>
    <x v="0"/>
    <x v="17"/>
    <x v="3"/>
    <x v="11"/>
    <x v="1"/>
  </r>
  <r>
    <x v="2026"/>
    <x v="0"/>
    <x v="1"/>
    <n v="22.3"/>
    <x v="225"/>
    <d v="2025-03-16T00:00:00"/>
    <d v="2025-03-18T00:00:00"/>
    <x v="2"/>
    <x v="1"/>
    <x v="0"/>
    <x v="0"/>
    <x v="9"/>
    <x v="1"/>
    <x v="11"/>
    <x v="2"/>
  </r>
  <r>
    <x v="2027"/>
    <x v="9"/>
    <x v="0"/>
    <n v="43.3"/>
    <x v="1286"/>
    <d v="2025-03-16T00:00:00"/>
    <d v="2025-03-19T00:00:00"/>
    <x v="2"/>
    <x v="0"/>
    <x v="2"/>
    <x v="0"/>
    <x v="11"/>
    <x v="2"/>
    <x v="11"/>
    <x v="2"/>
  </r>
  <r>
    <x v="2028"/>
    <x v="6"/>
    <x v="13"/>
    <n v="75.900000000000006"/>
    <x v="1550"/>
    <d v="2025-03-16T00:00:00"/>
    <d v="2025-03-22T00:00:00"/>
    <x v="1"/>
    <x v="0"/>
    <x v="0"/>
    <x v="0"/>
    <x v="11"/>
    <x v="4"/>
    <x v="11"/>
    <x v="1"/>
  </r>
  <r>
    <x v="2029"/>
    <x v="6"/>
    <x v="2"/>
    <n v="78.7"/>
    <x v="1551"/>
    <d v="2025-03-16T00:00:00"/>
    <d v="2025-03-20T00:00:00"/>
    <x v="2"/>
    <x v="2"/>
    <x v="1"/>
    <x v="0"/>
    <x v="11"/>
    <x v="5"/>
    <x v="11"/>
    <x v="2"/>
  </r>
  <r>
    <x v="2030"/>
    <x v="1"/>
    <x v="0"/>
    <n v="66.3"/>
    <x v="1124"/>
    <d v="2025-03-16T00:00:00"/>
    <d v="2025-03-20T00:00:00"/>
    <x v="2"/>
    <x v="0"/>
    <x v="2"/>
    <x v="0"/>
    <x v="19"/>
    <x v="5"/>
    <x v="11"/>
    <x v="2"/>
  </r>
  <r>
    <x v="2031"/>
    <x v="8"/>
    <x v="1"/>
    <n v="33.6"/>
    <x v="863"/>
    <d v="2025-03-16T00:00:00"/>
    <d v="2025-03-16T00:00:00"/>
    <x v="1"/>
    <x v="0"/>
    <x v="1"/>
    <x v="0"/>
    <x v="19"/>
    <x v="7"/>
    <x v="11"/>
    <x v="1"/>
  </r>
  <r>
    <x v="2032"/>
    <x v="2"/>
    <x v="3"/>
    <n v="61.4"/>
    <x v="1552"/>
    <d v="2025-03-16T00:00:00"/>
    <d v="2025-03-17T00:00:00"/>
    <x v="1"/>
    <x v="4"/>
    <x v="0"/>
    <x v="0"/>
    <x v="19"/>
    <x v="3"/>
    <x v="11"/>
    <x v="1"/>
  </r>
  <r>
    <x v="2033"/>
    <x v="8"/>
    <x v="1"/>
    <n v="17.5"/>
    <x v="1553"/>
    <d v="2025-03-16T00:00:00"/>
    <d v="2025-03-19T00:00:00"/>
    <x v="2"/>
    <x v="0"/>
    <x v="0"/>
    <x v="0"/>
    <x v="21"/>
    <x v="2"/>
    <x v="11"/>
    <x v="2"/>
  </r>
  <r>
    <x v="2034"/>
    <x v="8"/>
    <x v="1"/>
    <n v="32.5"/>
    <x v="891"/>
    <d v="2025-03-16T00:00:00"/>
    <d v="2025-03-19T00:00:00"/>
    <x v="2"/>
    <x v="1"/>
    <x v="0"/>
    <x v="0"/>
    <x v="21"/>
    <x v="2"/>
    <x v="11"/>
    <x v="2"/>
  </r>
  <r>
    <x v="2035"/>
    <x v="4"/>
    <x v="0"/>
    <n v="34.6"/>
    <x v="169"/>
    <d v="2025-03-16T00:00:00"/>
    <d v="2025-03-17T00:00:00"/>
    <x v="2"/>
    <x v="4"/>
    <x v="0"/>
    <x v="0"/>
    <x v="21"/>
    <x v="3"/>
    <x v="11"/>
    <x v="2"/>
  </r>
  <r>
    <x v="2036"/>
    <x v="2"/>
    <x v="0"/>
    <n v="75.900000000000006"/>
    <x v="1554"/>
    <d v="2025-03-16T00:00:00"/>
    <d v="2025-03-16T00:00:00"/>
    <x v="1"/>
    <x v="1"/>
    <x v="2"/>
    <x v="0"/>
    <x v="21"/>
    <x v="7"/>
    <x v="11"/>
    <x v="1"/>
  </r>
  <r>
    <x v="2037"/>
    <x v="1"/>
    <x v="2"/>
    <n v="42.1"/>
    <x v="1555"/>
    <d v="2025-03-16T00:00:00"/>
    <d v="2025-03-19T00:00:00"/>
    <x v="1"/>
    <x v="1"/>
    <x v="1"/>
    <x v="0"/>
    <x v="21"/>
    <x v="2"/>
    <x v="11"/>
    <x v="1"/>
  </r>
  <r>
    <x v="2038"/>
    <x v="7"/>
    <x v="2"/>
    <n v="65.3"/>
    <x v="243"/>
    <d v="2025-03-16T00:00:00"/>
    <d v="2025-03-23T00:00:00"/>
    <x v="1"/>
    <x v="0"/>
    <x v="0"/>
    <x v="0"/>
    <x v="1"/>
    <x v="6"/>
    <x v="11"/>
    <x v="1"/>
  </r>
  <r>
    <x v="2039"/>
    <x v="15"/>
    <x v="0"/>
    <n v="20.6"/>
    <x v="1500"/>
    <d v="2025-03-16T00:00:00"/>
    <d v="2025-03-19T00:00:00"/>
    <x v="1"/>
    <x v="3"/>
    <x v="0"/>
    <x v="0"/>
    <x v="42"/>
    <x v="2"/>
    <x v="11"/>
    <x v="1"/>
  </r>
  <r>
    <x v="2040"/>
    <x v="8"/>
    <x v="3"/>
    <n v="16.5"/>
    <x v="100"/>
    <d v="2025-03-16T00:00:00"/>
    <d v="2025-03-17T00:00:00"/>
    <x v="1"/>
    <x v="1"/>
    <x v="1"/>
    <x v="0"/>
    <x v="2"/>
    <x v="3"/>
    <x v="11"/>
    <x v="1"/>
  </r>
  <r>
    <x v="2041"/>
    <x v="16"/>
    <x v="7"/>
    <n v="36.200000000000003"/>
    <x v="1556"/>
    <d v="2025-03-16T00:00:00"/>
    <d v="2025-03-18T00:00:00"/>
    <x v="1"/>
    <x v="0"/>
    <x v="2"/>
    <x v="0"/>
    <x v="2"/>
    <x v="1"/>
    <x v="11"/>
    <x v="1"/>
  </r>
  <r>
    <x v="2042"/>
    <x v="6"/>
    <x v="0"/>
    <n v="53.2"/>
    <x v="1557"/>
    <d v="2025-03-16T00:00:00"/>
    <d v="2025-03-17T00:00:00"/>
    <x v="2"/>
    <x v="0"/>
    <x v="1"/>
    <x v="0"/>
    <x v="22"/>
    <x v="3"/>
    <x v="11"/>
    <x v="2"/>
  </r>
  <r>
    <x v="2043"/>
    <x v="2"/>
    <x v="21"/>
    <n v="176"/>
    <x v="1558"/>
    <d v="2025-03-16T00:00:00"/>
    <d v="2025-03-17T00:00:00"/>
    <x v="2"/>
    <x v="0"/>
    <x v="1"/>
    <x v="0"/>
    <x v="3"/>
    <x v="3"/>
    <x v="11"/>
    <x v="2"/>
  </r>
  <r>
    <x v="2044"/>
    <x v="1"/>
    <x v="0"/>
    <n v="52.4"/>
    <x v="1559"/>
    <d v="2025-03-16T00:00:00"/>
    <d v="2025-03-17T00:00:00"/>
    <x v="1"/>
    <x v="1"/>
    <x v="0"/>
    <x v="0"/>
    <x v="3"/>
    <x v="3"/>
    <x v="11"/>
    <x v="1"/>
  </r>
  <r>
    <x v="2045"/>
    <x v="10"/>
    <x v="2"/>
    <n v="48.2"/>
    <x v="1435"/>
    <d v="2025-03-16T00:00:00"/>
    <d v="2025-03-17T00:00:00"/>
    <x v="2"/>
    <x v="1"/>
    <x v="2"/>
    <x v="0"/>
    <x v="3"/>
    <x v="3"/>
    <x v="11"/>
    <x v="2"/>
  </r>
  <r>
    <x v="2046"/>
    <x v="15"/>
    <x v="0"/>
    <n v="51.6"/>
    <x v="937"/>
    <d v="2025-03-16T00:00:00"/>
    <d v="2025-03-20T00:00:00"/>
    <x v="2"/>
    <x v="2"/>
    <x v="1"/>
    <x v="0"/>
    <x v="3"/>
    <x v="5"/>
    <x v="11"/>
    <x v="2"/>
  </r>
  <r>
    <x v="2047"/>
    <x v="0"/>
    <x v="12"/>
    <n v="33.700000000000003"/>
    <x v="1093"/>
    <d v="2025-03-17T00:00:00"/>
    <d v="2025-03-18T00:00:00"/>
    <x v="1"/>
    <x v="0"/>
    <x v="0"/>
    <x v="0"/>
    <x v="3"/>
    <x v="3"/>
    <x v="11"/>
    <x v="1"/>
  </r>
  <r>
    <x v="2048"/>
    <x v="4"/>
    <x v="7"/>
    <n v="36.299999999999997"/>
    <x v="1560"/>
    <d v="2025-03-17T00:00:00"/>
    <d v="2025-03-19T00:00:00"/>
    <x v="2"/>
    <x v="4"/>
    <x v="1"/>
    <x v="0"/>
    <x v="3"/>
    <x v="1"/>
    <x v="11"/>
    <x v="2"/>
  </r>
  <r>
    <x v="2049"/>
    <x v="8"/>
    <x v="0"/>
    <n v="23.4"/>
    <x v="1561"/>
    <d v="2025-03-17T00:00:00"/>
    <d v="2025-03-22T00:00:00"/>
    <x v="2"/>
    <x v="1"/>
    <x v="2"/>
    <x v="0"/>
    <x v="3"/>
    <x v="0"/>
    <x v="11"/>
    <x v="2"/>
  </r>
  <r>
    <x v="2050"/>
    <x v="15"/>
    <x v="8"/>
    <n v="56.6"/>
    <x v="1562"/>
    <d v="2025-03-17T00:00:00"/>
    <d v="2025-03-19T00:00:00"/>
    <x v="2"/>
    <x v="1"/>
    <x v="0"/>
    <x v="0"/>
    <x v="3"/>
    <x v="1"/>
    <x v="11"/>
    <x v="2"/>
  </r>
  <r>
    <x v="2051"/>
    <x v="15"/>
    <x v="1"/>
    <n v="26.8"/>
    <x v="1563"/>
    <d v="2025-03-17T00:00:00"/>
    <d v="2025-03-18T00:00:00"/>
    <x v="1"/>
    <x v="0"/>
    <x v="0"/>
    <x v="0"/>
    <x v="4"/>
    <x v="3"/>
    <x v="11"/>
    <x v="1"/>
  </r>
  <r>
    <x v="2052"/>
    <x v="0"/>
    <x v="2"/>
    <n v="11.3"/>
    <x v="1564"/>
    <d v="2025-03-17T00:00:00"/>
    <d v="2025-03-19T00:00:00"/>
    <x v="1"/>
    <x v="2"/>
    <x v="0"/>
    <x v="0"/>
    <x v="25"/>
    <x v="1"/>
    <x v="11"/>
    <x v="1"/>
  </r>
  <r>
    <x v="2053"/>
    <x v="6"/>
    <x v="2"/>
    <n v="60.1"/>
    <x v="1565"/>
    <d v="2025-03-17T00:00:00"/>
    <d v="2025-03-20T00:00:00"/>
    <x v="2"/>
    <x v="0"/>
    <x v="0"/>
    <x v="0"/>
    <x v="7"/>
    <x v="2"/>
    <x v="11"/>
    <x v="2"/>
  </r>
  <r>
    <x v="2054"/>
    <x v="0"/>
    <x v="5"/>
    <n v="27.7"/>
    <x v="1566"/>
    <d v="2025-03-17T00:00:00"/>
    <d v="2025-03-22T00:00:00"/>
    <x v="2"/>
    <x v="0"/>
    <x v="0"/>
    <x v="0"/>
    <x v="8"/>
    <x v="0"/>
    <x v="11"/>
    <x v="2"/>
  </r>
  <r>
    <x v="2055"/>
    <x v="15"/>
    <x v="0"/>
    <n v="71.400000000000006"/>
    <x v="660"/>
    <d v="2025-03-17T00:00:00"/>
    <d v="2025-03-20T00:00:00"/>
    <x v="1"/>
    <x v="0"/>
    <x v="2"/>
    <x v="0"/>
    <x v="8"/>
    <x v="2"/>
    <x v="11"/>
    <x v="1"/>
  </r>
  <r>
    <x v="2056"/>
    <x v="2"/>
    <x v="1"/>
    <n v="66.7"/>
    <x v="1567"/>
    <d v="2025-03-17T00:00:00"/>
    <d v="2025-03-18T00:00:00"/>
    <x v="2"/>
    <x v="0"/>
    <x v="2"/>
    <x v="0"/>
    <x v="8"/>
    <x v="3"/>
    <x v="11"/>
    <x v="2"/>
  </r>
  <r>
    <x v="2057"/>
    <x v="13"/>
    <x v="9"/>
    <n v="39.1"/>
    <x v="1568"/>
    <d v="2025-03-17T00:00:00"/>
    <d v="2025-03-18T00:00:00"/>
    <x v="2"/>
    <x v="0"/>
    <x v="0"/>
    <x v="0"/>
    <x v="8"/>
    <x v="3"/>
    <x v="11"/>
    <x v="2"/>
  </r>
  <r>
    <x v="2058"/>
    <x v="8"/>
    <x v="12"/>
    <n v="24.9"/>
    <x v="1569"/>
    <d v="2025-03-17T00:00:00"/>
    <d v="2025-03-22T00:00:00"/>
    <x v="1"/>
    <x v="1"/>
    <x v="2"/>
    <x v="0"/>
    <x v="8"/>
    <x v="0"/>
    <x v="11"/>
    <x v="1"/>
  </r>
  <r>
    <x v="2059"/>
    <x v="5"/>
    <x v="9"/>
    <n v="29.2"/>
    <x v="1570"/>
    <d v="2025-03-17T00:00:00"/>
    <d v="2025-03-18T00:00:00"/>
    <x v="1"/>
    <x v="0"/>
    <x v="2"/>
    <x v="0"/>
    <x v="17"/>
    <x v="3"/>
    <x v="11"/>
    <x v="1"/>
  </r>
  <r>
    <x v="2060"/>
    <x v="13"/>
    <x v="21"/>
    <n v="28.3"/>
    <x v="1571"/>
    <d v="2025-03-17T00:00:00"/>
    <d v="2025-03-19T00:00:00"/>
    <x v="2"/>
    <x v="1"/>
    <x v="0"/>
    <x v="0"/>
    <x v="11"/>
    <x v="1"/>
    <x v="11"/>
    <x v="2"/>
  </r>
  <r>
    <x v="2061"/>
    <x v="9"/>
    <x v="2"/>
    <n v="37.799999999999997"/>
    <x v="1413"/>
    <d v="2025-03-17T00:00:00"/>
    <d v="2025-03-18T00:00:00"/>
    <x v="2"/>
    <x v="0"/>
    <x v="1"/>
    <x v="0"/>
    <x v="11"/>
    <x v="3"/>
    <x v="11"/>
    <x v="2"/>
  </r>
  <r>
    <x v="2062"/>
    <x v="14"/>
    <x v="3"/>
    <n v="28.1"/>
    <x v="1572"/>
    <d v="2025-03-17T00:00:00"/>
    <d v="2025-03-23T00:00:00"/>
    <x v="2"/>
    <x v="2"/>
    <x v="0"/>
    <x v="0"/>
    <x v="11"/>
    <x v="4"/>
    <x v="11"/>
    <x v="2"/>
  </r>
  <r>
    <x v="2063"/>
    <x v="1"/>
    <x v="2"/>
    <n v="59.7"/>
    <x v="1573"/>
    <d v="2025-03-17T00:00:00"/>
    <d v="2025-03-19T00:00:00"/>
    <x v="2"/>
    <x v="2"/>
    <x v="0"/>
    <x v="0"/>
    <x v="11"/>
    <x v="1"/>
    <x v="11"/>
    <x v="2"/>
  </r>
  <r>
    <x v="2064"/>
    <x v="16"/>
    <x v="0"/>
    <n v="71.900000000000006"/>
    <x v="1574"/>
    <d v="2025-03-17T00:00:00"/>
    <d v="2025-03-18T00:00:00"/>
    <x v="1"/>
    <x v="1"/>
    <x v="1"/>
    <x v="0"/>
    <x v="11"/>
    <x v="3"/>
    <x v="11"/>
    <x v="1"/>
  </r>
  <r>
    <x v="2065"/>
    <x v="1"/>
    <x v="1"/>
    <n v="56.9"/>
    <x v="1575"/>
    <d v="2025-03-17T00:00:00"/>
    <d v="2025-03-18T00:00:00"/>
    <x v="1"/>
    <x v="2"/>
    <x v="0"/>
    <x v="0"/>
    <x v="13"/>
    <x v="3"/>
    <x v="11"/>
    <x v="1"/>
  </r>
  <r>
    <x v="2066"/>
    <x v="8"/>
    <x v="1"/>
    <n v="15.8"/>
    <x v="35"/>
    <d v="2025-03-17T00:00:00"/>
    <d v="2025-03-20T00:00:00"/>
    <x v="2"/>
    <x v="2"/>
    <x v="1"/>
    <x v="0"/>
    <x v="1"/>
    <x v="2"/>
    <x v="11"/>
    <x v="2"/>
  </r>
  <r>
    <x v="2067"/>
    <x v="11"/>
    <x v="12"/>
    <n v="61.7"/>
    <x v="1576"/>
    <d v="2025-03-17T00:00:00"/>
    <d v="2025-03-19T00:00:00"/>
    <x v="2"/>
    <x v="2"/>
    <x v="0"/>
    <x v="0"/>
    <x v="22"/>
    <x v="1"/>
    <x v="11"/>
    <x v="2"/>
  </r>
  <r>
    <x v="2068"/>
    <x v="2"/>
    <x v="7"/>
    <n v="105.2"/>
    <x v="1577"/>
    <d v="2025-03-17T00:00:00"/>
    <d v="2025-03-19T00:00:00"/>
    <x v="1"/>
    <x v="1"/>
    <x v="4"/>
    <x v="0"/>
    <x v="3"/>
    <x v="1"/>
    <x v="11"/>
    <x v="1"/>
  </r>
  <r>
    <x v="2069"/>
    <x v="0"/>
    <x v="1"/>
    <n v="17"/>
    <x v="1222"/>
    <d v="2025-03-17T00:00:00"/>
    <d v="2025-03-19T00:00:00"/>
    <x v="2"/>
    <x v="2"/>
    <x v="0"/>
    <x v="0"/>
    <x v="3"/>
    <x v="1"/>
    <x v="11"/>
    <x v="2"/>
  </r>
  <r>
    <x v="2070"/>
    <x v="6"/>
    <x v="2"/>
    <n v="84.1"/>
    <x v="1578"/>
    <d v="2025-03-17T00:00:00"/>
    <d v="2025-03-18T00:00:00"/>
    <x v="1"/>
    <x v="2"/>
    <x v="0"/>
    <x v="0"/>
    <x v="3"/>
    <x v="3"/>
    <x v="11"/>
    <x v="1"/>
  </r>
  <r>
    <x v="2071"/>
    <x v="3"/>
    <x v="12"/>
    <n v="59.5"/>
    <x v="1248"/>
    <d v="2025-03-17T00:00:00"/>
    <d v="2025-03-22T00:00:00"/>
    <x v="1"/>
    <x v="0"/>
    <x v="2"/>
    <x v="0"/>
    <x v="3"/>
    <x v="0"/>
    <x v="11"/>
    <x v="1"/>
  </r>
  <r>
    <x v="2072"/>
    <x v="8"/>
    <x v="1"/>
    <n v="57.5"/>
    <x v="1579"/>
    <d v="2025-03-17T00:00:00"/>
    <d v="2025-03-19T00:00:00"/>
    <x v="1"/>
    <x v="1"/>
    <x v="2"/>
    <x v="0"/>
    <x v="3"/>
    <x v="1"/>
    <x v="11"/>
    <x v="1"/>
  </r>
  <r>
    <x v="2073"/>
    <x v="8"/>
    <x v="0"/>
    <n v="34.299999999999997"/>
    <x v="1580"/>
    <d v="2025-03-17T00:00:00"/>
    <d v="2025-03-18T00:00:00"/>
    <x v="2"/>
    <x v="4"/>
    <x v="2"/>
    <x v="0"/>
    <x v="3"/>
    <x v="3"/>
    <x v="11"/>
    <x v="2"/>
  </r>
  <r>
    <x v="2074"/>
    <x v="5"/>
    <x v="1"/>
    <n v="27.8"/>
    <x v="1581"/>
    <d v="2025-03-18T00:00:00"/>
    <d v="2025-03-20T00:00:00"/>
    <x v="2"/>
    <x v="0"/>
    <x v="0"/>
    <x v="0"/>
    <x v="3"/>
    <x v="1"/>
    <x v="11"/>
    <x v="2"/>
  </r>
  <r>
    <x v="2075"/>
    <x v="12"/>
    <x v="1"/>
    <n v="85"/>
    <x v="393"/>
    <d v="2025-03-18T00:00:00"/>
    <d v="2025-03-18T00:00:00"/>
    <x v="1"/>
    <x v="2"/>
    <x v="2"/>
    <x v="0"/>
    <x v="3"/>
    <x v="7"/>
    <x v="11"/>
    <x v="1"/>
  </r>
  <r>
    <x v="2076"/>
    <x v="6"/>
    <x v="1"/>
    <n v="95"/>
    <x v="1582"/>
    <d v="2025-03-18T00:00:00"/>
    <d v="2025-03-20T00:00:00"/>
    <x v="2"/>
    <x v="0"/>
    <x v="0"/>
    <x v="0"/>
    <x v="3"/>
    <x v="1"/>
    <x v="11"/>
    <x v="2"/>
  </r>
  <r>
    <x v="2077"/>
    <x v="16"/>
    <x v="1"/>
    <n v="32"/>
    <x v="34"/>
    <d v="2025-03-18T00:00:00"/>
    <d v="2025-03-20T00:00:00"/>
    <x v="1"/>
    <x v="0"/>
    <x v="1"/>
    <x v="0"/>
    <x v="3"/>
    <x v="1"/>
    <x v="11"/>
    <x v="1"/>
  </r>
  <r>
    <x v="2078"/>
    <x v="2"/>
    <x v="1"/>
    <n v="65.2"/>
    <x v="1583"/>
    <d v="2025-03-18T00:00:00"/>
    <d v="2025-03-19T00:00:00"/>
    <x v="2"/>
    <x v="1"/>
    <x v="0"/>
    <x v="0"/>
    <x v="3"/>
    <x v="3"/>
    <x v="11"/>
    <x v="2"/>
  </r>
  <r>
    <x v="2079"/>
    <x v="17"/>
    <x v="12"/>
    <n v="22"/>
    <x v="1155"/>
    <d v="2025-03-18T00:00:00"/>
    <d v="2025-03-19T00:00:00"/>
    <x v="1"/>
    <x v="1"/>
    <x v="2"/>
    <x v="0"/>
    <x v="3"/>
    <x v="3"/>
    <x v="11"/>
    <x v="1"/>
  </r>
  <r>
    <x v="2080"/>
    <x v="15"/>
    <x v="2"/>
    <n v="69.400000000000006"/>
    <x v="140"/>
    <d v="2025-03-18T00:00:00"/>
    <d v="2025-03-21T00:00:00"/>
    <x v="1"/>
    <x v="1"/>
    <x v="2"/>
    <x v="0"/>
    <x v="3"/>
    <x v="2"/>
    <x v="11"/>
    <x v="1"/>
  </r>
  <r>
    <x v="2081"/>
    <x v="10"/>
    <x v="13"/>
    <n v="31.5"/>
    <x v="620"/>
    <d v="2025-03-18T00:00:00"/>
    <d v="2025-03-20T00:00:00"/>
    <x v="2"/>
    <x v="0"/>
    <x v="2"/>
    <x v="0"/>
    <x v="3"/>
    <x v="1"/>
    <x v="11"/>
    <x v="2"/>
  </r>
  <r>
    <x v="2082"/>
    <x v="6"/>
    <x v="0"/>
    <n v="45.8"/>
    <x v="494"/>
    <d v="2025-03-18T00:00:00"/>
    <d v="2025-03-22T00:00:00"/>
    <x v="3"/>
    <x v="0"/>
    <x v="0"/>
    <x v="0"/>
    <x v="3"/>
    <x v="5"/>
    <x v="11"/>
    <x v="3"/>
  </r>
  <r>
    <x v="2083"/>
    <x v="19"/>
    <x v="12"/>
    <n v="12.8"/>
    <x v="180"/>
    <d v="2025-03-18T00:00:00"/>
    <d v="2025-03-25T00:00:00"/>
    <x v="2"/>
    <x v="1"/>
    <x v="1"/>
    <x v="0"/>
    <x v="5"/>
    <x v="6"/>
    <x v="11"/>
    <x v="2"/>
  </r>
  <r>
    <x v="2084"/>
    <x v="5"/>
    <x v="2"/>
    <n v="115.3"/>
    <x v="1584"/>
    <d v="2025-03-18T00:00:00"/>
    <d v="2025-03-19T00:00:00"/>
    <x v="2"/>
    <x v="2"/>
    <x v="2"/>
    <x v="0"/>
    <x v="6"/>
    <x v="3"/>
    <x v="11"/>
    <x v="2"/>
  </r>
  <r>
    <x v="2085"/>
    <x v="5"/>
    <x v="1"/>
    <n v="85"/>
    <x v="393"/>
    <d v="2025-03-18T00:00:00"/>
    <d v="2025-03-20T00:00:00"/>
    <x v="2"/>
    <x v="1"/>
    <x v="0"/>
    <x v="0"/>
    <x v="7"/>
    <x v="1"/>
    <x v="11"/>
    <x v="2"/>
  </r>
  <r>
    <x v="2086"/>
    <x v="8"/>
    <x v="2"/>
    <n v="56.6"/>
    <x v="1026"/>
    <d v="2025-03-18T00:00:00"/>
    <d v="2025-03-19T00:00:00"/>
    <x v="2"/>
    <x v="1"/>
    <x v="2"/>
    <x v="0"/>
    <x v="7"/>
    <x v="3"/>
    <x v="11"/>
    <x v="2"/>
  </r>
  <r>
    <x v="2087"/>
    <x v="15"/>
    <x v="6"/>
    <n v="46.3"/>
    <x v="1585"/>
    <d v="2025-03-18T00:00:00"/>
    <d v="2025-03-21T00:00:00"/>
    <x v="1"/>
    <x v="0"/>
    <x v="0"/>
    <x v="0"/>
    <x v="7"/>
    <x v="2"/>
    <x v="11"/>
    <x v="1"/>
  </r>
  <r>
    <x v="2088"/>
    <x v="14"/>
    <x v="12"/>
    <n v="23"/>
    <x v="988"/>
    <d v="2025-03-18T00:00:00"/>
    <d v="2025-03-22T00:00:00"/>
    <x v="1"/>
    <x v="3"/>
    <x v="2"/>
    <x v="0"/>
    <x v="7"/>
    <x v="5"/>
    <x v="11"/>
    <x v="1"/>
  </r>
  <r>
    <x v="2089"/>
    <x v="8"/>
    <x v="13"/>
    <n v="42.1"/>
    <x v="1586"/>
    <d v="2025-03-18T00:00:00"/>
    <d v="2025-03-20T00:00:00"/>
    <x v="1"/>
    <x v="4"/>
    <x v="0"/>
    <x v="0"/>
    <x v="8"/>
    <x v="1"/>
    <x v="11"/>
    <x v="1"/>
  </r>
  <r>
    <x v="2090"/>
    <x v="5"/>
    <x v="3"/>
    <n v="57.4"/>
    <x v="1587"/>
    <d v="2025-03-18T00:00:00"/>
    <d v="2025-03-22T00:00:00"/>
    <x v="2"/>
    <x v="1"/>
    <x v="4"/>
    <x v="0"/>
    <x v="8"/>
    <x v="5"/>
    <x v="11"/>
    <x v="2"/>
  </r>
  <r>
    <x v="2091"/>
    <x v="0"/>
    <x v="13"/>
    <n v="13.2"/>
    <x v="1113"/>
    <d v="2025-03-18T00:00:00"/>
    <d v="2025-03-22T00:00:00"/>
    <x v="1"/>
    <x v="2"/>
    <x v="0"/>
    <x v="0"/>
    <x v="8"/>
    <x v="5"/>
    <x v="11"/>
    <x v="1"/>
  </r>
  <r>
    <x v="2092"/>
    <x v="6"/>
    <x v="2"/>
    <n v="52.3"/>
    <x v="1588"/>
    <d v="2025-03-18T00:00:00"/>
    <d v="2025-03-19T00:00:00"/>
    <x v="1"/>
    <x v="1"/>
    <x v="0"/>
    <x v="0"/>
    <x v="8"/>
    <x v="3"/>
    <x v="11"/>
    <x v="1"/>
  </r>
  <r>
    <x v="2093"/>
    <x v="8"/>
    <x v="1"/>
    <n v="15.7"/>
    <x v="1323"/>
    <d v="2025-03-18T00:00:00"/>
    <d v="2025-03-21T00:00:00"/>
    <x v="1"/>
    <x v="1"/>
    <x v="2"/>
    <x v="0"/>
    <x v="8"/>
    <x v="2"/>
    <x v="11"/>
    <x v="1"/>
  </r>
  <r>
    <x v="2094"/>
    <x v="7"/>
    <x v="2"/>
    <n v="35"/>
    <x v="211"/>
    <d v="2025-03-18T00:00:00"/>
    <d v="2025-03-21T00:00:00"/>
    <x v="2"/>
    <x v="1"/>
    <x v="2"/>
    <x v="0"/>
    <x v="9"/>
    <x v="2"/>
    <x v="11"/>
    <x v="2"/>
  </r>
  <r>
    <x v="2095"/>
    <x v="4"/>
    <x v="2"/>
    <n v="26.6"/>
    <x v="1589"/>
    <d v="2025-03-18T00:00:00"/>
    <d v="2025-03-18T00:00:00"/>
    <x v="1"/>
    <x v="1"/>
    <x v="2"/>
    <x v="0"/>
    <x v="11"/>
    <x v="7"/>
    <x v="11"/>
    <x v="1"/>
  </r>
  <r>
    <x v="2096"/>
    <x v="4"/>
    <x v="8"/>
    <n v="47.9"/>
    <x v="1590"/>
    <d v="2025-03-19T00:00:00"/>
    <d v="2025-03-20T00:00:00"/>
    <x v="2"/>
    <x v="3"/>
    <x v="2"/>
    <x v="0"/>
    <x v="20"/>
    <x v="3"/>
    <x v="11"/>
    <x v="2"/>
  </r>
  <r>
    <x v="2097"/>
    <x v="5"/>
    <x v="0"/>
    <n v="80.099999999999994"/>
    <x v="1133"/>
    <d v="2025-03-19T00:00:00"/>
    <d v="2025-03-20T00:00:00"/>
    <x v="1"/>
    <x v="2"/>
    <x v="0"/>
    <x v="0"/>
    <x v="21"/>
    <x v="3"/>
    <x v="11"/>
    <x v="1"/>
  </r>
  <r>
    <x v="2098"/>
    <x v="6"/>
    <x v="9"/>
    <n v="50.4"/>
    <x v="816"/>
    <d v="2025-03-19T00:00:00"/>
    <d v="2025-03-20T00:00:00"/>
    <x v="1"/>
    <x v="1"/>
    <x v="2"/>
    <x v="0"/>
    <x v="21"/>
    <x v="3"/>
    <x v="11"/>
    <x v="1"/>
  </r>
  <r>
    <x v="2099"/>
    <x v="10"/>
    <x v="3"/>
    <n v="43.3"/>
    <x v="1591"/>
    <d v="2025-03-19T00:00:00"/>
    <d v="2025-03-20T00:00:00"/>
    <x v="1"/>
    <x v="2"/>
    <x v="0"/>
    <x v="0"/>
    <x v="21"/>
    <x v="3"/>
    <x v="11"/>
    <x v="1"/>
  </r>
  <r>
    <x v="2100"/>
    <x v="10"/>
    <x v="12"/>
    <n v="57.5"/>
    <x v="984"/>
    <d v="2025-03-19T00:00:00"/>
    <d v="2025-03-20T00:00:00"/>
    <x v="2"/>
    <x v="1"/>
    <x v="2"/>
    <x v="0"/>
    <x v="1"/>
    <x v="3"/>
    <x v="11"/>
    <x v="2"/>
  </r>
  <r>
    <x v="2101"/>
    <x v="9"/>
    <x v="15"/>
    <n v="24.8"/>
    <x v="1592"/>
    <d v="2025-03-19T00:00:00"/>
    <d v="2025-03-20T00:00:00"/>
    <x v="1"/>
    <x v="0"/>
    <x v="0"/>
    <x v="0"/>
    <x v="57"/>
    <x v="3"/>
    <x v="11"/>
    <x v="1"/>
  </r>
  <r>
    <x v="2102"/>
    <x v="2"/>
    <x v="11"/>
    <n v="85.7"/>
    <x v="1593"/>
    <d v="2025-03-19T00:00:00"/>
    <d v="2025-03-20T00:00:00"/>
    <x v="2"/>
    <x v="0"/>
    <x v="0"/>
    <x v="0"/>
    <x v="42"/>
    <x v="3"/>
    <x v="11"/>
    <x v="2"/>
  </r>
  <r>
    <x v="2103"/>
    <x v="7"/>
    <x v="0"/>
    <n v="47.1"/>
    <x v="392"/>
    <d v="2025-03-19T00:00:00"/>
    <d v="2025-03-21T00:00:00"/>
    <x v="2"/>
    <x v="0"/>
    <x v="0"/>
    <x v="0"/>
    <x v="2"/>
    <x v="1"/>
    <x v="11"/>
    <x v="2"/>
  </r>
  <r>
    <x v="2104"/>
    <x v="5"/>
    <x v="7"/>
    <n v="83.2"/>
    <x v="1594"/>
    <d v="2025-03-19T00:00:00"/>
    <d v="2025-03-23T00:00:00"/>
    <x v="2"/>
    <x v="0"/>
    <x v="0"/>
    <x v="0"/>
    <x v="33"/>
    <x v="5"/>
    <x v="11"/>
    <x v="2"/>
  </r>
  <r>
    <x v="2105"/>
    <x v="2"/>
    <x v="2"/>
    <n v="157"/>
    <x v="1595"/>
    <d v="2025-03-19T00:00:00"/>
    <d v="2025-03-21T00:00:00"/>
    <x v="2"/>
    <x v="0"/>
    <x v="2"/>
    <x v="0"/>
    <x v="22"/>
    <x v="1"/>
    <x v="11"/>
    <x v="2"/>
  </r>
  <r>
    <x v="2106"/>
    <x v="16"/>
    <x v="12"/>
    <n v="33.700000000000003"/>
    <x v="1093"/>
    <d v="2025-03-19T00:00:00"/>
    <d v="2025-03-20T00:00:00"/>
    <x v="1"/>
    <x v="2"/>
    <x v="2"/>
    <x v="0"/>
    <x v="22"/>
    <x v="3"/>
    <x v="11"/>
    <x v="1"/>
  </r>
  <r>
    <x v="2107"/>
    <x v="2"/>
    <x v="2"/>
    <n v="60.8"/>
    <x v="1596"/>
    <d v="2025-03-19T00:00:00"/>
    <d v="2025-03-23T00:00:00"/>
    <x v="2"/>
    <x v="1"/>
    <x v="1"/>
    <x v="0"/>
    <x v="3"/>
    <x v="5"/>
    <x v="11"/>
    <x v="2"/>
  </r>
  <r>
    <x v="2108"/>
    <x v="7"/>
    <x v="0"/>
    <n v="57.6"/>
    <x v="636"/>
    <d v="2025-03-19T00:00:00"/>
    <d v="2025-03-20T00:00:00"/>
    <x v="1"/>
    <x v="1"/>
    <x v="4"/>
    <x v="0"/>
    <x v="3"/>
    <x v="3"/>
    <x v="11"/>
    <x v="1"/>
  </r>
  <r>
    <x v="2109"/>
    <x v="10"/>
    <x v="0"/>
    <n v="32"/>
    <x v="109"/>
    <d v="2025-03-19T00:00:00"/>
    <d v="2025-03-21T00:00:00"/>
    <x v="1"/>
    <x v="0"/>
    <x v="0"/>
    <x v="0"/>
    <x v="3"/>
    <x v="1"/>
    <x v="11"/>
    <x v="1"/>
  </r>
  <r>
    <x v="2110"/>
    <x v="10"/>
    <x v="12"/>
    <n v="23.5"/>
    <x v="255"/>
    <d v="2025-03-19T00:00:00"/>
    <d v="2025-03-20T00:00:00"/>
    <x v="2"/>
    <x v="0"/>
    <x v="2"/>
    <x v="0"/>
    <x v="3"/>
    <x v="3"/>
    <x v="11"/>
    <x v="2"/>
  </r>
  <r>
    <x v="2111"/>
    <x v="12"/>
    <x v="2"/>
    <n v="44.8"/>
    <x v="1597"/>
    <d v="2025-03-19T00:00:00"/>
    <d v="2025-03-20T00:00:00"/>
    <x v="3"/>
    <x v="4"/>
    <x v="0"/>
    <x v="0"/>
    <x v="3"/>
    <x v="3"/>
    <x v="11"/>
    <x v="3"/>
  </r>
  <r>
    <x v="2112"/>
    <x v="0"/>
    <x v="8"/>
    <n v="11.7"/>
    <x v="64"/>
    <d v="2025-03-19T00:00:00"/>
    <d v="2025-03-20T00:00:00"/>
    <x v="1"/>
    <x v="2"/>
    <x v="2"/>
    <x v="0"/>
    <x v="3"/>
    <x v="3"/>
    <x v="11"/>
    <x v="1"/>
  </r>
  <r>
    <x v="2113"/>
    <x v="7"/>
    <x v="1"/>
    <n v="38.799999999999997"/>
    <x v="1598"/>
    <d v="2025-03-19T00:00:00"/>
    <d v="2025-03-22T00:00:00"/>
    <x v="2"/>
    <x v="2"/>
    <x v="0"/>
    <x v="0"/>
    <x v="3"/>
    <x v="2"/>
    <x v="11"/>
    <x v="2"/>
  </r>
  <r>
    <x v="2114"/>
    <x v="5"/>
    <x v="21"/>
    <n v="86.9"/>
    <x v="1599"/>
    <d v="2025-03-19T00:00:00"/>
    <d v="2025-03-24T00:00:00"/>
    <x v="2"/>
    <x v="1"/>
    <x v="0"/>
    <x v="0"/>
    <x v="3"/>
    <x v="0"/>
    <x v="11"/>
    <x v="2"/>
  </r>
  <r>
    <x v="2115"/>
    <x v="8"/>
    <x v="0"/>
    <n v="18.3"/>
    <x v="1600"/>
    <d v="2025-03-19T00:00:00"/>
    <d v="2025-03-20T00:00:00"/>
    <x v="2"/>
    <x v="0"/>
    <x v="0"/>
    <x v="0"/>
    <x v="3"/>
    <x v="3"/>
    <x v="11"/>
    <x v="2"/>
  </r>
  <r>
    <x v="2116"/>
    <x v="5"/>
    <x v="0"/>
    <n v="47.5"/>
    <x v="1601"/>
    <d v="2025-03-19T00:00:00"/>
    <d v="2025-03-23T00:00:00"/>
    <x v="1"/>
    <x v="4"/>
    <x v="2"/>
    <x v="0"/>
    <x v="3"/>
    <x v="5"/>
    <x v="11"/>
    <x v="1"/>
  </r>
  <r>
    <x v="2117"/>
    <x v="1"/>
    <x v="1"/>
    <n v="78.599999999999994"/>
    <x v="507"/>
    <d v="2025-03-19T00:00:00"/>
    <d v="2025-03-20T00:00:00"/>
    <x v="1"/>
    <x v="2"/>
    <x v="2"/>
    <x v="0"/>
    <x v="3"/>
    <x v="3"/>
    <x v="11"/>
    <x v="1"/>
  </r>
  <r>
    <x v="2118"/>
    <x v="6"/>
    <x v="12"/>
    <n v="87.3"/>
    <x v="1602"/>
    <d v="2025-03-19T00:00:00"/>
    <d v="2025-03-20T00:00:00"/>
    <x v="1"/>
    <x v="0"/>
    <x v="0"/>
    <x v="0"/>
    <x v="3"/>
    <x v="3"/>
    <x v="11"/>
    <x v="1"/>
  </r>
  <r>
    <x v="2119"/>
    <x v="9"/>
    <x v="1"/>
    <n v="63.2"/>
    <x v="628"/>
    <d v="2025-03-19T00:00:00"/>
    <d v="2025-03-19T00:00:00"/>
    <x v="1"/>
    <x v="4"/>
    <x v="1"/>
    <x v="0"/>
    <x v="3"/>
    <x v="7"/>
    <x v="11"/>
    <x v="1"/>
  </r>
  <r>
    <x v="2120"/>
    <x v="5"/>
    <x v="9"/>
    <n v="33.700000000000003"/>
    <x v="1603"/>
    <d v="2025-03-19T00:00:00"/>
    <d v="2025-03-20T00:00:00"/>
    <x v="2"/>
    <x v="0"/>
    <x v="0"/>
    <x v="0"/>
    <x v="3"/>
    <x v="3"/>
    <x v="11"/>
    <x v="2"/>
  </r>
  <r>
    <x v="2121"/>
    <x v="2"/>
    <x v="2"/>
    <n v="107.4"/>
    <x v="1604"/>
    <d v="2025-03-19T00:00:00"/>
    <d v="2025-04-01T00:00:00"/>
    <x v="2"/>
    <x v="1"/>
    <x v="2"/>
    <x v="0"/>
    <x v="3"/>
    <x v="10"/>
    <x v="11"/>
    <x v="2"/>
  </r>
  <r>
    <x v="2122"/>
    <x v="4"/>
    <x v="12"/>
    <n v="22.2"/>
    <x v="1605"/>
    <d v="2025-03-19T00:00:00"/>
    <d v="2025-03-20T00:00:00"/>
    <x v="0"/>
    <x v="1"/>
    <x v="2"/>
    <x v="0"/>
    <x v="24"/>
    <x v="3"/>
    <x v="11"/>
    <x v="0"/>
  </r>
  <r>
    <x v="2123"/>
    <x v="18"/>
    <x v="2"/>
    <n v="52.8"/>
    <x v="1329"/>
    <d v="2025-03-19T00:00:00"/>
    <d v="2025-03-20T00:00:00"/>
    <x v="1"/>
    <x v="3"/>
    <x v="2"/>
    <x v="0"/>
    <x v="24"/>
    <x v="3"/>
    <x v="11"/>
    <x v="1"/>
  </r>
  <r>
    <x v="2124"/>
    <x v="8"/>
    <x v="2"/>
    <n v="41.5"/>
    <x v="376"/>
    <d v="2025-03-19T00:00:00"/>
    <d v="2025-03-22T00:00:00"/>
    <x v="2"/>
    <x v="0"/>
    <x v="0"/>
    <x v="0"/>
    <x v="25"/>
    <x v="2"/>
    <x v="11"/>
    <x v="2"/>
  </r>
  <r>
    <x v="2125"/>
    <x v="12"/>
    <x v="8"/>
    <n v="103.5"/>
    <x v="1606"/>
    <d v="2025-03-19T00:00:00"/>
    <d v="2025-03-22T00:00:00"/>
    <x v="2"/>
    <x v="0"/>
    <x v="2"/>
    <x v="0"/>
    <x v="23"/>
    <x v="2"/>
    <x v="11"/>
    <x v="2"/>
  </r>
  <r>
    <x v="2126"/>
    <x v="4"/>
    <x v="21"/>
    <n v="37.5"/>
    <x v="1469"/>
    <d v="2025-03-19T00:00:00"/>
    <d v="2025-03-19T00:00:00"/>
    <x v="2"/>
    <x v="1"/>
    <x v="2"/>
    <x v="0"/>
    <x v="6"/>
    <x v="7"/>
    <x v="11"/>
    <x v="2"/>
  </r>
  <r>
    <x v="2127"/>
    <x v="15"/>
    <x v="8"/>
    <n v="44.4"/>
    <x v="1607"/>
    <d v="2025-03-19T00:00:00"/>
    <d v="2025-03-25T00:00:00"/>
    <x v="2"/>
    <x v="3"/>
    <x v="2"/>
    <x v="0"/>
    <x v="7"/>
    <x v="4"/>
    <x v="11"/>
    <x v="2"/>
  </r>
  <r>
    <x v="2128"/>
    <x v="8"/>
    <x v="2"/>
    <n v="26.2"/>
    <x v="1608"/>
    <d v="2025-03-19T00:00:00"/>
    <d v="2025-03-20T00:00:00"/>
    <x v="1"/>
    <x v="0"/>
    <x v="0"/>
    <x v="0"/>
    <x v="8"/>
    <x v="3"/>
    <x v="11"/>
    <x v="1"/>
  </r>
  <r>
    <x v="2129"/>
    <x v="1"/>
    <x v="3"/>
    <n v="32.200000000000003"/>
    <x v="1009"/>
    <d v="2025-03-19T00:00:00"/>
    <d v="2025-03-20T00:00:00"/>
    <x v="2"/>
    <x v="1"/>
    <x v="2"/>
    <x v="0"/>
    <x v="8"/>
    <x v="3"/>
    <x v="11"/>
    <x v="2"/>
  </r>
  <r>
    <x v="2130"/>
    <x v="8"/>
    <x v="0"/>
    <n v="17.399999999999999"/>
    <x v="1609"/>
    <d v="2025-03-19T00:00:00"/>
    <d v="2025-03-23T00:00:00"/>
    <x v="0"/>
    <x v="2"/>
    <x v="1"/>
    <x v="0"/>
    <x v="8"/>
    <x v="5"/>
    <x v="11"/>
    <x v="0"/>
  </r>
  <r>
    <x v="2131"/>
    <x v="8"/>
    <x v="13"/>
    <n v="72.3"/>
    <x v="1610"/>
    <d v="2025-03-19T00:00:00"/>
    <d v="2025-03-22T00:00:00"/>
    <x v="2"/>
    <x v="0"/>
    <x v="0"/>
    <x v="0"/>
    <x v="8"/>
    <x v="2"/>
    <x v="11"/>
    <x v="2"/>
  </r>
  <r>
    <x v="2132"/>
    <x v="8"/>
    <x v="5"/>
    <n v="24.3"/>
    <x v="1611"/>
    <d v="2025-03-19T00:00:00"/>
    <d v="2025-03-20T00:00:00"/>
    <x v="1"/>
    <x v="0"/>
    <x v="0"/>
    <x v="0"/>
    <x v="8"/>
    <x v="3"/>
    <x v="11"/>
    <x v="1"/>
  </r>
  <r>
    <x v="2133"/>
    <x v="13"/>
    <x v="2"/>
    <n v="49.1"/>
    <x v="824"/>
    <d v="2025-03-19T00:00:00"/>
    <d v="2025-03-25T00:00:00"/>
    <x v="1"/>
    <x v="2"/>
    <x v="4"/>
    <x v="0"/>
    <x v="8"/>
    <x v="4"/>
    <x v="11"/>
    <x v="1"/>
  </r>
  <r>
    <x v="2134"/>
    <x v="2"/>
    <x v="7"/>
    <n v="234.7"/>
    <x v="1612"/>
    <d v="2025-03-19T00:00:00"/>
    <d v="2025-03-20T00:00:00"/>
    <x v="1"/>
    <x v="3"/>
    <x v="1"/>
    <x v="0"/>
    <x v="8"/>
    <x v="3"/>
    <x v="11"/>
    <x v="1"/>
  </r>
  <r>
    <x v="2135"/>
    <x v="3"/>
    <x v="9"/>
    <n v="76.099999999999994"/>
    <x v="1613"/>
    <d v="2025-03-19T00:00:00"/>
    <d v="2025-03-21T00:00:00"/>
    <x v="1"/>
    <x v="1"/>
    <x v="1"/>
    <x v="0"/>
    <x v="17"/>
    <x v="1"/>
    <x v="11"/>
    <x v="1"/>
  </r>
  <r>
    <x v="2136"/>
    <x v="1"/>
    <x v="2"/>
    <n v="93.9"/>
    <x v="1614"/>
    <d v="2025-03-19T00:00:00"/>
    <d v="2025-03-20T00:00:00"/>
    <x v="1"/>
    <x v="1"/>
    <x v="4"/>
    <x v="0"/>
    <x v="11"/>
    <x v="3"/>
    <x v="11"/>
    <x v="1"/>
  </r>
  <r>
    <x v="2137"/>
    <x v="2"/>
    <x v="12"/>
    <n v="187"/>
    <x v="1615"/>
    <d v="2025-03-20T00:00:00"/>
    <d v="2025-03-23T00:00:00"/>
    <x v="1"/>
    <x v="0"/>
    <x v="0"/>
    <x v="0"/>
    <x v="11"/>
    <x v="2"/>
    <x v="11"/>
    <x v="1"/>
  </r>
  <r>
    <x v="2138"/>
    <x v="8"/>
    <x v="1"/>
    <n v="18"/>
    <x v="53"/>
    <d v="2025-03-20T00:00:00"/>
    <d v="2025-03-21T00:00:00"/>
    <x v="2"/>
    <x v="1"/>
    <x v="2"/>
    <x v="0"/>
    <x v="53"/>
    <x v="3"/>
    <x v="11"/>
    <x v="2"/>
  </r>
  <r>
    <x v="2139"/>
    <x v="4"/>
    <x v="0"/>
    <n v="24.4"/>
    <x v="1616"/>
    <d v="2025-03-20T00:00:00"/>
    <d v="2025-03-21T00:00:00"/>
    <x v="2"/>
    <x v="4"/>
    <x v="2"/>
    <x v="0"/>
    <x v="21"/>
    <x v="3"/>
    <x v="11"/>
    <x v="2"/>
  </r>
  <r>
    <x v="2140"/>
    <x v="10"/>
    <x v="1"/>
    <n v="38.799999999999997"/>
    <x v="1598"/>
    <d v="2025-03-20T00:00:00"/>
    <d v="2025-03-21T00:00:00"/>
    <x v="1"/>
    <x v="4"/>
    <x v="1"/>
    <x v="0"/>
    <x v="3"/>
    <x v="3"/>
    <x v="11"/>
    <x v="1"/>
  </r>
  <r>
    <x v="2141"/>
    <x v="3"/>
    <x v="0"/>
    <n v="59.7"/>
    <x v="1201"/>
    <d v="2025-03-20T00:00:00"/>
    <d v="2025-03-23T00:00:00"/>
    <x v="1"/>
    <x v="3"/>
    <x v="0"/>
    <x v="0"/>
    <x v="3"/>
    <x v="2"/>
    <x v="11"/>
    <x v="1"/>
  </r>
  <r>
    <x v="2142"/>
    <x v="7"/>
    <x v="0"/>
    <n v="31.2"/>
    <x v="406"/>
    <d v="2025-03-20T00:00:00"/>
    <d v="2025-03-21T00:00:00"/>
    <x v="1"/>
    <x v="1"/>
    <x v="2"/>
    <x v="0"/>
    <x v="3"/>
    <x v="3"/>
    <x v="11"/>
    <x v="1"/>
  </r>
  <r>
    <x v="2143"/>
    <x v="0"/>
    <x v="0"/>
    <n v="16.8"/>
    <x v="749"/>
    <d v="2025-03-20T00:00:00"/>
    <d v="2025-03-21T00:00:00"/>
    <x v="2"/>
    <x v="2"/>
    <x v="1"/>
    <x v="0"/>
    <x v="3"/>
    <x v="3"/>
    <x v="11"/>
    <x v="2"/>
  </r>
  <r>
    <x v="2144"/>
    <x v="8"/>
    <x v="0"/>
    <n v="46"/>
    <x v="716"/>
    <d v="2025-03-20T00:00:00"/>
    <d v="2025-03-21T00:00:00"/>
    <x v="1"/>
    <x v="0"/>
    <x v="0"/>
    <x v="0"/>
    <x v="3"/>
    <x v="3"/>
    <x v="11"/>
    <x v="1"/>
  </r>
  <r>
    <x v="2145"/>
    <x v="9"/>
    <x v="8"/>
    <n v="42.2"/>
    <x v="1617"/>
    <d v="2025-03-20T00:00:00"/>
    <d v="2025-03-23T00:00:00"/>
    <x v="2"/>
    <x v="3"/>
    <x v="2"/>
    <x v="0"/>
    <x v="3"/>
    <x v="2"/>
    <x v="11"/>
    <x v="2"/>
  </r>
  <r>
    <x v="2146"/>
    <x v="1"/>
    <x v="2"/>
    <n v="71.5"/>
    <x v="523"/>
    <d v="2025-03-20T00:00:00"/>
    <d v="2025-04-03T00:00:00"/>
    <x v="2"/>
    <x v="0"/>
    <x v="0"/>
    <x v="0"/>
    <x v="3"/>
    <x v="12"/>
    <x v="11"/>
    <x v="2"/>
  </r>
  <r>
    <x v="2147"/>
    <x v="1"/>
    <x v="1"/>
    <n v="76.599999999999994"/>
    <x v="1618"/>
    <d v="2025-03-20T00:00:00"/>
    <d v="2025-03-20T00:00:00"/>
    <x v="1"/>
    <x v="0"/>
    <x v="2"/>
    <x v="0"/>
    <x v="3"/>
    <x v="7"/>
    <x v="11"/>
    <x v="1"/>
  </r>
  <r>
    <x v="2148"/>
    <x v="12"/>
    <x v="1"/>
    <n v="87.3"/>
    <x v="1619"/>
    <d v="2025-03-20T00:00:00"/>
    <d v="2025-03-28T00:00:00"/>
    <x v="2"/>
    <x v="3"/>
    <x v="2"/>
    <x v="0"/>
    <x v="3"/>
    <x v="9"/>
    <x v="11"/>
    <x v="2"/>
  </r>
  <r>
    <x v="2149"/>
    <x v="1"/>
    <x v="0"/>
    <n v="63"/>
    <x v="1620"/>
    <d v="2025-03-20T00:00:00"/>
    <d v="2025-03-23T00:00:00"/>
    <x v="1"/>
    <x v="3"/>
    <x v="0"/>
    <x v="0"/>
    <x v="3"/>
    <x v="2"/>
    <x v="11"/>
    <x v="1"/>
  </r>
  <r>
    <x v="2150"/>
    <x v="8"/>
    <x v="1"/>
    <n v="41.7"/>
    <x v="925"/>
    <d v="2025-03-20T00:00:00"/>
    <d v="2025-03-21T00:00:00"/>
    <x v="2"/>
    <x v="4"/>
    <x v="1"/>
    <x v="0"/>
    <x v="43"/>
    <x v="3"/>
    <x v="11"/>
    <x v="2"/>
  </r>
  <r>
    <x v="2151"/>
    <x v="6"/>
    <x v="1"/>
    <n v="76.099999999999994"/>
    <x v="1621"/>
    <d v="2025-03-20T00:00:00"/>
    <d v="2025-03-20T00:00:00"/>
    <x v="2"/>
    <x v="4"/>
    <x v="2"/>
    <x v="0"/>
    <x v="16"/>
    <x v="7"/>
    <x v="11"/>
    <x v="2"/>
  </r>
  <r>
    <x v="2152"/>
    <x v="13"/>
    <x v="1"/>
    <n v="28.5"/>
    <x v="933"/>
    <d v="2025-03-20T00:00:00"/>
    <d v="2025-03-21T00:00:00"/>
    <x v="2"/>
    <x v="0"/>
    <x v="2"/>
    <x v="0"/>
    <x v="4"/>
    <x v="3"/>
    <x v="11"/>
    <x v="2"/>
  </r>
  <r>
    <x v="2153"/>
    <x v="0"/>
    <x v="12"/>
    <n v="32.1"/>
    <x v="58"/>
    <d v="2025-03-20T00:00:00"/>
    <d v="2025-03-21T00:00:00"/>
    <x v="2"/>
    <x v="1"/>
    <x v="2"/>
    <x v="0"/>
    <x v="25"/>
    <x v="3"/>
    <x v="11"/>
    <x v="2"/>
  </r>
  <r>
    <x v="2154"/>
    <x v="4"/>
    <x v="2"/>
    <n v="39"/>
    <x v="1622"/>
    <d v="2025-03-20T00:00:00"/>
    <d v="2025-03-23T00:00:00"/>
    <x v="1"/>
    <x v="1"/>
    <x v="2"/>
    <x v="0"/>
    <x v="25"/>
    <x v="2"/>
    <x v="11"/>
    <x v="1"/>
  </r>
  <r>
    <x v="2155"/>
    <x v="6"/>
    <x v="0"/>
    <n v="78.5"/>
    <x v="1623"/>
    <d v="2025-03-20T00:00:00"/>
    <d v="2025-03-21T00:00:00"/>
    <x v="1"/>
    <x v="1"/>
    <x v="0"/>
    <x v="0"/>
    <x v="6"/>
    <x v="3"/>
    <x v="11"/>
    <x v="1"/>
  </r>
  <r>
    <x v="2156"/>
    <x v="4"/>
    <x v="9"/>
    <n v="49.7"/>
    <x v="1624"/>
    <d v="2025-03-20T00:00:00"/>
    <d v="2025-03-22T00:00:00"/>
    <x v="2"/>
    <x v="0"/>
    <x v="0"/>
    <x v="0"/>
    <x v="6"/>
    <x v="1"/>
    <x v="11"/>
    <x v="2"/>
  </r>
  <r>
    <x v="2157"/>
    <x v="1"/>
    <x v="12"/>
    <n v="68.400000000000006"/>
    <x v="1625"/>
    <d v="2025-03-20T00:00:00"/>
    <d v="2025-03-21T00:00:00"/>
    <x v="2"/>
    <x v="2"/>
    <x v="2"/>
    <x v="0"/>
    <x v="7"/>
    <x v="3"/>
    <x v="11"/>
    <x v="2"/>
  </r>
  <r>
    <x v="2158"/>
    <x v="3"/>
    <x v="1"/>
    <n v="72.900000000000006"/>
    <x v="1626"/>
    <d v="2025-03-20T00:00:00"/>
    <d v="2025-03-23T00:00:00"/>
    <x v="0"/>
    <x v="0"/>
    <x v="2"/>
    <x v="0"/>
    <x v="7"/>
    <x v="2"/>
    <x v="11"/>
    <x v="0"/>
  </r>
  <r>
    <x v="2159"/>
    <x v="5"/>
    <x v="15"/>
    <n v="30.3"/>
    <x v="1627"/>
    <d v="2025-03-20T00:00:00"/>
    <d v="2025-03-21T00:00:00"/>
    <x v="1"/>
    <x v="4"/>
    <x v="0"/>
    <x v="0"/>
    <x v="7"/>
    <x v="3"/>
    <x v="11"/>
    <x v="1"/>
  </r>
  <r>
    <x v="2160"/>
    <x v="6"/>
    <x v="5"/>
    <n v="57.9"/>
    <x v="1628"/>
    <d v="2025-03-20T00:00:00"/>
    <d v="2025-03-21T00:00:00"/>
    <x v="2"/>
    <x v="0"/>
    <x v="0"/>
    <x v="0"/>
    <x v="8"/>
    <x v="3"/>
    <x v="11"/>
    <x v="2"/>
  </r>
  <r>
    <x v="2161"/>
    <x v="1"/>
    <x v="0"/>
    <n v="96.7"/>
    <x v="1629"/>
    <d v="2025-03-20T00:00:00"/>
    <d v="2025-03-21T00:00:00"/>
    <x v="1"/>
    <x v="0"/>
    <x v="0"/>
    <x v="0"/>
    <x v="8"/>
    <x v="3"/>
    <x v="11"/>
    <x v="1"/>
  </r>
  <r>
    <x v="2162"/>
    <x v="8"/>
    <x v="4"/>
    <n v="27.6"/>
    <x v="1630"/>
    <d v="2025-03-20T00:00:00"/>
    <d v="2025-03-22T00:00:00"/>
    <x v="1"/>
    <x v="2"/>
    <x v="2"/>
    <x v="0"/>
    <x v="8"/>
    <x v="1"/>
    <x v="11"/>
    <x v="1"/>
  </r>
  <r>
    <x v="2163"/>
    <x v="6"/>
    <x v="12"/>
    <n v="64.7"/>
    <x v="536"/>
    <d v="2025-03-20T00:00:00"/>
    <d v="2025-03-20T00:00:00"/>
    <x v="1"/>
    <x v="3"/>
    <x v="2"/>
    <x v="0"/>
    <x v="8"/>
    <x v="7"/>
    <x v="11"/>
    <x v="1"/>
  </r>
  <r>
    <x v="2164"/>
    <x v="10"/>
    <x v="13"/>
    <n v="30.5"/>
    <x v="1143"/>
    <d v="2025-03-20T00:00:00"/>
    <d v="2025-03-21T00:00:00"/>
    <x v="1"/>
    <x v="4"/>
    <x v="0"/>
    <x v="0"/>
    <x v="8"/>
    <x v="3"/>
    <x v="11"/>
    <x v="1"/>
  </r>
  <r>
    <x v="2165"/>
    <x v="6"/>
    <x v="47"/>
    <n v="106"/>
    <x v="1631"/>
    <d v="2025-03-21T00:00:00"/>
    <d v="2025-03-23T00:00:00"/>
    <x v="1"/>
    <x v="4"/>
    <x v="2"/>
    <x v="0"/>
    <x v="8"/>
    <x v="1"/>
    <x v="11"/>
    <x v="1"/>
  </r>
  <r>
    <x v="2166"/>
    <x v="12"/>
    <x v="9"/>
    <n v="76.8"/>
    <x v="1632"/>
    <d v="2025-03-21T00:00:00"/>
    <d v="2025-03-27T00:00:00"/>
    <x v="0"/>
    <x v="1"/>
    <x v="1"/>
    <x v="0"/>
    <x v="18"/>
    <x v="4"/>
    <x v="11"/>
    <x v="0"/>
  </r>
  <r>
    <x v="2167"/>
    <x v="6"/>
    <x v="1"/>
    <n v="80.400000000000006"/>
    <x v="1530"/>
    <d v="2025-03-21T00:00:00"/>
    <d v="2025-03-22T00:00:00"/>
    <x v="2"/>
    <x v="2"/>
    <x v="0"/>
    <x v="0"/>
    <x v="13"/>
    <x v="3"/>
    <x v="11"/>
    <x v="2"/>
  </r>
  <r>
    <x v="2168"/>
    <x v="6"/>
    <x v="12"/>
    <n v="69.099999999999994"/>
    <x v="1633"/>
    <d v="2025-03-21T00:00:00"/>
    <d v="2025-03-22T00:00:00"/>
    <x v="1"/>
    <x v="1"/>
    <x v="2"/>
    <x v="0"/>
    <x v="21"/>
    <x v="3"/>
    <x v="11"/>
    <x v="1"/>
  </r>
  <r>
    <x v="2169"/>
    <x v="18"/>
    <x v="1"/>
    <n v="76.400000000000006"/>
    <x v="1634"/>
    <d v="2025-03-21T00:00:00"/>
    <d v="2025-03-21T00:00:00"/>
    <x v="1"/>
    <x v="3"/>
    <x v="0"/>
    <x v="0"/>
    <x v="21"/>
    <x v="7"/>
    <x v="11"/>
    <x v="1"/>
  </r>
  <r>
    <x v="2170"/>
    <x v="2"/>
    <x v="1"/>
    <n v="61.3"/>
    <x v="384"/>
    <d v="2025-03-21T00:00:00"/>
    <d v="2025-03-22T00:00:00"/>
    <x v="2"/>
    <x v="1"/>
    <x v="1"/>
    <x v="0"/>
    <x v="21"/>
    <x v="3"/>
    <x v="11"/>
    <x v="2"/>
  </r>
  <r>
    <x v="2171"/>
    <x v="7"/>
    <x v="0"/>
    <n v="58"/>
    <x v="1635"/>
    <d v="2025-03-21T00:00:00"/>
    <d v="2025-03-22T00:00:00"/>
    <x v="1"/>
    <x v="3"/>
    <x v="1"/>
    <x v="0"/>
    <x v="1"/>
    <x v="3"/>
    <x v="11"/>
    <x v="1"/>
  </r>
  <r>
    <x v="2172"/>
    <x v="2"/>
    <x v="8"/>
    <n v="102.3"/>
    <x v="1636"/>
    <d v="2025-03-21T00:00:00"/>
    <d v="2025-03-23T00:00:00"/>
    <x v="1"/>
    <x v="2"/>
    <x v="0"/>
    <x v="0"/>
    <x v="42"/>
    <x v="1"/>
    <x v="11"/>
    <x v="1"/>
  </r>
  <r>
    <x v="2173"/>
    <x v="19"/>
    <x v="1"/>
    <n v="13.8"/>
    <x v="1637"/>
    <d v="2025-03-21T00:00:00"/>
    <d v="2025-03-22T00:00:00"/>
    <x v="2"/>
    <x v="4"/>
    <x v="2"/>
    <x v="0"/>
    <x v="2"/>
    <x v="3"/>
    <x v="11"/>
    <x v="2"/>
  </r>
  <r>
    <x v="2174"/>
    <x v="8"/>
    <x v="2"/>
    <n v="33.299999999999997"/>
    <x v="1638"/>
    <d v="2025-03-21T00:00:00"/>
    <d v="2025-03-24T00:00:00"/>
    <x v="2"/>
    <x v="2"/>
    <x v="0"/>
    <x v="0"/>
    <x v="22"/>
    <x v="2"/>
    <x v="11"/>
    <x v="2"/>
  </r>
  <r>
    <x v="2175"/>
    <x v="10"/>
    <x v="0"/>
    <n v="27.4"/>
    <x v="1639"/>
    <d v="2025-03-21T00:00:00"/>
    <d v="2025-03-24T00:00:00"/>
    <x v="1"/>
    <x v="0"/>
    <x v="2"/>
    <x v="0"/>
    <x v="22"/>
    <x v="2"/>
    <x v="11"/>
    <x v="1"/>
  </r>
  <r>
    <x v="2176"/>
    <x v="14"/>
    <x v="1"/>
    <n v="25.6"/>
    <x v="180"/>
    <d v="2025-03-21T00:00:00"/>
    <d v="2025-03-22T00:00:00"/>
    <x v="2"/>
    <x v="1"/>
    <x v="1"/>
    <x v="0"/>
    <x v="3"/>
    <x v="3"/>
    <x v="11"/>
    <x v="2"/>
  </r>
  <r>
    <x v="2177"/>
    <x v="13"/>
    <x v="0"/>
    <n v="58.4"/>
    <x v="305"/>
    <d v="2025-03-21T00:00:00"/>
    <d v="2025-03-22T00:00:00"/>
    <x v="2"/>
    <x v="2"/>
    <x v="2"/>
    <x v="0"/>
    <x v="3"/>
    <x v="3"/>
    <x v="11"/>
    <x v="2"/>
  </r>
  <r>
    <x v="2178"/>
    <x v="11"/>
    <x v="17"/>
    <n v="27"/>
    <x v="906"/>
    <d v="2025-03-21T00:00:00"/>
    <d v="2025-03-22T00:00:00"/>
    <x v="2"/>
    <x v="4"/>
    <x v="0"/>
    <x v="0"/>
    <x v="3"/>
    <x v="3"/>
    <x v="11"/>
    <x v="2"/>
  </r>
  <r>
    <x v="2179"/>
    <x v="0"/>
    <x v="12"/>
    <n v="14.2"/>
    <x v="1640"/>
    <d v="2025-03-21T00:00:00"/>
    <d v="2025-03-22T00:00:00"/>
    <x v="1"/>
    <x v="0"/>
    <x v="2"/>
    <x v="0"/>
    <x v="3"/>
    <x v="3"/>
    <x v="11"/>
    <x v="1"/>
  </r>
  <r>
    <x v="2180"/>
    <x v="7"/>
    <x v="1"/>
    <n v="68"/>
    <x v="1641"/>
    <d v="2025-03-21T00:00:00"/>
    <d v="2025-03-31T00:00:00"/>
    <x v="1"/>
    <x v="2"/>
    <x v="1"/>
    <x v="0"/>
    <x v="3"/>
    <x v="14"/>
    <x v="11"/>
    <x v="1"/>
  </r>
  <r>
    <x v="2181"/>
    <x v="8"/>
    <x v="0"/>
    <n v="30.7"/>
    <x v="1642"/>
    <d v="2025-03-21T00:00:00"/>
    <d v="2025-03-22T00:00:00"/>
    <x v="1"/>
    <x v="0"/>
    <x v="0"/>
    <x v="0"/>
    <x v="3"/>
    <x v="3"/>
    <x v="11"/>
    <x v="1"/>
  </r>
  <r>
    <x v="2182"/>
    <x v="17"/>
    <x v="15"/>
    <n v="51.6"/>
    <x v="1643"/>
    <d v="2025-03-21T00:00:00"/>
    <d v="2025-03-24T00:00:00"/>
    <x v="3"/>
    <x v="1"/>
    <x v="2"/>
    <x v="0"/>
    <x v="3"/>
    <x v="2"/>
    <x v="11"/>
    <x v="3"/>
  </r>
  <r>
    <x v="2183"/>
    <x v="8"/>
    <x v="2"/>
    <n v="20.6"/>
    <x v="957"/>
    <d v="2025-03-21T00:00:00"/>
    <d v="2025-03-25T00:00:00"/>
    <x v="2"/>
    <x v="4"/>
    <x v="2"/>
    <x v="0"/>
    <x v="3"/>
    <x v="5"/>
    <x v="11"/>
    <x v="2"/>
  </r>
  <r>
    <x v="2184"/>
    <x v="8"/>
    <x v="0"/>
    <n v="24.8"/>
    <x v="1644"/>
    <d v="2025-03-21T00:00:00"/>
    <d v="2025-03-22T00:00:00"/>
    <x v="1"/>
    <x v="4"/>
    <x v="0"/>
    <x v="0"/>
    <x v="3"/>
    <x v="3"/>
    <x v="11"/>
    <x v="1"/>
  </r>
  <r>
    <x v="2185"/>
    <x v="0"/>
    <x v="3"/>
    <n v="11.2"/>
    <x v="1645"/>
    <d v="2025-03-21T00:00:00"/>
    <d v="2025-03-24T00:00:00"/>
    <x v="1"/>
    <x v="1"/>
    <x v="0"/>
    <x v="0"/>
    <x v="3"/>
    <x v="2"/>
    <x v="11"/>
    <x v="1"/>
  </r>
  <r>
    <x v="2186"/>
    <x v="11"/>
    <x v="1"/>
    <n v="51.2"/>
    <x v="298"/>
    <d v="2025-03-21T00:00:00"/>
    <d v="2025-03-22T00:00:00"/>
    <x v="2"/>
    <x v="1"/>
    <x v="2"/>
    <x v="0"/>
    <x v="3"/>
    <x v="3"/>
    <x v="11"/>
    <x v="2"/>
  </r>
  <r>
    <x v="2187"/>
    <x v="7"/>
    <x v="13"/>
    <n v="90.5"/>
    <x v="1646"/>
    <d v="2025-03-21T00:00:00"/>
    <d v="2025-03-22T00:00:00"/>
    <x v="2"/>
    <x v="1"/>
    <x v="4"/>
    <x v="0"/>
    <x v="3"/>
    <x v="3"/>
    <x v="11"/>
    <x v="2"/>
  </r>
  <r>
    <x v="2188"/>
    <x v="1"/>
    <x v="1"/>
    <n v="42.4"/>
    <x v="1647"/>
    <d v="2025-03-21T00:00:00"/>
    <d v="2025-03-22T00:00:00"/>
    <x v="1"/>
    <x v="1"/>
    <x v="2"/>
    <x v="0"/>
    <x v="4"/>
    <x v="3"/>
    <x v="11"/>
    <x v="1"/>
  </r>
  <r>
    <x v="2189"/>
    <x v="1"/>
    <x v="1"/>
    <n v="38.200000000000003"/>
    <x v="1648"/>
    <d v="2025-03-21T00:00:00"/>
    <d v="2025-03-22T00:00:00"/>
    <x v="1"/>
    <x v="0"/>
    <x v="0"/>
    <x v="0"/>
    <x v="5"/>
    <x v="3"/>
    <x v="11"/>
    <x v="1"/>
  </r>
  <r>
    <x v="2190"/>
    <x v="2"/>
    <x v="11"/>
    <n v="121.3"/>
    <x v="1649"/>
    <d v="2025-03-21T00:00:00"/>
    <d v="2025-03-26T00:00:00"/>
    <x v="1"/>
    <x v="0"/>
    <x v="0"/>
    <x v="0"/>
    <x v="6"/>
    <x v="0"/>
    <x v="11"/>
    <x v="1"/>
  </r>
  <r>
    <x v="2191"/>
    <x v="6"/>
    <x v="1"/>
    <n v="46.9"/>
    <x v="1650"/>
    <d v="2025-03-21T00:00:00"/>
    <d v="2025-03-28T00:00:00"/>
    <x v="1"/>
    <x v="0"/>
    <x v="0"/>
    <x v="0"/>
    <x v="8"/>
    <x v="6"/>
    <x v="11"/>
    <x v="1"/>
  </r>
  <r>
    <x v="2192"/>
    <x v="10"/>
    <x v="0"/>
    <n v="55.3"/>
    <x v="6"/>
    <d v="2025-03-21T00:00:00"/>
    <d v="2025-03-23T00:00:00"/>
    <x v="1"/>
    <x v="0"/>
    <x v="0"/>
    <x v="0"/>
    <x v="8"/>
    <x v="1"/>
    <x v="11"/>
    <x v="1"/>
  </r>
  <r>
    <x v="2193"/>
    <x v="2"/>
    <x v="2"/>
    <n v="70.599999999999994"/>
    <x v="1651"/>
    <d v="2025-03-22T00:00:00"/>
    <d v="2025-03-22T00:00:00"/>
    <x v="2"/>
    <x v="0"/>
    <x v="1"/>
    <x v="0"/>
    <x v="8"/>
    <x v="7"/>
    <x v="11"/>
    <x v="2"/>
  </r>
  <r>
    <x v="2194"/>
    <x v="14"/>
    <x v="12"/>
    <n v="26.1"/>
    <x v="1652"/>
    <d v="2025-03-22T00:00:00"/>
    <d v="2025-03-24T00:00:00"/>
    <x v="1"/>
    <x v="0"/>
    <x v="0"/>
    <x v="0"/>
    <x v="8"/>
    <x v="1"/>
    <x v="11"/>
    <x v="1"/>
  </r>
  <r>
    <x v="2195"/>
    <x v="9"/>
    <x v="5"/>
    <n v="34.5"/>
    <x v="1653"/>
    <d v="2025-03-22T00:00:00"/>
    <d v="2025-03-26T00:00:00"/>
    <x v="1"/>
    <x v="2"/>
    <x v="0"/>
    <x v="0"/>
    <x v="17"/>
    <x v="5"/>
    <x v="11"/>
    <x v="1"/>
  </r>
  <r>
    <x v="2196"/>
    <x v="1"/>
    <x v="1"/>
    <n v="64.2"/>
    <x v="58"/>
    <d v="2025-03-22T00:00:00"/>
    <d v="2025-03-23T00:00:00"/>
    <x v="2"/>
    <x v="0"/>
    <x v="1"/>
    <x v="0"/>
    <x v="17"/>
    <x v="3"/>
    <x v="11"/>
    <x v="2"/>
  </r>
  <r>
    <x v="2197"/>
    <x v="2"/>
    <x v="12"/>
    <n v="145.69999999999999"/>
    <x v="1654"/>
    <d v="2025-03-22T00:00:00"/>
    <d v="2025-03-23T00:00:00"/>
    <x v="2"/>
    <x v="0"/>
    <x v="4"/>
    <x v="0"/>
    <x v="17"/>
    <x v="3"/>
    <x v="11"/>
    <x v="2"/>
  </r>
  <r>
    <x v="2198"/>
    <x v="12"/>
    <x v="1"/>
    <n v="78.5"/>
    <x v="1655"/>
    <d v="2025-03-22T00:00:00"/>
    <d v="2025-03-23T00:00:00"/>
    <x v="1"/>
    <x v="2"/>
    <x v="0"/>
    <x v="0"/>
    <x v="26"/>
    <x v="3"/>
    <x v="11"/>
    <x v="1"/>
  </r>
  <r>
    <x v="2199"/>
    <x v="1"/>
    <x v="0"/>
    <n v="34.200000000000003"/>
    <x v="1656"/>
    <d v="2025-03-22T00:00:00"/>
    <d v="2025-03-24T00:00:00"/>
    <x v="1"/>
    <x v="0"/>
    <x v="0"/>
    <x v="0"/>
    <x v="9"/>
    <x v="1"/>
    <x v="11"/>
    <x v="1"/>
  </r>
  <r>
    <x v="2200"/>
    <x v="19"/>
    <x v="0"/>
    <n v="26.2"/>
    <x v="1102"/>
    <d v="2025-03-22T00:00:00"/>
    <d v="2025-03-23T00:00:00"/>
    <x v="1"/>
    <x v="2"/>
    <x v="0"/>
    <x v="0"/>
    <x v="9"/>
    <x v="3"/>
    <x v="11"/>
    <x v="1"/>
  </r>
  <r>
    <x v="2201"/>
    <x v="6"/>
    <x v="12"/>
    <n v="53.2"/>
    <x v="1547"/>
    <d v="2025-03-22T00:00:00"/>
    <d v="2025-03-23T00:00:00"/>
    <x v="1"/>
    <x v="1"/>
    <x v="1"/>
    <x v="0"/>
    <x v="11"/>
    <x v="3"/>
    <x v="11"/>
    <x v="1"/>
  </r>
  <r>
    <x v="2202"/>
    <x v="1"/>
    <x v="0"/>
    <n v="35.4"/>
    <x v="1657"/>
    <d v="2025-03-22T00:00:00"/>
    <d v="2025-03-26T00:00:00"/>
    <x v="1"/>
    <x v="1"/>
    <x v="4"/>
    <x v="0"/>
    <x v="18"/>
    <x v="5"/>
    <x v="11"/>
    <x v="1"/>
  </r>
  <r>
    <x v="2203"/>
    <x v="14"/>
    <x v="1"/>
    <n v="21.3"/>
    <x v="440"/>
    <d v="2025-03-22T00:00:00"/>
    <d v="2025-03-23T00:00:00"/>
    <x v="1"/>
    <x v="2"/>
    <x v="0"/>
    <x v="0"/>
    <x v="20"/>
    <x v="3"/>
    <x v="11"/>
    <x v="1"/>
  </r>
  <r>
    <x v="2204"/>
    <x v="8"/>
    <x v="12"/>
    <n v="32.9"/>
    <x v="1423"/>
    <d v="2025-03-22T00:00:00"/>
    <d v="2025-03-25T00:00:00"/>
    <x v="2"/>
    <x v="4"/>
    <x v="2"/>
    <x v="0"/>
    <x v="21"/>
    <x v="2"/>
    <x v="11"/>
    <x v="2"/>
  </r>
  <r>
    <x v="2205"/>
    <x v="5"/>
    <x v="20"/>
    <n v="85.5"/>
    <x v="1658"/>
    <d v="2025-03-22T00:00:00"/>
    <d v="2025-03-24T00:00:00"/>
    <x v="2"/>
    <x v="3"/>
    <x v="1"/>
    <x v="0"/>
    <x v="21"/>
    <x v="1"/>
    <x v="11"/>
    <x v="2"/>
  </r>
  <r>
    <x v="2206"/>
    <x v="4"/>
    <x v="0"/>
    <n v="26.8"/>
    <x v="63"/>
    <d v="2025-03-22T00:00:00"/>
    <d v="2025-03-23T00:00:00"/>
    <x v="2"/>
    <x v="0"/>
    <x v="1"/>
    <x v="0"/>
    <x v="2"/>
    <x v="3"/>
    <x v="11"/>
    <x v="2"/>
  </r>
  <r>
    <x v="2207"/>
    <x v="9"/>
    <x v="18"/>
    <n v="31.7"/>
    <x v="1659"/>
    <d v="2025-03-22T00:00:00"/>
    <d v="2025-03-22T00:00:00"/>
    <x v="2"/>
    <x v="3"/>
    <x v="0"/>
    <x v="0"/>
    <x v="2"/>
    <x v="7"/>
    <x v="11"/>
    <x v="2"/>
  </r>
  <r>
    <x v="2208"/>
    <x v="1"/>
    <x v="1"/>
    <n v="78.3"/>
    <x v="1660"/>
    <d v="2025-03-22T00:00:00"/>
    <d v="2025-03-24T00:00:00"/>
    <x v="2"/>
    <x v="1"/>
    <x v="1"/>
    <x v="0"/>
    <x v="3"/>
    <x v="1"/>
    <x v="11"/>
    <x v="2"/>
  </r>
  <r>
    <x v="2209"/>
    <x v="6"/>
    <x v="0"/>
    <n v="43.9"/>
    <x v="1661"/>
    <d v="2025-03-22T00:00:00"/>
    <d v="2025-03-23T00:00:00"/>
    <x v="1"/>
    <x v="0"/>
    <x v="0"/>
    <x v="0"/>
    <x v="3"/>
    <x v="3"/>
    <x v="11"/>
    <x v="1"/>
  </r>
  <r>
    <x v="2210"/>
    <x v="18"/>
    <x v="2"/>
    <n v="84"/>
    <x v="816"/>
    <d v="2025-03-22T00:00:00"/>
    <d v="2025-03-24T00:00:00"/>
    <x v="0"/>
    <x v="3"/>
    <x v="2"/>
    <x v="0"/>
    <x v="3"/>
    <x v="1"/>
    <x v="11"/>
    <x v="0"/>
  </r>
  <r>
    <x v="2211"/>
    <x v="0"/>
    <x v="2"/>
    <n v="11.4"/>
    <x v="1656"/>
    <d v="2025-03-22T00:00:00"/>
    <d v="2025-03-23T00:00:00"/>
    <x v="1"/>
    <x v="4"/>
    <x v="0"/>
    <x v="0"/>
    <x v="3"/>
    <x v="3"/>
    <x v="11"/>
    <x v="1"/>
  </r>
  <r>
    <x v="2212"/>
    <x v="12"/>
    <x v="8"/>
    <n v="47.5"/>
    <x v="1662"/>
    <d v="2025-03-22T00:00:00"/>
    <d v="2025-03-30T00:00:00"/>
    <x v="2"/>
    <x v="0"/>
    <x v="0"/>
    <x v="0"/>
    <x v="3"/>
    <x v="9"/>
    <x v="11"/>
    <x v="2"/>
  </r>
  <r>
    <x v="2213"/>
    <x v="9"/>
    <x v="5"/>
    <n v="50.5"/>
    <x v="1663"/>
    <d v="2025-03-22T00:00:00"/>
    <d v="2025-03-24T00:00:00"/>
    <x v="1"/>
    <x v="2"/>
    <x v="0"/>
    <x v="0"/>
    <x v="3"/>
    <x v="1"/>
    <x v="11"/>
    <x v="1"/>
  </r>
  <r>
    <x v="2214"/>
    <x v="15"/>
    <x v="0"/>
    <n v="36.299999999999997"/>
    <x v="1277"/>
    <d v="2025-03-22T00:00:00"/>
    <d v="2025-03-25T00:00:00"/>
    <x v="3"/>
    <x v="0"/>
    <x v="1"/>
    <x v="0"/>
    <x v="8"/>
    <x v="2"/>
    <x v="11"/>
    <x v="3"/>
  </r>
  <r>
    <x v="2215"/>
    <x v="8"/>
    <x v="1"/>
    <n v="35.4"/>
    <x v="1664"/>
    <d v="2025-03-22T00:00:00"/>
    <d v="2025-03-23T00:00:00"/>
    <x v="2"/>
    <x v="0"/>
    <x v="0"/>
    <x v="0"/>
    <x v="17"/>
    <x v="3"/>
    <x v="11"/>
    <x v="2"/>
  </r>
  <r>
    <x v="2216"/>
    <x v="1"/>
    <x v="2"/>
    <n v="45.9"/>
    <x v="223"/>
    <d v="2025-03-23T00:00:00"/>
    <d v="2025-03-24T00:00:00"/>
    <x v="1"/>
    <x v="3"/>
    <x v="0"/>
    <x v="0"/>
    <x v="9"/>
    <x v="3"/>
    <x v="12"/>
    <x v="1"/>
  </r>
  <r>
    <x v="2217"/>
    <x v="6"/>
    <x v="7"/>
    <n v="41.2"/>
    <x v="1665"/>
    <d v="2025-03-23T00:00:00"/>
    <d v="2025-03-27T00:00:00"/>
    <x v="1"/>
    <x v="0"/>
    <x v="0"/>
    <x v="0"/>
    <x v="11"/>
    <x v="5"/>
    <x v="12"/>
    <x v="1"/>
  </r>
  <r>
    <x v="2218"/>
    <x v="17"/>
    <x v="1"/>
    <n v="45.1"/>
    <x v="244"/>
    <d v="2025-03-23T00:00:00"/>
    <d v="2025-03-24T00:00:00"/>
    <x v="1"/>
    <x v="1"/>
    <x v="1"/>
    <x v="0"/>
    <x v="21"/>
    <x v="3"/>
    <x v="12"/>
    <x v="1"/>
  </r>
  <r>
    <x v="2219"/>
    <x v="6"/>
    <x v="7"/>
    <n v="63.6"/>
    <x v="1666"/>
    <d v="2025-03-23T00:00:00"/>
    <d v="2025-03-23T00:00:00"/>
    <x v="1"/>
    <x v="2"/>
    <x v="0"/>
    <x v="0"/>
    <x v="1"/>
    <x v="7"/>
    <x v="12"/>
    <x v="1"/>
  </r>
  <r>
    <x v="2220"/>
    <x v="8"/>
    <x v="0"/>
    <n v="70.5"/>
    <x v="1012"/>
    <d v="2025-03-23T00:00:00"/>
    <d v="2025-03-24T00:00:00"/>
    <x v="1"/>
    <x v="0"/>
    <x v="0"/>
    <x v="0"/>
    <x v="3"/>
    <x v="3"/>
    <x v="12"/>
    <x v="1"/>
  </r>
  <r>
    <x v="2221"/>
    <x v="6"/>
    <x v="0"/>
    <n v="41.3"/>
    <x v="1667"/>
    <d v="2025-03-23T00:00:00"/>
    <d v="2025-03-23T00:00:00"/>
    <x v="1"/>
    <x v="4"/>
    <x v="0"/>
    <x v="0"/>
    <x v="3"/>
    <x v="7"/>
    <x v="12"/>
    <x v="1"/>
  </r>
  <r>
    <x v="2222"/>
    <x v="4"/>
    <x v="0"/>
    <n v="35.299999999999997"/>
    <x v="1668"/>
    <d v="2025-03-23T00:00:00"/>
    <d v="2025-03-26T00:00:00"/>
    <x v="2"/>
    <x v="4"/>
    <x v="2"/>
    <x v="0"/>
    <x v="3"/>
    <x v="2"/>
    <x v="12"/>
    <x v="2"/>
  </r>
  <r>
    <x v="2223"/>
    <x v="8"/>
    <x v="9"/>
    <n v="34.700000000000003"/>
    <x v="1669"/>
    <d v="2025-03-23T00:00:00"/>
    <d v="2025-03-24T00:00:00"/>
    <x v="2"/>
    <x v="0"/>
    <x v="2"/>
    <x v="0"/>
    <x v="3"/>
    <x v="3"/>
    <x v="12"/>
    <x v="2"/>
  </r>
  <r>
    <x v="2224"/>
    <x v="8"/>
    <x v="2"/>
    <n v="26.1"/>
    <x v="1670"/>
    <d v="2025-03-23T00:00:00"/>
    <d v="2025-03-24T00:00:00"/>
    <x v="2"/>
    <x v="0"/>
    <x v="0"/>
    <x v="0"/>
    <x v="3"/>
    <x v="3"/>
    <x v="12"/>
    <x v="2"/>
  </r>
  <r>
    <x v="2225"/>
    <x v="9"/>
    <x v="9"/>
    <n v="22.6"/>
    <x v="548"/>
    <d v="2025-03-23T00:00:00"/>
    <d v="2025-03-23T00:00:00"/>
    <x v="2"/>
    <x v="1"/>
    <x v="2"/>
    <x v="0"/>
    <x v="3"/>
    <x v="7"/>
    <x v="12"/>
    <x v="2"/>
  </r>
  <r>
    <x v="2226"/>
    <x v="2"/>
    <x v="1"/>
    <n v="154.4"/>
    <x v="1671"/>
    <d v="2025-03-23T00:00:00"/>
    <d v="2025-03-26T00:00:00"/>
    <x v="1"/>
    <x v="1"/>
    <x v="1"/>
    <x v="0"/>
    <x v="3"/>
    <x v="2"/>
    <x v="12"/>
    <x v="1"/>
  </r>
  <r>
    <x v="2227"/>
    <x v="8"/>
    <x v="1"/>
    <n v="18.399999999999999"/>
    <x v="791"/>
    <d v="2025-03-23T00:00:00"/>
    <d v="2025-03-24T00:00:00"/>
    <x v="1"/>
    <x v="0"/>
    <x v="0"/>
    <x v="0"/>
    <x v="3"/>
    <x v="3"/>
    <x v="12"/>
    <x v="1"/>
  </r>
  <r>
    <x v="2228"/>
    <x v="14"/>
    <x v="0"/>
    <n v="25"/>
    <x v="1672"/>
    <d v="2025-03-23T00:00:00"/>
    <d v="2025-03-26T00:00:00"/>
    <x v="2"/>
    <x v="0"/>
    <x v="0"/>
    <x v="0"/>
    <x v="3"/>
    <x v="2"/>
    <x v="12"/>
    <x v="2"/>
  </r>
  <r>
    <x v="2229"/>
    <x v="2"/>
    <x v="13"/>
    <n v="105.6"/>
    <x v="1673"/>
    <d v="2025-03-23T00:00:00"/>
    <d v="2025-03-23T00:00:00"/>
    <x v="2"/>
    <x v="0"/>
    <x v="0"/>
    <x v="0"/>
    <x v="3"/>
    <x v="7"/>
    <x v="12"/>
    <x v="2"/>
  </r>
  <r>
    <x v="2230"/>
    <x v="18"/>
    <x v="8"/>
    <n v="59.6"/>
    <x v="1674"/>
    <d v="2025-03-23T00:00:00"/>
    <d v="2025-03-23T00:00:00"/>
    <x v="2"/>
    <x v="0"/>
    <x v="2"/>
    <x v="0"/>
    <x v="23"/>
    <x v="7"/>
    <x v="12"/>
    <x v="2"/>
  </r>
  <r>
    <x v="2231"/>
    <x v="15"/>
    <x v="2"/>
    <n v="75.400000000000006"/>
    <x v="1675"/>
    <d v="2025-03-23T00:00:00"/>
    <d v="2025-03-28T00:00:00"/>
    <x v="1"/>
    <x v="0"/>
    <x v="1"/>
    <x v="0"/>
    <x v="7"/>
    <x v="0"/>
    <x v="12"/>
    <x v="1"/>
  </r>
  <r>
    <x v="2232"/>
    <x v="7"/>
    <x v="0"/>
    <n v="104.4"/>
    <x v="1652"/>
    <d v="2025-03-23T00:00:00"/>
    <d v="2025-03-24T00:00:00"/>
    <x v="2"/>
    <x v="0"/>
    <x v="0"/>
    <x v="0"/>
    <x v="8"/>
    <x v="3"/>
    <x v="12"/>
    <x v="2"/>
  </r>
  <r>
    <x v="2233"/>
    <x v="2"/>
    <x v="7"/>
    <n v="208.2"/>
    <x v="1676"/>
    <d v="2025-03-23T00:00:00"/>
    <d v="2025-03-24T00:00:00"/>
    <x v="1"/>
    <x v="0"/>
    <x v="2"/>
    <x v="0"/>
    <x v="8"/>
    <x v="3"/>
    <x v="12"/>
    <x v="1"/>
  </r>
  <r>
    <x v="2234"/>
    <x v="6"/>
    <x v="1"/>
    <n v="45"/>
    <x v="645"/>
    <d v="2025-03-23T00:00:00"/>
    <d v="2025-03-26T00:00:00"/>
    <x v="2"/>
    <x v="0"/>
    <x v="0"/>
    <x v="0"/>
    <x v="10"/>
    <x v="2"/>
    <x v="12"/>
    <x v="2"/>
  </r>
  <r>
    <x v="2235"/>
    <x v="15"/>
    <x v="1"/>
    <n v="20.3"/>
    <x v="1352"/>
    <d v="2025-03-24T00:00:00"/>
    <d v="2025-03-26T00:00:00"/>
    <x v="0"/>
    <x v="1"/>
    <x v="0"/>
    <x v="0"/>
    <x v="11"/>
    <x v="1"/>
    <x v="12"/>
    <x v="0"/>
  </r>
  <r>
    <x v="2236"/>
    <x v="2"/>
    <x v="2"/>
    <n v="94.4"/>
    <x v="1677"/>
    <d v="2025-03-24T00:00:00"/>
    <d v="2025-03-25T00:00:00"/>
    <x v="2"/>
    <x v="0"/>
    <x v="2"/>
    <x v="0"/>
    <x v="11"/>
    <x v="3"/>
    <x v="12"/>
    <x v="2"/>
  </r>
  <r>
    <x v="2237"/>
    <x v="9"/>
    <x v="0"/>
    <n v="49"/>
    <x v="268"/>
    <d v="2025-03-24T00:00:00"/>
    <d v="2025-03-26T00:00:00"/>
    <x v="2"/>
    <x v="0"/>
    <x v="2"/>
    <x v="0"/>
    <x v="20"/>
    <x v="1"/>
    <x v="12"/>
    <x v="2"/>
  </r>
  <r>
    <x v="2238"/>
    <x v="4"/>
    <x v="1"/>
    <n v="27.2"/>
    <x v="630"/>
    <d v="2025-03-24T00:00:00"/>
    <d v="2025-03-26T00:00:00"/>
    <x v="1"/>
    <x v="0"/>
    <x v="2"/>
    <x v="0"/>
    <x v="1"/>
    <x v="1"/>
    <x v="12"/>
    <x v="1"/>
  </r>
  <r>
    <x v="2239"/>
    <x v="2"/>
    <x v="13"/>
    <n v="72.599999999999994"/>
    <x v="349"/>
    <d v="2025-03-24T00:00:00"/>
    <d v="2025-03-25T00:00:00"/>
    <x v="2"/>
    <x v="0"/>
    <x v="2"/>
    <x v="0"/>
    <x v="2"/>
    <x v="3"/>
    <x v="12"/>
    <x v="2"/>
  </r>
  <r>
    <x v="2240"/>
    <x v="15"/>
    <x v="12"/>
    <n v="62.4"/>
    <x v="1267"/>
    <d v="2025-03-24T00:00:00"/>
    <d v="2025-03-25T00:00:00"/>
    <x v="2"/>
    <x v="0"/>
    <x v="0"/>
    <x v="0"/>
    <x v="3"/>
    <x v="3"/>
    <x v="12"/>
    <x v="2"/>
  </r>
  <r>
    <x v="2241"/>
    <x v="8"/>
    <x v="2"/>
    <n v="19.100000000000001"/>
    <x v="1281"/>
    <d v="2025-03-24T00:00:00"/>
    <d v="2025-03-26T00:00:00"/>
    <x v="1"/>
    <x v="0"/>
    <x v="1"/>
    <x v="0"/>
    <x v="3"/>
    <x v="1"/>
    <x v="12"/>
    <x v="1"/>
  </r>
  <r>
    <x v="2242"/>
    <x v="10"/>
    <x v="0"/>
    <n v="29.6"/>
    <x v="1678"/>
    <d v="2025-03-24T00:00:00"/>
    <d v="2025-03-28T00:00:00"/>
    <x v="1"/>
    <x v="0"/>
    <x v="4"/>
    <x v="0"/>
    <x v="3"/>
    <x v="5"/>
    <x v="12"/>
    <x v="1"/>
  </r>
  <r>
    <x v="2243"/>
    <x v="8"/>
    <x v="1"/>
    <n v="18.899999999999999"/>
    <x v="463"/>
    <d v="2025-03-24T00:00:00"/>
    <d v="2025-03-26T00:00:00"/>
    <x v="2"/>
    <x v="4"/>
    <x v="2"/>
    <x v="0"/>
    <x v="3"/>
    <x v="1"/>
    <x v="12"/>
    <x v="2"/>
  </r>
  <r>
    <x v="2244"/>
    <x v="10"/>
    <x v="9"/>
    <n v="41.4"/>
    <x v="461"/>
    <d v="2025-03-24T00:00:00"/>
    <d v="2025-03-25T00:00:00"/>
    <x v="1"/>
    <x v="3"/>
    <x v="0"/>
    <x v="0"/>
    <x v="3"/>
    <x v="3"/>
    <x v="12"/>
    <x v="1"/>
  </r>
  <r>
    <x v="2245"/>
    <x v="2"/>
    <x v="0"/>
    <n v="118.4"/>
    <x v="1250"/>
    <d v="2025-03-24T00:00:00"/>
    <d v="2025-03-25T00:00:00"/>
    <x v="2"/>
    <x v="0"/>
    <x v="2"/>
    <x v="0"/>
    <x v="3"/>
    <x v="3"/>
    <x v="12"/>
    <x v="2"/>
  </r>
  <r>
    <x v="2246"/>
    <x v="2"/>
    <x v="1"/>
    <n v="125.3"/>
    <x v="1679"/>
    <d v="2025-03-24T00:00:00"/>
    <d v="2025-03-27T00:00:00"/>
    <x v="2"/>
    <x v="0"/>
    <x v="2"/>
    <x v="0"/>
    <x v="3"/>
    <x v="2"/>
    <x v="12"/>
    <x v="2"/>
  </r>
  <r>
    <x v="2247"/>
    <x v="3"/>
    <x v="1"/>
    <n v="85.8"/>
    <x v="1512"/>
    <d v="2025-03-24T00:00:00"/>
    <d v="2025-03-25T00:00:00"/>
    <x v="2"/>
    <x v="1"/>
    <x v="4"/>
    <x v="0"/>
    <x v="3"/>
    <x v="3"/>
    <x v="12"/>
    <x v="2"/>
  </r>
  <r>
    <x v="2248"/>
    <x v="6"/>
    <x v="0"/>
    <n v="44.2"/>
    <x v="573"/>
    <d v="2025-03-24T00:00:00"/>
    <d v="2025-03-27T00:00:00"/>
    <x v="1"/>
    <x v="1"/>
    <x v="0"/>
    <x v="0"/>
    <x v="3"/>
    <x v="2"/>
    <x v="12"/>
    <x v="1"/>
  </r>
  <r>
    <x v="2249"/>
    <x v="5"/>
    <x v="12"/>
    <n v="74.099999999999994"/>
    <x v="764"/>
    <d v="2025-03-24T00:00:00"/>
    <d v="2025-03-26T00:00:00"/>
    <x v="2"/>
    <x v="0"/>
    <x v="0"/>
    <x v="0"/>
    <x v="3"/>
    <x v="1"/>
    <x v="12"/>
    <x v="2"/>
  </r>
  <r>
    <x v="2250"/>
    <x v="8"/>
    <x v="0"/>
    <n v="33.799999999999997"/>
    <x v="1680"/>
    <d v="2025-03-24T00:00:00"/>
    <d v="2025-03-25T00:00:00"/>
    <x v="2"/>
    <x v="2"/>
    <x v="2"/>
    <x v="0"/>
    <x v="24"/>
    <x v="3"/>
    <x v="12"/>
    <x v="2"/>
  </r>
  <r>
    <x v="2251"/>
    <x v="1"/>
    <x v="1"/>
    <n v="39.1"/>
    <x v="1148"/>
    <d v="2025-03-24T00:00:00"/>
    <d v="2025-03-25T00:00:00"/>
    <x v="1"/>
    <x v="0"/>
    <x v="1"/>
    <x v="0"/>
    <x v="24"/>
    <x v="3"/>
    <x v="12"/>
    <x v="1"/>
  </r>
  <r>
    <x v="2252"/>
    <x v="0"/>
    <x v="0"/>
    <n v="37.200000000000003"/>
    <x v="804"/>
    <d v="2025-03-24T00:00:00"/>
    <d v="2025-03-25T00:00:00"/>
    <x v="1"/>
    <x v="0"/>
    <x v="1"/>
    <x v="0"/>
    <x v="16"/>
    <x v="3"/>
    <x v="12"/>
    <x v="1"/>
  </r>
  <r>
    <x v="2253"/>
    <x v="15"/>
    <x v="2"/>
    <n v="33.9"/>
    <x v="1681"/>
    <d v="2025-03-24T00:00:00"/>
    <d v="2025-03-26T00:00:00"/>
    <x v="1"/>
    <x v="2"/>
    <x v="0"/>
    <x v="0"/>
    <x v="6"/>
    <x v="1"/>
    <x v="12"/>
    <x v="1"/>
  </r>
  <r>
    <x v="2254"/>
    <x v="7"/>
    <x v="20"/>
    <n v="73.3"/>
    <x v="1682"/>
    <d v="2025-03-24T00:00:00"/>
    <d v="2025-03-27T00:00:00"/>
    <x v="2"/>
    <x v="2"/>
    <x v="1"/>
    <x v="0"/>
    <x v="8"/>
    <x v="2"/>
    <x v="12"/>
    <x v="2"/>
  </r>
  <r>
    <x v="2255"/>
    <x v="8"/>
    <x v="12"/>
    <n v="35"/>
    <x v="1683"/>
    <d v="2025-03-24T00:00:00"/>
    <d v="2025-03-26T00:00:00"/>
    <x v="2"/>
    <x v="1"/>
    <x v="0"/>
    <x v="0"/>
    <x v="8"/>
    <x v="1"/>
    <x v="12"/>
    <x v="2"/>
  </r>
  <r>
    <x v="2256"/>
    <x v="0"/>
    <x v="2"/>
    <n v="22.2"/>
    <x v="815"/>
    <d v="2025-03-24T00:00:00"/>
    <d v="2025-03-25T00:00:00"/>
    <x v="1"/>
    <x v="1"/>
    <x v="0"/>
    <x v="0"/>
    <x v="17"/>
    <x v="3"/>
    <x v="12"/>
    <x v="1"/>
  </r>
  <r>
    <x v="2257"/>
    <x v="10"/>
    <x v="0"/>
    <n v="32.4"/>
    <x v="1684"/>
    <d v="2025-03-24T00:00:00"/>
    <d v="2025-03-25T00:00:00"/>
    <x v="2"/>
    <x v="0"/>
    <x v="0"/>
    <x v="0"/>
    <x v="11"/>
    <x v="3"/>
    <x v="12"/>
    <x v="2"/>
  </r>
  <r>
    <x v="2258"/>
    <x v="5"/>
    <x v="2"/>
    <n v="88.4"/>
    <x v="1685"/>
    <d v="2025-03-25T00:00:00"/>
    <d v="2025-03-27T00:00:00"/>
    <x v="2"/>
    <x v="1"/>
    <x v="1"/>
    <x v="0"/>
    <x v="11"/>
    <x v="1"/>
    <x v="12"/>
    <x v="2"/>
  </r>
  <r>
    <x v="2259"/>
    <x v="5"/>
    <x v="27"/>
    <n v="30.5"/>
    <x v="865"/>
    <d v="2025-03-25T00:00:00"/>
    <d v="2025-03-26T00:00:00"/>
    <x v="2"/>
    <x v="2"/>
    <x v="0"/>
    <x v="0"/>
    <x v="11"/>
    <x v="3"/>
    <x v="12"/>
    <x v="2"/>
  </r>
  <r>
    <x v="2260"/>
    <x v="1"/>
    <x v="13"/>
    <n v="38.1"/>
    <x v="1686"/>
    <d v="2025-03-25T00:00:00"/>
    <d v="2025-03-27T00:00:00"/>
    <x v="2"/>
    <x v="0"/>
    <x v="1"/>
    <x v="0"/>
    <x v="11"/>
    <x v="1"/>
    <x v="12"/>
    <x v="2"/>
  </r>
  <r>
    <x v="2261"/>
    <x v="10"/>
    <x v="9"/>
    <n v="37.6"/>
    <x v="885"/>
    <d v="2025-03-25T00:00:00"/>
    <d v="2025-03-29T00:00:00"/>
    <x v="1"/>
    <x v="0"/>
    <x v="0"/>
    <x v="0"/>
    <x v="11"/>
    <x v="5"/>
    <x v="12"/>
    <x v="1"/>
  </r>
  <r>
    <x v="2262"/>
    <x v="15"/>
    <x v="1"/>
    <n v="31.4"/>
    <x v="143"/>
    <d v="2025-03-25T00:00:00"/>
    <d v="2025-03-26T00:00:00"/>
    <x v="1"/>
    <x v="0"/>
    <x v="2"/>
    <x v="0"/>
    <x v="11"/>
    <x v="3"/>
    <x v="12"/>
    <x v="1"/>
  </r>
  <r>
    <x v="2263"/>
    <x v="6"/>
    <x v="1"/>
    <n v="61.5"/>
    <x v="1287"/>
    <d v="2025-03-25T00:00:00"/>
    <d v="2025-03-26T00:00:00"/>
    <x v="1"/>
    <x v="3"/>
    <x v="0"/>
    <x v="0"/>
    <x v="31"/>
    <x v="3"/>
    <x v="12"/>
    <x v="1"/>
  </r>
  <r>
    <x v="2264"/>
    <x v="6"/>
    <x v="0"/>
    <n v="72.599999999999994"/>
    <x v="1325"/>
    <d v="2025-03-25T00:00:00"/>
    <d v="2025-03-26T00:00:00"/>
    <x v="1"/>
    <x v="0"/>
    <x v="1"/>
    <x v="0"/>
    <x v="21"/>
    <x v="3"/>
    <x v="12"/>
    <x v="1"/>
  </r>
  <r>
    <x v="2265"/>
    <x v="9"/>
    <x v="2"/>
    <n v="26.9"/>
    <x v="1687"/>
    <d v="2025-03-25T00:00:00"/>
    <d v="2025-03-30T00:00:00"/>
    <x v="3"/>
    <x v="4"/>
    <x v="1"/>
    <x v="0"/>
    <x v="46"/>
    <x v="0"/>
    <x v="12"/>
    <x v="3"/>
  </r>
  <r>
    <x v="2266"/>
    <x v="17"/>
    <x v="4"/>
    <n v="29.4"/>
    <x v="1688"/>
    <d v="2025-03-25T00:00:00"/>
    <d v="2025-03-26T00:00:00"/>
    <x v="2"/>
    <x v="1"/>
    <x v="0"/>
    <x v="0"/>
    <x v="51"/>
    <x v="3"/>
    <x v="12"/>
    <x v="2"/>
  </r>
  <r>
    <x v="2267"/>
    <x v="17"/>
    <x v="1"/>
    <n v="42.1"/>
    <x v="903"/>
    <d v="2025-03-25T00:00:00"/>
    <d v="2025-03-26T00:00:00"/>
    <x v="2"/>
    <x v="3"/>
    <x v="1"/>
    <x v="0"/>
    <x v="1"/>
    <x v="3"/>
    <x v="12"/>
    <x v="2"/>
  </r>
  <r>
    <x v="2268"/>
    <x v="5"/>
    <x v="0"/>
    <n v="40.5"/>
    <x v="1117"/>
    <d v="2025-03-25T00:00:00"/>
    <d v="2025-03-26T00:00:00"/>
    <x v="2"/>
    <x v="2"/>
    <x v="1"/>
    <x v="0"/>
    <x v="1"/>
    <x v="3"/>
    <x v="12"/>
    <x v="2"/>
  </r>
  <r>
    <x v="2269"/>
    <x v="2"/>
    <x v="12"/>
    <n v="182.3"/>
    <x v="1689"/>
    <d v="2025-03-25T00:00:00"/>
    <d v="2025-03-26T00:00:00"/>
    <x v="2"/>
    <x v="1"/>
    <x v="0"/>
    <x v="0"/>
    <x v="1"/>
    <x v="3"/>
    <x v="12"/>
    <x v="2"/>
  </r>
  <r>
    <x v="2270"/>
    <x v="2"/>
    <x v="9"/>
    <n v="157"/>
    <x v="1690"/>
    <d v="2025-03-25T00:00:00"/>
    <d v="2025-03-28T00:00:00"/>
    <x v="2"/>
    <x v="1"/>
    <x v="2"/>
    <x v="0"/>
    <x v="2"/>
    <x v="2"/>
    <x v="12"/>
    <x v="2"/>
  </r>
  <r>
    <x v="2271"/>
    <x v="17"/>
    <x v="9"/>
    <n v="45.2"/>
    <x v="326"/>
    <d v="2025-03-25T00:00:00"/>
    <d v="2025-03-28T00:00:00"/>
    <x v="2"/>
    <x v="1"/>
    <x v="0"/>
    <x v="0"/>
    <x v="22"/>
    <x v="2"/>
    <x v="12"/>
    <x v="2"/>
  </r>
  <r>
    <x v="2272"/>
    <x v="15"/>
    <x v="12"/>
    <n v="27.4"/>
    <x v="1239"/>
    <d v="2025-03-25T00:00:00"/>
    <d v="2025-03-27T00:00:00"/>
    <x v="2"/>
    <x v="0"/>
    <x v="0"/>
    <x v="0"/>
    <x v="3"/>
    <x v="1"/>
    <x v="12"/>
    <x v="2"/>
  </r>
  <r>
    <x v="2273"/>
    <x v="5"/>
    <x v="9"/>
    <n v="34.1"/>
    <x v="1691"/>
    <d v="2025-03-25T00:00:00"/>
    <d v="2025-03-27T00:00:00"/>
    <x v="1"/>
    <x v="0"/>
    <x v="2"/>
    <x v="0"/>
    <x v="3"/>
    <x v="1"/>
    <x v="12"/>
    <x v="1"/>
  </r>
  <r>
    <x v="2274"/>
    <x v="0"/>
    <x v="1"/>
    <n v="26"/>
    <x v="1692"/>
    <d v="2025-03-25T00:00:00"/>
    <d v="2025-03-27T00:00:00"/>
    <x v="1"/>
    <x v="2"/>
    <x v="1"/>
    <x v="0"/>
    <x v="3"/>
    <x v="1"/>
    <x v="12"/>
    <x v="1"/>
  </r>
  <r>
    <x v="2275"/>
    <x v="8"/>
    <x v="3"/>
    <n v="19.399999999999999"/>
    <x v="1693"/>
    <d v="2025-03-25T00:00:00"/>
    <d v="2025-03-27T00:00:00"/>
    <x v="0"/>
    <x v="1"/>
    <x v="1"/>
    <x v="0"/>
    <x v="3"/>
    <x v="1"/>
    <x v="12"/>
    <x v="0"/>
  </r>
  <r>
    <x v="2276"/>
    <x v="16"/>
    <x v="2"/>
    <n v="30.3"/>
    <x v="407"/>
    <d v="2025-03-25T00:00:00"/>
    <d v="2025-03-28T00:00:00"/>
    <x v="2"/>
    <x v="1"/>
    <x v="2"/>
    <x v="0"/>
    <x v="3"/>
    <x v="2"/>
    <x v="12"/>
    <x v="2"/>
  </r>
  <r>
    <x v="2277"/>
    <x v="2"/>
    <x v="2"/>
    <n v="101.4"/>
    <x v="1694"/>
    <d v="2025-03-25T00:00:00"/>
    <d v="2025-03-26T00:00:00"/>
    <x v="1"/>
    <x v="0"/>
    <x v="0"/>
    <x v="0"/>
    <x v="3"/>
    <x v="3"/>
    <x v="12"/>
    <x v="1"/>
  </r>
  <r>
    <x v="2278"/>
    <x v="3"/>
    <x v="9"/>
    <n v="55.5"/>
    <x v="819"/>
    <d v="2025-03-25T00:00:00"/>
    <d v="2025-03-28T00:00:00"/>
    <x v="1"/>
    <x v="1"/>
    <x v="0"/>
    <x v="0"/>
    <x v="24"/>
    <x v="2"/>
    <x v="12"/>
    <x v="1"/>
  </r>
  <r>
    <x v="2279"/>
    <x v="8"/>
    <x v="0"/>
    <n v="23.1"/>
    <x v="1695"/>
    <d v="2025-03-25T00:00:00"/>
    <d v="2025-03-26T00:00:00"/>
    <x v="1"/>
    <x v="0"/>
    <x v="0"/>
    <x v="0"/>
    <x v="25"/>
    <x v="3"/>
    <x v="12"/>
    <x v="1"/>
  </r>
  <r>
    <x v="2280"/>
    <x v="18"/>
    <x v="1"/>
    <n v="38.9"/>
    <x v="482"/>
    <d v="2025-03-25T00:00:00"/>
    <d v="2025-03-26T00:00:00"/>
    <x v="1"/>
    <x v="2"/>
    <x v="0"/>
    <x v="0"/>
    <x v="25"/>
    <x v="3"/>
    <x v="12"/>
    <x v="1"/>
  </r>
  <r>
    <x v="2281"/>
    <x v="6"/>
    <x v="11"/>
    <n v="116.3"/>
    <x v="1696"/>
    <d v="2025-03-25T00:00:00"/>
    <d v="2025-03-29T00:00:00"/>
    <x v="2"/>
    <x v="0"/>
    <x v="0"/>
    <x v="0"/>
    <x v="5"/>
    <x v="5"/>
    <x v="12"/>
    <x v="2"/>
  </r>
  <r>
    <x v="2282"/>
    <x v="16"/>
    <x v="11"/>
    <n v="64.099999999999994"/>
    <x v="1697"/>
    <d v="2025-03-25T00:00:00"/>
    <d v="2025-03-25T00:00:00"/>
    <x v="2"/>
    <x v="0"/>
    <x v="2"/>
    <x v="0"/>
    <x v="6"/>
    <x v="7"/>
    <x v="12"/>
    <x v="2"/>
  </r>
  <r>
    <x v="2283"/>
    <x v="2"/>
    <x v="13"/>
    <n v="109.2"/>
    <x v="1698"/>
    <d v="2025-03-25T00:00:00"/>
    <d v="2025-03-27T00:00:00"/>
    <x v="1"/>
    <x v="0"/>
    <x v="1"/>
    <x v="0"/>
    <x v="8"/>
    <x v="1"/>
    <x v="12"/>
    <x v="1"/>
  </r>
  <r>
    <x v="2284"/>
    <x v="10"/>
    <x v="9"/>
    <n v="23.2"/>
    <x v="1699"/>
    <d v="2025-03-26T00:00:00"/>
    <d v="2025-03-27T00:00:00"/>
    <x v="1"/>
    <x v="0"/>
    <x v="1"/>
    <x v="0"/>
    <x v="8"/>
    <x v="3"/>
    <x v="12"/>
    <x v="1"/>
  </r>
  <r>
    <x v="2285"/>
    <x v="18"/>
    <x v="13"/>
    <n v="81.2"/>
    <x v="1700"/>
    <d v="2025-03-26T00:00:00"/>
    <d v="2025-03-28T00:00:00"/>
    <x v="1"/>
    <x v="2"/>
    <x v="2"/>
    <x v="0"/>
    <x v="8"/>
    <x v="1"/>
    <x v="12"/>
    <x v="1"/>
  </r>
  <r>
    <x v="2286"/>
    <x v="1"/>
    <x v="21"/>
    <n v="35.700000000000003"/>
    <x v="1701"/>
    <d v="2025-03-26T00:00:00"/>
    <d v="2025-03-27T00:00:00"/>
    <x v="1"/>
    <x v="3"/>
    <x v="0"/>
    <x v="0"/>
    <x v="8"/>
    <x v="3"/>
    <x v="12"/>
    <x v="1"/>
  </r>
  <r>
    <x v="2287"/>
    <x v="7"/>
    <x v="1"/>
    <n v="44.5"/>
    <x v="1702"/>
    <d v="2025-03-26T00:00:00"/>
    <d v="2025-03-29T00:00:00"/>
    <x v="1"/>
    <x v="4"/>
    <x v="0"/>
    <x v="0"/>
    <x v="9"/>
    <x v="2"/>
    <x v="12"/>
    <x v="1"/>
  </r>
  <r>
    <x v="2288"/>
    <x v="1"/>
    <x v="9"/>
    <n v="32"/>
    <x v="444"/>
    <d v="2025-03-26T00:00:00"/>
    <d v="2025-03-28T00:00:00"/>
    <x v="3"/>
    <x v="1"/>
    <x v="1"/>
    <x v="0"/>
    <x v="9"/>
    <x v="1"/>
    <x v="12"/>
    <x v="3"/>
  </r>
  <r>
    <x v="2289"/>
    <x v="8"/>
    <x v="0"/>
    <n v="25.7"/>
    <x v="1703"/>
    <d v="2025-03-26T00:00:00"/>
    <d v="2025-03-27T00:00:00"/>
    <x v="1"/>
    <x v="0"/>
    <x v="0"/>
    <x v="0"/>
    <x v="10"/>
    <x v="3"/>
    <x v="12"/>
    <x v="1"/>
  </r>
  <r>
    <x v="2290"/>
    <x v="16"/>
    <x v="2"/>
    <n v="65.599999999999994"/>
    <x v="487"/>
    <d v="2025-03-26T00:00:00"/>
    <d v="2025-04-01T00:00:00"/>
    <x v="1"/>
    <x v="0"/>
    <x v="0"/>
    <x v="0"/>
    <x v="11"/>
    <x v="4"/>
    <x v="12"/>
    <x v="1"/>
  </r>
  <r>
    <x v="2291"/>
    <x v="1"/>
    <x v="12"/>
    <n v="52.1"/>
    <x v="1704"/>
    <d v="2025-03-26T00:00:00"/>
    <d v="2025-03-27T00:00:00"/>
    <x v="2"/>
    <x v="0"/>
    <x v="2"/>
    <x v="0"/>
    <x v="11"/>
    <x v="3"/>
    <x v="12"/>
    <x v="2"/>
  </r>
  <r>
    <x v="2292"/>
    <x v="8"/>
    <x v="0"/>
    <n v="31"/>
    <x v="1705"/>
    <d v="2025-03-26T00:00:00"/>
    <d v="2025-03-27T00:00:00"/>
    <x v="1"/>
    <x v="0"/>
    <x v="1"/>
    <x v="0"/>
    <x v="19"/>
    <x v="3"/>
    <x v="12"/>
    <x v="1"/>
  </r>
  <r>
    <x v="2293"/>
    <x v="8"/>
    <x v="0"/>
    <n v="32"/>
    <x v="109"/>
    <d v="2025-03-26T00:00:00"/>
    <d v="2025-03-28T00:00:00"/>
    <x v="3"/>
    <x v="3"/>
    <x v="1"/>
    <x v="0"/>
    <x v="31"/>
    <x v="1"/>
    <x v="12"/>
    <x v="3"/>
  </r>
  <r>
    <x v="2294"/>
    <x v="16"/>
    <x v="12"/>
    <n v="58.3"/>
    <x v="1706"/>
    <d v="2025-03-26T00:00:00"/>
    <d v="2025-03-30T00:00:00"/>
    <x v="1"/>
    <x v="1"/>
    <x v="4"/>
    <x v="0"/>
    <x v="20"/>
    <x v="5"/>
    <x v="12"/>
    <x v="1"/>
  </r>
  <r>
    <x v="2295"/>
    <x v="8"/>
    <x v="2"/>
    <n v="31"/>
    <x v="1707"/>
    <d v="2025-03-26T00:00:00"/>
    <d v="2025-03-28T00:00:00"/>
    <x v="2"/>
    <x v="2"/>
    <x v="4"/>
    <x v="0"/>
    <x v="13"/>
    <x v="1"/>
    <x v="12"/>
    <x v="2"/>
  </r>
  <r>
    <x v="2296"/>
    <x v="3"/>
    <x v="0"/>
    <n v="40.299999999999997"/>
    <x v="518"/>
    <d v="2025-03-26T00:00:00"/>
    <d v="2025-03-27T00:00:00"/>
    <x v="1"/>
    <x v="1"/>
    <x v="2"/>
    <x v="0"/>
    <x v="54"/>
    <x v="3"/>
    <x v="12"/>
    <x v="1"/>
  </r>
  <r>
    <x v="2297"/>
    <x v="6"/>
    <x v="2"/>
    <n v="47.3"/>
    <x v="1708"/>
    <d v="2025-03-26T00:00:00"/>
    <d v="2025-03-28T00:00:00"/>
    <x v="1"/>
    <x v="4"/>
    <x v="2"/>
    <x v="0"/>
    <x v="2"/>
    <x v="1"/>
    <x v="12"/>
    <x v="1"/>
  </r>
  <r>
    <x v="2298"/>
    <x v="2"/>
    <x v="0"/>
    <n v="82.8"/>
    <x v="1182"/>
    <d v="2025-03-26T00:00:00"/>
    <d v="2025-03-27T00:00:00"/>
    <x v="1"/>
    <x v="0"/>
    <x v="0"/>
    <x v="0"/>
    <x v="2"/>
    <x v="3"/>
    <x v="12"/>
    <x v="1"/>
  </r>
  <r>
    <x v="2299"/>
    <x v="8"/>
    <x v="0"/>
    <n v="18.5"/>
    <x v="1709"/>
    <d v="2025-03-26T00:00:00"/>
    <d v="2025-04-09T00:00:00"/>
    <x v="2"/>
    <x v="0"/>
    <x v="0"/>
    <x v="0"/>
    <x v="44"/>
    <x v="12"/>
    <x v="12"/>
    <x v="2"/>
  </r>
  <r>
    <x v="2300"/>
    <x v="3"/>
    <x v="1"/>
    <n v="60.4"/>
    <x v="1710"/>
    <d v="2025-03-26T00:00:00"/>
    <d v="2025-03-27T00:00:00"/>
    <x v="1"/>
    <x v="2"/>
    <x v="0"/>
    <x v="0"/>
    <x v="22"/>
    <x v="3"/>
    <x v="12"/>
    <x v="1"/>
  </r>
  <r>
    <x v="2301"/>
    <x v="6"/>
    <x v="9"/>
    <n v="80.2"/>
    <x v="1711"/>
    <d v="2025-03-26T00:00:00"/>
    <d v="2025-04-02T00:00:00"/>
    <x v="1"/>
    <x v="1"/>
    <x v="1"/>
    <x v="0"/>
    <x v="50"/>
    <x v="6"/>
    <x v="12"/>
    <x v="1"/>
  </r>
  <r>
    <x v="2302"/>
    <x v="4"/>
    <x v="0"/>
    <n v="41.5"/>
    <x v="1712"/>
    <d v="2025-03-26T00:00:00"/>
    <d v="2025-03-28T00:00:00"/>
    <x v="1"/>
    <x v="2"/>
    <x v="0"/>
    <x v="0"/>
    <x v="3"/>
    <x v="1"/>
    <x v="12"/>
    <x v="1"/>
  </r>
  <r>
    <x v="2303"/>
    <x v="2"/>
    <x v="1"/>
    <n v="83.9"/>
    <x v="1713"/>
    <d v="2025-03-26T00:00:00"/>
    <d v="2025-03-29T00:00:00"/>
    <x v="2"/>
    <x v="0"/>
    <x v="0"/>
    <x v="0"/>
    <x v="3"/>
    <x v="2"/>
    <x v="12"/>
    <x v="2"/>
  </r>
  <r>
    <x v="2304"/>
    <x v="8"/>
    <x v="1"/>
    <n v="16.7"/>
    <x v="1417"/>
    <d v="2025-03-26T00:00:00"/>
    <d v="2025-03-30T00:00:00"/>
    <x v="2"/>
    <x v="0"/>
    <x v="1"/>
    <x v="0"/>
    <x v="3"/>
    <x v="5"/>
    <x v="12"/>
    <x v="2"/>
  </r>
  <r>
    <x v="2305"/>
    <x v="9"/>
    <x v="1"/>
    <n v="72.900000000000006"/>
    <x v="1626"/>
    <d v="2025-03-26T00:00:00"/>
    <d v="2025-03-27T00:00:00"/>
    <x v="1"/>
    <x v="2"/>
    <x v="1"/>
    <x v="0"/>
    <x v="3"/>
    <x v="3"/>
    <x v="12"/>
    <x v="1"/>
  </r>
  <r>
    <x v="2306"/>
    <x v="5"/>
    <x v="1"/>
    <n v="50.2"/>
    <x v="862"/>
    <d v="2025-03-26T00:00:00"/>
    <d v="2025-03-28T00:00:00"/>
    <x v="2"/>
    <x v="1"/>
    <x v="2"/>
    <x v="0"/>
    <x v="3"/>
    <x v="1"/>
    <x v="12"/>
    <x v="2"/>
  </r>
  <r>
    <x v="2307"/>
    <x v="3"/>
    <x v="1"/>
    <n v="34.200000000000003"/>
    <x v="1714"/>
    <d v="2025-03-26T00:00:00"/>
    <d v="2025-04-05T00:00:00"/>
    <x v="0"/>
    <x v="1"/>
    <x v="0"/>
    <x v="0"/>
    <x v="3"/>
    <x v="14"/>
    <x v="12"/>
    <x v="0"/>
  </r>
  <r>
    <x v="2308"/>
    <x v="5"/>
    <x v="1"/>
    <n v="107.9"/>
    <x v="1715"/>
    <d v="2025-03-26T00:00:00"/>
    <d v="2025-03-26T00:00:00"/>
    <x v="1"/>
    <x v="1"/>
    <x v="4"/>
    <x v="0"/>
    <x v="3"/>
    <x v="7"/>
    <x v="12"/>
    <x v="1"/>
  </r>
  <r>
    <x v="2309"/>
    <x v="0"/>
    <x v="2"/>
    <n v="17.5"/>
    <x v="413"/>
    <d v="2025-03-26T00:00:00"/>
    <d v="2025-03-28T00:00:00"/>
    <x v="1"/>
    <x v="4"/>
    <x v="0"/>
    <x v="0"/>
    <x v="3"/>
    <x v="1"/>
    <x v="12"/>
    <x v="1"/>
  </r>
  <r>
    <x v="2310"/>
    <x v="13"/>
    <x v="20"/>
    <n v="44.7"/>
    <x v="1716"/>
    <d v="2025-03-26T00:00:00"/>
    <d v="2025-03-27T00:00:00"/>
    <x v="1"/>
    <x v="0"/>
    <x v="1"/>
    <x v="0"/>
    <x v="3"/>
    <x v="3"/>
    <x v="12"/>
    <x v="1"/>
  </r>
  <r>
    <x v="2311"/>
    <x v="12"/>
    <x v="13"/>
    <n v="92.7"/>
    <x v="1717"/>
    <d v="2025-03-26T00:00:00"/>
    <d v="2025-03-28T00:00:00"/>
    <x v="2"/>
    <x v="2"/>
    <x v="1"/>
    <x v="0"/>
    <x v="3"/>
    <x v="1"/>
    <x v="12"/>
    <x v="2"/>
  </r>
  <r>
    <x v="2312"/>
    <x v="7"/>
    <x v="2"/>
    <n v="48.8"/>
    <x v="1718"/>
    <d v="2025-03-26T00:00:00"/>
    <d v="2025-03-28T00:00:00"/>
    <x v="2"/>
    <x v="2"/>
    <x v="0"/>
    <x v="0"/>
    <x v="3"/>
    <x v="1"/>
    <x v="12"/>
    <x v="2"/>
  </r>
  <r>
    <x v="2313"/>
    <x v="4"/>
    <x v="27"/>
    <n v="21.3"/>
    <x v="1153"/>
    <d v="2025-03-26T00:00:00"/>
    <d v="2025-03-30T00:00:00"/>
    <x v="2"/>
    <x v="3"/>
    <x v="3"/>
    <x v="0"/>
    <x v="3"/>
    <x v="5"/>
    <x v="12"/>
    <x v="2"/>
  </r>
  <r>
    <x v="2314"/>
    <x v="16"/>
    <x v="0"/>
    <n v="52.5"/>
    <x v="413"/>
    <d v="2025-03-26T00:00:00"/>
    <d v="2025-03-27T00:00:00"/>
    <x v="2"/>
    <x v="0"/>
    <x v="0"/>
    <x v="0"/>
    <x v="3"/>
    <x v="3"/>
    <x v="12"/>
    <x v="2"/>
  </r>
  <r>
    <x v="2315"/>
    <x v="1"/>
    <x v="1"/>
    <n v="92.4"/>
    <x v="827"/>
    <d v="2025-03-26T00:00:00"/>
    <d v="2025-04-01T00:00:00"/>
    <x v="2"/>
    <x v="0"/>
    <x v="2"/>
    <x v="0"/>
    <x v="3"/>
    <x v="4"/>
    <x v="12"/>
    <x v="2"/>
  </r>
  <r>
    <x v="2316"/>
    <x v="4"/>
    <x v="5"/>
    <n v="58.3"/>
    <x v="1719"/>
    <d v="2025-03-26T00:00:00"/>
    <d v="2025-03-28T00:00:00"/>
    <x v="1"/>
    <x v="1"/>
    <x v="2"/>
    <x v="0"/>
    <x v="3"/>
    <x v="1"/>
    <x v="12"/>
    <x v="1"/>
  </r>
  <r>
    <x v="2317"/>
    <x v="6"/>
    <x v="44"/>
    <n v="152.6"/>
    <x v="1720"/>
    <d v="2025-03-27T00:00:00"/>
    <d v="2025-03-29T00:00:00"/>
    <x v="0"/>
    <x v="0"/>
    <x v="0"/>
    <x v="0"/>
    <x v="3"/>
    <x v="1"/>
    <x v="12"/>
    <x v="0"/>
  </r>
  <r>
    <x v="2318"/>
    <x v="8"/>
    <x v="1"/>
    <n v="26"/>
    <x v="1692"/>
    <d v="2025-03-27T00:00:00"/>
    <d v="2025-03-27T00:00:00"/>
    <x v="0"/>
    <x v="0"/>
    <x v="1"/>
    <x v="0"/>
    <x v="3"/>
    <x v="7"/>
    <x v="12"/>
    <x v="0"/>
  </r>
  <r>
    <x v="2319"/>
    <x v="1"/>
    <x v="12"/>
    <n v="33.1"/>
    <x v="979"/>
    <d v="2025-03-27T00:00:00"/>
    <d v="2025-03-27T00:00:00"/>
    <x v="1"/>
    <x v="2"/>
    <x v="4"/>
    <x v="0"/>
    <x v="5"/>
    <x v="7"/>
    <x v="12"/>
    <x v="1"/>
  </r>
  <r>
    <x v="2320"/>
    <x v="18"/>
    <x v="0"/>
    <n v="51.4"/>
    <x v="1045"/>
    <d v="2025-03-27T00:00:00"/>
    <d v="2025-03-29T00:00:00"/>
    <x v="2"/>
    <x v="1"/>
    <x v="1"/>
    <x v="0"/>
    <x v="5"/>
    <x v="1"/>
    <x v="12"/>
    <x v="2"/>
  </r>
  <r>
    <x v="2321"/>
    <x v="8"/>
    <x v="1"/>
    <n v="30.2"/>
    <x v="266"/>
    <d v="2025-03-27T00:00:00"/>
    <d v="2025-03-28T00:00:00"/>
    <x v="2"/>
    <x v="2"/>
    <x v="2"/>
    <x v="0"/>
    <x v="6"/>
    <x v="3"/>
    <x v="12"/>
    <x v="2"/>
  </r>
  <r>
    <x v="2322"/>
    <x v="2"/>
    <x v="13"/>
    <n v="97"/>
    <x v="1544"/>
    <d v="2025-03-27T00:00:00"/>
    <d v="2025-03-31T00:00:00"/>
    <x v="2"/>
    <x v="0"/>
    <x v="2"/>
    <x v="0"/>
    <x v="7"/>
    <x v="5"/>
    <x v="12"/>
    <x v="2"/>
  </r>
  <r>
    <x v="2323"/>
    <x v="2"/>
    <x v="0"/>
    <n v="76.900000000000006"/>
    <x v="1721"/>
    <d v="2025-03-27T00:00:00"/>
    <d v="2025-03-28T00:00:00"/>
    <x v="1"/>
    <x v="1"/>
    <x v="2"/>
    <x v="0"/>
    <x v="8"/>
    <x v="3"/>
    <x v="12"/>
    <x v="1"/>
  </r>
  <r>
    <x v="2324"/>
    <x v="7"/>
    <x v="13"/>
    <n v="36.1"/>
    <x v="1722"/>
    <d v="2025-03-27T00:00:00"/>
    <d v="2025-03-31T00:00:00"/>
    <x v="2"/>
    <x v="0"/>
    <x v="0"/>
    <x v="0"/>
    <x v="8"/>
    <x v="5"/>
    <x v="12"/>
    <x v="2"/>
  </r>
  <r>
    <x v="2325"/>
    <x v="1"/>
    <x v="3"/>
    <n v="34.4"/>
    <x v="1723"/>
    <d v="2025-03-27T00:00:00"/>
    <d v="2025-03-27T00:00:00"/>
    <x v="2"/>
    <x v="2"/>
    <x v="1"/>
    <x v="0"/>
    <x v="11"/>
    <x v="7"/>
    <x v="12"/>
    <x v="2"/>
  </r>
  <r>
    <x v="2326"/>
    <x v="1"/>
    <x v="31"/>
    <n v="53.4"/>
    <x v="1724"/>
    <d v="2025-03-27T00:00:00"/>
    <d v="2025-03-29T00:00:00"/>
    <x v="2"/>
    <x v="1"/>
    <x v="0"/>
    <x v="0"/>
    <x v="18"/>
    <x v="1"/>
    <x v="12"/>
    <x v="2"/>
  </r>
  <r>
    <x v="2327"/>
    <x v="2"/>
    <x v="0"/>
    <n v="77.599999999999994"/>
    <x v="1598"/>
    <d v="2025-03-27T00:00:00"/>
    <d v="2025-03-28T00:00:00"/>
    <x v="2"/>
    <x v="0"/>
    <x v="1"/>
    <x v="0"/>
    <x v="19"/>
    <x v="3"/>
    <x v="12"/>
    <x v="2"/>
  </r>
  <r>
    <x v="2328"/>
    <x v="1"/>
    <x v="2"/>
    <n v="71.7"/>
    <x v="1725"/>
    <d v="2025-03-27T00:00:00"/>
    <d v="2025-03-30T00:00:00"/>
    <x v="2"/>
    <x v="1"/>
    <x v="0"/>
    <x v="0"/>
    <x v="19"/>
    <x v="2"/>
    <x v="12"/>
    <x v="2"/>
  </r>
  <r>
    <x v="2329"/>
    <x v="3"/>
    <x v="2"/>
    <n v="80.599999999999994"/>
    <x v="1726"/>
    <d v="2025-03-27T00:00:00"/>
    <d v="2025-03-28T00:00:00"/>
    <x v="1"/>
    <x v="4"/>
    <x v="1"/>
    <x v="0"/>
    <x v="19"/>
    <x v="3"/>
    <x v="12"/>
    <x v="1"/>
  </r>
  <r>
    <x v="2330"/>
    <x v="1"/>
    <x v="20"/>
    <n v="70"/>
    <x v="1727"/>
    <d v="2025-03-27T00:00:00"/>
    <d v="2025-03-29T00:00:00"/>
    <x v="1"/>
    <x v="0"/>
    <x v="0"/>
    <x v="0"/>
    <x v="20"/>
    <x v="1"/>
    <x v="12"/>
    <x v="1"/>
  </r>
  <r>
    <x v="2331"/>
    <x v="4"/>
    <x v="13"/>
    <n v="27.3"/>
    <x v="1728"/>
    <d v="2025-03-27T00:00:00"/>
    <d v="2025-03-29T00:00:00"/>
    <x v="2"/>
    <x v="1"/>
    <x v="1"/>
    <x v="0"/>
    <x v="2"/>
    <x v="1"/>
    <x v="12"/>
    <x v="2"/>
  </r>
  <r>
    <x v="2332"/>
    <x v="8"/>
    <x v="21"/>
    <n v="37.6"/>
    <x v="1729"/>
    <d v="2025-03-27T00:00:00"/>
    <d v="2025-03-29T00:00:00"/>
    <x v="1"/>
    <x v="1"/>
    <x v="0"/>
    <x v="0"/>
    <x v="3"/>
    <x v="1"/>
    <x v="12"/>
    <x v="1"/>
  </r>
  <r>
    <x v="2333"/>
    <x v="5"/>
    <x v="2"/>
    <n v="36.6"/>
    <x v="17"/>
    <d v="2025-03-27T00:00:00"/>
    <d v="2025-03-29T00:00:00"/>
    <x v="2"/>
    <x v="4"/>
    <x v="0"/>
    <x v="0"/>
    <x v="3"/>
    <x v="1"/>
    <x v="12"/>
    <x v="2"/>
  </r>
  <r>
    <x v="2334"/>
    <x v="13"/>
    <x v="0"/>
    <n v="55.2"/>
    <x v="291"/>
    <d v="2025-03-27T00:00:00"/>
    <d v="2025-03-29T00:00:00"/>
    <x v="1"/>
    <x v="3"/>
    <x v="0"/>
    <x v="0"/>
    <x v="3"/>
    <x v="1"/>
    <x v="12"/>
    <x v="1"/>
  </r>
  <r>
    <x v="2335"/>
    <x v="6"/>
    <x v="9"/>
    <n v="59.9"/>
    <x v="1444"/>
    <d v="2025-03-27T00:00:00"/>
    <d v="2025-03-29T00:00:00"/>
    <x v="1"/>
    <x v="0"/>
    <x v="0"/>
    <x v="0"/>
    <x v="3"/>
    <x v="1"/>
    <x v="12"/>
    <x v="1"/>
  </r>
  <r>
    <x v="2336"/>
    <x v="6"/>
    <x v="0"/>
    <n v="44"/>
    <x v="945"/>
    <d v="2025-03-27T00:00:00"/>
    <d v="2025-03-28T00:00:00"/>
    <x v="2"/>
    <x v="2"/>
    <x v="2"/>
    <x v="0"/>
    <x v="3"/>
    <x v="3"/>
    <x v="12"/>
    <x v="2"/>
  </r>
  <r>
    <x v="2337"/>
    <x v="9"/>
    <x v="1"/>
    <n v="68.7"/>
    <x v="1730"/>
    <d v="2025-03-27T00:00:00"/>
    <d v="2025-03-27T00:00:00"/>
    <x v="1"/>
    <x v="0"/>
    <x v="0"/>
    <x v="0"/>
    <x v="3"/>
    <x v="7"/>
    <x v="12"/>
    <x v="1"/>
  </r>
  <r>
    <x v="2338"/>
    <x v="5"/>
    <x v="1"/>
    <n v="61.6"/>
    <x v="1432"/>
    <d v="2025-03-27T00:00:00"/>
    <d v="2025-03-31T00:00:00"/>
    <x v="1"/>
    <x v="3"/>
    <x v="1"/>
    <x v="0"/>
    <x v="3"/>
    <x v="5"/>
    <x v="12"/>
    <x v="1"/>
  </r>
  <r>
    <x v="2339"/>
    <x v="7"/>
    <x v="3"/>
    <n v="51.8"/>
    <x v="1731"/>
    <d v="2025-03-27T00:00:00"/>
    <d v="2025-03-28T00:00:00"/>
    <x v="1"/>
    <x v="0"/>
    <x v="0"/>
    <x v="0"/>
    <x v="3"/>
    <x v="3"/>
    <x v="12"/>
    <x v="1"/>
  </r>
  <r>
    <x v="2340"/>
    <x v="8"/>
    <x v="7"/>
    <n v="46.2"/>
    <x v="1236"/>
    <d v="2025-03-27T00:00:00"/>
    <d v="2025-03-29T00:00:00"/>
    <x v="1"/>
    <x v="1"/>
    <x v="2"/>
    <x v="0"/>
    <x v="3"/>
    <x v="1"/>
    <x v="12"/>
    <x v="1"/>
  </r>
  <r>
    <x v="2341"/>
    <x v="0"/>
    <x v="1"/>
    <n v="19.399999999999999"/>
    <x v="1732"/>
    <d v="2025-03-27T00:00:00"/>
    <d v="2025-03-29T00:00:00"/>
    <x v="2"/>
    <x v="1"/>
    <x v="2"/>
    <x v="0"/>
    <x v="6"/>
    <x v="1"/>
    <x v="12"/>
    <x v="2"/>
  </r>
  <r>
    <x v="2342"/>
    <x v="11"/>
    <x v="2"/>
    <n v="52.1"/>
    <x v="1733"/>
    <d v="2025-03-27T00:00:00"/>
    <d v="2025-03-30T00:00:00"/>
    <x v="1"/>
    <x v="3"/>
    <x v="3"/>
    <x v="0"/>
    <x v="6"/>
    <x v="2"/>
    <x v="12"/>
    <x v="1"/>
  </r>
  <r>
    <x v="2343"/>
    <x v="6"/>
    <x v="0"/>
    <n v="74.900000000000006"/>
    <x v="1734"/>
    <d v="2025-03-27T00:00:00"/>
    <d v="2025-03-29T00:00:00"/>
    <x v="3"/>
    <x v="0"/>
    <x v="0"/>
    <x v="0"/>
    <x v="7"/>
    <x v="1"/>
    <x v="12"/>
    <x v="3"/>
  </r>
  <r>
    <x v="2344"/>
    <x v="9"/>
    <x v="3"/>
    <n v="49.6"/>
    <x v="1735"/>
    <d v="2025-03-27T00:00:00"/>
    <d v="2025-03-30T00:00:00"/>
    <x v="2"/>
    <x v="4"/>
    <x v="0"/>
    <x v="0"/>
    <x v="8"/>
    <x v="2"/>
    <x v="12"/>
    <x v="2"/>
  </r>
  <r>
    <x v="2345"/>
    <x v="16"/>
    <x v="12"/>
    <n v="82.8"/>
    <x v="1736"/>
    <d v="2025-03-28T00:00:00"/>
    <d v="2025-03-31T00:00:00"/>
    <x v="2"/>
    <x v="4"/>
    <x v="0"/>
    <x v="0"/>
    <x v="8"/>
    <x v="2"/>
    <x v="12"/>
    <x v="2"/>
  </r>
  <r>
    <x v="2346"/>
    <x v="2"/>
    <x v="0"/>
    <n v="97.7"/>
    <x v="68"/>
    <d v="2025-03-28T00:00:00"/>
    <d v="2025-03-29T00:00:00"/>
    <x v="2"/>
    <x v="1"/>
    <x v="0"/>
    <x v="0"/>
    <x v="8"/>
    <x v="3"/>
    <x v="12"/>
    <x v="2"/>
  </r>
  <r>
    <x v="2347"/>
    <x v="6"/>
    <x v="9"/>
    <n v="83.6"/>
    <x v="378"/>
    <d v="2025-03-28T00:00:00"/>
    <d v="2025-03-29T00:00:00"/>
    <x v="2"/>
    <x v="4"/>
    <x v="0"/>
    <x v="0"/>
    <x v="8"/>
    <x v="3"/>
    <x v="12"/>
    <x v="2"/>
  </r>
  <r>
    <x v="2348"/>
    <x v="8"/>
    <x v="9"/>
    <n v="23.5"/>
    <x v="1737"/>
    <d v="2025-03-28T00:00:00"/>
    <d v="2025-04-01T00:00:00"/>
    <x v="3"/>
    <x v="0"/>
    <x v="0"/>
    <x v="0"/>
    <x v="8"/>
    <x v="5"/>
    <x v="12"/>
    <x v="3"/>
  </r>
  <r>
    <x v="2349"/>
    <x v="9"/>
    <x v="2"/>
    <n v="44.6"/>
    <x v="981"/>
    <d v="2025-03-28T00:00:00"/>
    <d v="2025-03-31T00:00:00"/>
    <x v="2"/>
    <x v="4"/>
    <x v="1"/>
    <x v="0"/>
    <x v="26"/>
    <x v="2"/>
    <x v="12"/>
    <x v="2"/>
  </r>
  <r>
    <x v="2350"/>
    <x v="0"/>
    <x v="2"/>
    <n v="20.100000000000001"/>
    <x v="1738"/>
    <d v="2025-03-28T00:00:00"/>
    <d v="2025-03-30T00:00:00"/>
    <x v="2"/>
    <x v="3"/>
    <x v="4"/>
    <x v="0"/>
    <x v="11"/>
    <x v="1"/>
    <x v="12"/>
    <x v="2"/>
  </r>
  <r>
    <x v="2351"/>
    <x v="2"/>
    <x v="9"/>
    <n v="153.6"/>
    <x v="1739"/>
    <d v="2025-03-28T00:00:00"/>
    <d v="2025-03-29T00:00:00"/>
    <x v="2"/>
    <x v="1"/>
    <x v="2"/>
    <x v="0"/>
    <x v="53"/>
    <x v="3"/>
    <x v="12"/>
    <x v="2"/>
  </r>
  <r>
    <x v="2352"/>
    <x v="1"/>
    <x v="1"/>
    <n v="71.8"/>
    <x v="897"/>
    <d v="2025-03-28T00:00:00"/>
    <d v="2025-04-01T00:00:00"/>
    <x v="2"/>
    <x v="1"/>
    <x v="0"/>
    <x v="0"/>
    <x v="1"/>
    <x v="5"/>
    <x v="12"/>
    <x v="2"/>
  </r>
  <r>
    <x v="2353"/>
    <x v="10"/>
    <x v="0"/>
    <n v="64.7"/>
    <x v="1740"/>
    <d v="2025-03-28T00:00:00"/>
    <d v="2025-03-30T00:00:00"/>
    <x v="0"/>
    <x v="0"/>
    <x v="1"/>
    <x v="0"/>
    <x v="1"/>
    <x v="1"/>
    <x v="12"/>
    <x v="0"/>
  </r>
  <r>
    <x v="2354"/>
    <x v="9"/>
    <x v="8"/>
    <n v="60.4"/>
    <x v="1741"/>
    <d v="2025-03-28T00:00:00"/>
    <d v="2025-03-30T00:00:00"/>
    <x v="2"/>
    <x v="3"/>
    <x v="2"/>
    <x v="0"/>
    <x v="2"/>
    <x v="1"/>
    <x v="12"/>
    <x v="2"/>
  </r>
  <r>
    <x v="2355"/>
    <x v="6"/>
    <x v="12"/>
    <n v="86"/>
    <x v="1213"/>
    <d v="2025-03-28T00:00:00"/>
    <d v="2025-03-31T00:00:00"/>
    <x v="2"/>
    <x v="2"/>
    <x v="2"/>
    <x v="0"/>
    <x v="22"/>
    <x v="2"/>
    <x v="12"/>
    <x v="2"/>
  </r>
  <r>
    <x v="2356"/>
    <x v="12"/>
    <x v="1"/>
    <n v="42.1"/>
    <x v="903"/>
    <d v="2025-03-28T00:00:00"/>
    <d v="2025-03-29T00:00:00"/>
    <x v="2"/>
    <x v="4"/>
    <x v="1"/>
    <x v="0"/>
    <x v="34"/>
    <x v="3"/>
    <x v="12"/>
    <x v="2"/>
  </r>
  <r>
    <x v="2357"/>
    <x v="16"/>
    <x v="11"/>
    <n v="51.1"/>
    <x v="1742"/>
    <d v="2025-03-28T00:00:00"/>
    <d v="2025-03-29T00:00:00"/>
    <x v="1"/>
    <x v="2"/>
    <x v="1"/>
    <x v="0"/>
    <x v="3"/>
    <x v="3"/>
    <x v="12"/>
    <x v="1"/>
  </r>
  <r>
    <x v="2358"/>
    <x v="9"/>
    <x v="12"/>
    <n v="73.8"/>
    <x v="1743"/>
    <d v="2025-03-28T00:00:00"/>
    <d v="2025-03-29T00:00:00"/>
    <x v="1"/>
    <x v="4"/>
    <x v="0"/>
    <x v="0"/>
    <x v="3"/>
    <x v="3"/>
    <x v="12"/>
    <x v="1"/>
  </r>
  <r>
    <x v="2359"/>
    <x v="8"/>
    <x v="9"/>
    <n v="27"/>
    <x v="340"/>
    <d v="2025-03-28T00:00:00"/>
    <d v="2025-03-31T00:00:00"/>
    <x v="2"/>
    <x v="2"/>
    <x v="2"/>
    <x v="0"/>
    <x v="3"/>
    <x v="2"/>
    <x v="12"/>
    <x v="2"/>
  </r>
  <r>
    <x v="2360"/>
    <x v="8"/>
    <x v="13"/>
    <n v="60.1"/>
    <x v="116"/>
    <d v="2025-03-28T00:00:00"/>
    <d v="2025-03-29T00:00:00"/>
    <x v="1"/>
    <x v="3"/>
    <x v="0"/>
    <x v="0"/>
    <x v="3"/>
    <x v="3"/>
    <x v="12"/>
    <x v="1"/>
  </r>
  <r>
    <x v="2361"/>
    <x v="2"/>
    <x v="3"/>
    <n v="94.1"/>
    <x v="1744"/>
    <d v="2025-03-28T00:00:00"/>
    <d v="2025-03-30T00:00:00"/>
    <x v="2"/>
    <x v="4"/>
    <x v="1"/>
    <x v="0"/>
    <x v="3"/>
    <x v="1"/>
    <x v="12"/>
    <x v="2"/>
  </r>
  <r>
    <x v="2362"/>
    <x v="2"/>
    <x v="1"/>
    <n v="124.1"/>
    <x v="1235"/>
    <d v="2025-03-28T00:00:00"/>
    <d v="2025-03-28T00:00:00"/>
    <x v="2"/>
    <x v="2"/>
    <x v="3"/>
    <x v="0"/>
    <x v="43"/>
    <x v="7"/>
    <x v="12"/>
    <x v="2"/>
  </r>
  <r>
    <x v="2363"/>
    <x v="8"/>
    <x v="12"/>
    <n v="16.899999999999999"/>
    <x v="821"/>
    <d v="2025-03-28T00:00:00"/>
    <d v="2025-03-31T00:00:00"/>
    <x v="1"/>
    <x v="3"/>
    <x v="0"/>
    <x v="0"/>
    <x v="6"/>
    <x v="2"/>
    <x v="12"/>
    <x v="1"/>
  </r>
  <r>
    <x v="2364"/>
    <x v="1"/>
    <x v="0"/>
    <n v="36.9"/>
    <x v="1745"/>
    <d v="2025-03-28T00:00:00"/>
    <d v="2025-03-29T00:00:00"/>
    <x v="1"/>
    <x v="0"/>
    <x v="0"/>
    <x v="0"/>
    <x v="6"/>
    <x v="3"/>
    <x v="12"/>
    <x v="1"/>
  </r>
  <r>
    <x v="2365"/>
    <x v="9"/>
    <x v="1"/>
    <n v="22.6"/>
    <x v="705"/>
    <d v="2025-03-28T00:00:00"/>
    <d v="2025-04-10T00:00:00"/>
    <x v="2"/>
    <x v="2"/>
    <x v="1"/>
    <x v="0"/>
    <x v="8"/>
    <x v="10"/>
    <x v="12"/>
    <x v="2"/>
  </r>
  <r>
    <x v="2366"/>
    <x v="7"/>
    <x v="12"/>
    <n v="35"/>
    <x v="1683"/>
    <d v="2025-03-28T00:00:00"/>
    <d v="2025-04-02T00:00:00"/>
    <x v="1"/>
    <x v="3"/>
    <x v="1"/>
    <x v="0"/>
    <x v="8"/>
    <x v="0"/>
    <x v="12"/>
    <x v="1"/>
  </r>
  <r>
    <x v="2367"/>
    <x v="9"/>
    <x v="13"/>
    <n v="63.6"/>
    <x v="1746"/>
    <d v="2025-03-28T00:00:00"/>
    <d v="2025-04-04T00:00:00"/>
    <x v="0"/>
    <x v="1"/>
    <x v="2"/>
    <x v="0"/>
    <x v="8"/>
    <x v="6"/>
    <x v="12"/>
    <x v="0"/>
  </r>
  <r>
    <x v="2368"/>
    <x v="15"/>
    <x v="12"/>
    <n v="78.599999999999994"/>
    <x v="1747"/>
    <d v="2025-03-28T00:00:00"/>
    <d v="2025-03-29T00:00:00"/>
    <x v="1"/>
    <x v="4"/>
    <x v="1"/>
    <x v="0"/>
    <x v="8"/>
    <x v="3"/>
    <x v="12"/>
    <x v="1"/>
  </r>
  <r>
    <x v="2369"/>
    <x v="3"/>
    <x v="1"/>
    <n v="38.5"/>
    <x v="445"/>
    <d v="2025-03-28T00:00:00"/>
    <d v="2025-03-29T00:00:00"/>
    <x v="1"/>
    <x v="0"/>
    <x v="2"/>
    <x v="0"/>
    <x v="8"/>
    <x v="3"/>
    <x v="12"/>
    <x v="1"/>
  </r>
  <r>
    <x v="2370"/>
    <x v="8"/>
    <x v="5"/>
    <n v="71.5"/>
    <x v="1748"/>
    <d v="2025-03-28T00:00:00"/>
    <d v="2025-03-29T00:00:00"/>
    <x v="2"/>
    <x v="1"/>
    <x v="4"/>
    <x v="0"/>
    <x v="8"/>
    <x v="3"/>
    <x v="12"/>
    <x v="2"/>
  </r>
  <r>
    <x v="2371"/>
    <x v="6"/>
    <x v="12"/>
    <n v="121.4"/>
    <x v="1749"/>
    <d v="2025-03-28T00:00:00"/>
    <d v="2025-04-01T00:00:00"/>
    <x v="1"/>
    <x v="1"/>
    <x v="2"/>
    <x v="0"/>
    <x v="17"/>
    <x v="5"/>
    <x v="12"/>
    <x v="1"/>
  </r>
  <r>
    <x v="2372"/>
    <x v="11"/>
    <x v="0"/>
    <n v="40.200000000000003"/>
    <x v="282"/>
    <d v="2025-03-28T00:00:00"/>
    <d v="2025-03-31T00:00:00"/>
    <x v="2"/>
    <x v="0"/>
    <x v="2"/>
    <x v="0"/>
    <x v="11"/>
    <x v="2"/>
    <x v="12"/>
    <x v="2"/>
  </r>
  <r>
    <x v="2373"/>
    <x v="5"/>
    <x v="9"/>
    <n v="31.9"/>
    <x v="1750"/>
    <d v="2025-03-28T00:00:00"/>
    <d v="2025-03-30T00:00:00"/>
    <x v="2"/>
    <x v="2"/>
    <x v="2"/>
    <x v="0"/>
    <x v="28"/>
    <x v="1"/>
    <x v="12"/>
    <x v="2"/>
  </r>
  <r>
    <x v="2374"/>
    <x v="14"/>
    <x v="9"/>
    <n v="15.8"/>
    <x v="1751"/>
    <d v="2025-03-29T00:00:00"/>
    <d v="2025-03-30T00:00:00"/>
    <x v="1"/>
    <x v="3"/>
    <x v="2"/>
    <x v="0"/>
    <x v="21"/>
    <x v="3"/>
    <x v="12"/>
    <x v="1"/>
  </r>
  <r>
    <x v="2375"/>
    <x v="10"/>
    <x v="1"/>
    <n v="25.1"/>
    <x v="486"/>
    <d v="2025-03-29T00:00:00"/>
    <d v="2025-03-31T00:00:00"/>
    <x v="0"/>
    <x v="1"/>
    <x v="0"/>
    <x v="0"/>
    <x v="21"/>
    <x v="1"/>
    <x v="12"/>
    <x v="0"/>
  </r>
  <r>
    <x v="2376"/>
    <x v="1"/>
    <x v="44"/>
    <n v="38.1"/>
    <x v="1752"/>
    <d v="2025-03-29T00:00:00"/>
    <d v="2025-03-30T00:00:00"/>
    <x v="2"/>
    <x v="4"/>
    <x v="0"/>
    <x v="0"/>
    <x v="1"/>
    <x v="3"/>
    <x v="12"/>
    <x v="2"/>
  </r>
  <r>
    <x v="2377"/>
    <x v="3"/>
    <x v="1"/>
    <n v="42.2"/>
    <x v="533"/>
    <d v="2025-03-29T00:00:00"/>
    <d v="2025-03-31T00:00:00"/>
    <x v="2"/>
    <x v="0"/>
    <x v="2"/>
    <x v="0"/>
    <x v="1"/>
    <x v="1"/>
    <x v="12"/>
    <x v="2"/>
  </r>
  <r>
    <x v="2378"/>
    <x v="0"/>
    <x v="7"/>
    <n v="12.3"/>
    <x v="1287"/>
    <d v="2025-03-29T00:00:00"/>
    <d v="2025-03-30T00:00:00"/>
    <x v="2"/>
    <x v="4"/>
    <x v="0"/>
    <x v="0"/>
    <x v="2"/>
    <x v="3"/>
    <x v="12"/>
    <x v="2"/>
  </r>
  <r>
    <x v="2379"/>
    <x v="7"/>
    <x v="0"/>
    <n v="30.2"/>
    <x v="242"/>
    <d v="2025-03-29T00:00:00"/>
    <d v="2025-03-31T00:00:00"/>
    <x v="2"/>
    <x v="1"/>
    <x v="2"/>
    <x v="0"/>
    <x v="34"/>
    <x v="1"/>
    <x v="12"/>
    <x v="2"/>
  </r>
  <r>
    <x v="2380"/>
    <x v="5"/>
    <x v="2"/>
    <n v="25.3"/>
    <x v="1554"/>
    <d v="2025-03-29T00:00:00"/>
    <d v="2025-04-01T00:00:00"/>
    <x v="2"/>
    <x v="2"/>
    <x v="0"/>
    <x v="0"/>
    <x v="3"/>
    <x v="2"/>
    <x v="12"/>
    <x v="2"/>
  </r>
  <r>
    <x v="2381"/>
    <x v="8"/>
    <x v="9"/>
    <n v="29.7"/>
    <x v="1753"/>
    <d v="2025-03-29T00:00:00"/>
    <d v="2025-03-31T00:00:00"/>
    <x v="1"/>
    <x v="3"/>
    <x v="0"/>
    <x v="0"/>
    <x v="3"/>
    <x v="1"/>
    <x v="12"/>
    <x v="1"/>
  </r>
  <r>
    <x v="2382"/>
    <x v="9"/>
    <x v="8"/>
    <n v="32.9"/>
    <x v="1754"/>
    <d v="2025-03-29T00:00:00"/>
    <d v="2025-03-30T00:00:00"/>
    <x v="0"/>
    <x v="3"/>
    <x v="2"/>
    <x v="0"/>
    <x v="3"/>
    <x v="3"/>
    <x v="12"/>
    <x v="0"/>
  </r>
  <r>
    <x v="2383"/>
    <x v="10"/>
    <x v="1"/>
    <n v="43.6"/>
    <x v="640"/>
    <d v="2025-03-29T00:00:00"/>
    <d v="2025-03-30T00:00:00"/>
    <x v="1"/>
    <x v="1"/>
    <x v="2"/>
    <x v="0"/>
    <x v="3"/>
    <x v="3"/>
    <x v="12"/>
    <x v="1"/>
  </r>
  <r>
    <x v="2384"/>
    <x v="15"/>
    <x v="12"/>
    <n v="78.400000000000006"/>
    <x v="1755"/>
    <d v="2025-03-29T00:00:00"/>
    <d v="2025-03-30T00:00:00"/>
    <x v="1"/>
    <x v="2"/>
    <x v="0"/>
    <x v="0"/>
    <x v="3"/>
    <x v="3"/>
    <x v="12"/>
    <x v="1"/>
  </r>
  <r>
    <x v="2385"/>
    <x v="6"/>
    <x v="1"/>
    <n v="56.5"/>
    <x v="548"/>
    <d v="2025-03-29T00:00:00"/>
    <d v="2025-04-02T00:00:00"/>
    <x v="1"/>
    <x v="1"/>
    <x v="1"/>
    <x v="0"/>
    <x v="3"/>
    <x v="5"/>
    <x v="12"/>
    <x v="1"/>
  </r>
  <r>
    <x v="2386"/>
    <x v="16"/>
    <x v="0"/>
    <n v="36.700000000000003"/>
    <x v="329"/>
    <d v="2025-03-29T00:00:00"/>
    <d v="2025-03-30T00:00:00"/>
    <x v="2"/>
    <x v="0"/>
    <x v="2"/>
    <x v="0"/>
    <x v="3"/>
    <x v="3"/>
    <x v="12"/>
    <x v="2"/>
  </r>
  <r>
    <x v="2387"/>
    <x v="2"/>
    <x v="12"/>
    <n v="103.6"/>
    <x v="1756"/>
    <d v="2025-03-29T00:00:00"/>
    <d v="2025-04-09T00:00:00"/>
    <x v="1"/>
    <x v="4"/>
    <x v="2"/>
    <x v="0"/>
    <x v="3"/>
    <x v="11"/>
    <x v="12"/>
    <x v="1"/>
  </r>
  <r>
    <x v="2388"/>
    <x v="8"/>
    <x v="13"/>
    <n v="16.2"/>
    <x v="1757"/>
    <d v="2025-03-29T00:00:00"/>
    <d v="2025-04-02T00:00:00"/>
    <x v="1"/>
    <x v="1"/>
    <x v="2"/>
    <x v="0"/>
    <x v="6"/>
    <x v="5"/>
    <x v="12"/>
    <x v="1"/>
  </r>
  <r>
    <x v="2389"/>
    <x v="8"/>
    <x v="1"/>
    <n v="20.2"/>
    <x v="1400"/>
    <d v="2025-03-29T00:00:00"/>
    <d v="2025-03-30T00:00:00"/>
    <x v="2"/>
    <x v="0"/>
    <x v="0"/>
    <x v="0"/>
    <x v="6"/>
    <x v="3"/>
    <x v="12"/>
    <x v="2"/>
  </r>
  <r>
    <x v="2390"/>
    <x v="11"/>
    <x v="1"/>
    <n v="26.9"/>
    <x v="1758"/>
    <d v="2025-03-29T00:00:00"/>
    <d v="2025-03-31T00:00:00"/>
    <x v="2"/>
    <x v="2"/>
    <x v="0"/>
    <x v="0"/>
    <x v="6"/>
    <x v="1"/>
    <x v="12"/>
    <x v="2"/>
  </r>
  <r>
    <x v="2391"/>
    <x v="1"/>
    <x v="1"/>
    <n v="82.4"/>
    <x v="1759"/>
    <d v="2025-03-29T00:00:00"/>
    <d v="2025-04-01T00:00:00"/>
    <x v="0"/>
    <x v="0"/>
    <x v="0"/>
    <x v="0"/>
    <x v="7"/>
    <x v="2"/>
    <x v="12"/>
    <x v="0"/>
  </r>
  <r>
    <x v="2392"/>
    <x v="2"/>
    <x v="1"/>
    <n v="117.8"/>
    <x v="1760"/>
    <d v="2025-03-29T00:00:00"/>
    <d v="2025-03-31T00:00:00"/>
    <x v="1"/>
    <x v="1"/>
    <x v="2"/>
    <x v="0"/>
    <x v="8"/>
    <x v="1"/>
    <x v="12"/>
    <x v="1"/>
  </r>
  <r>
    <x v="2393"/>
    <x v="11"/>
    <x v="12"/>
    <n v="36.700000000000003"/>
    <x v="1761"/>
    <d v="2025-03-29T00:00:00"/>
    <d v="2025-03-30T00:00:00"/>
    <x v="1"/>
    <x v="1"/>
    <x v="0"/>
    <x v="0"/>
    <x v="8"/>
    <x v="3"/>
    <x v="12"/>
    <x v="1"/>
  </r>
  <r>
    <x v="2394"/>
    <x v="17"/>
    <x v="2"/>
    <n v="46.8"/>
    <x v="1762"/>
    <d v="2025-03-29T00:00:00"/>
    <d v="2025-03-30T00:00:00"/>
    <x v="1"/>
    <x v="4"/>
    <x v="2"/>
    <x v="0"/>
    <x v="10"/>
    <x v="3"/>
    <x v="12"/>
    <x v="1"/>
  </r>
  <r>
    <x v="2395"/>
    <x v="3"/>
    <x v="0"/>
    <n v="61.4"/>
    <x v="886"/>
    <d v="2025-03-29T00:00:00"/>
    <d v="2025-03-30T00:00:00"/>
    <x v="1"/>
    <x v="1"/>
    <x v="0"/>
    <x v="0"/>
    <x v="10"/>
    <x v="3"/>
    <x v="12"/>
    <x v="1"/>
  </r>
  <r>
    <x v="2396"/>
    <x v="15"/>
    <x v="1"/>
    <n v="22.9"/>
    <x v="494"/>
    <d v="2025-03-29T00:00:00"/>
    <d v="2025-03-30T00:00:00"/>
    <x v="1"/>
    <x v="0"/>
    <x v="0"/>
    <x v="0"/>
    <x v="11"/>
    <x v="3"/>
    <x v="12"/>
    <x v="1"/>
  </r>
  <r>
    <x v="2397"/>
    <x v="10"/>
    <x v="1"/>
    <n v="22.1"/>
    <x v="573"/>
    <d v="2025-03-29T00:00:00"/>
    <d v="2025-03-30T00:00:00"/>
    <x v="2"/>
    <x v="4"/>
    <x v="0"/>
    <x v="0"/>
    <x v="11"/>
    <x v="3"/>
    <x v="12"/>
    <x v="2"/>
  </r>
  <r>
    <x v="2398"/>
    <x v="12"/>
    <x v="1"/>
    <n v="31"/>
    <x v="85"/>
    <d v="2025-03-29T00:00:00"/>
    <d v="2025-03-31T00:00:00"/>
    <x v="2"/>
    <x v="2"/>
    <x v="0"/>
    <x v="0"/>
    <x v="18"/>
    <x v="1"/>
    <x v="12"/>
    <x v="2"/>
  </r>
  <r>
    <x v="2399"/>
    <x v="18"/>
    <x v="1"/>
    <n v="84.2"/>
    <x v="1763"/>
    <d v="2025-03-29T00:00:00"/>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58ED7E-4033-934B-A6B5-653C887B79B3}" name="PT Days of Deliver" cacheId="1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6">
  <location ref="A175:B181" firstHeaderRow="2" firstDataRow="2" firstDataCol="1"/>
  <pivotFields count="16">
    <pivotField dataField="1" compact="0" outline="0"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compact="0" outline="0" showAll="0" sortType="ascending">
      <items count="21">
        <item x="14"/>
        <item x="10"/>
        <item x="12"/>
        <item x="15"/>
        <item x="4"/>
        <item x="7"/>
        <item x="6"/>
        <item x="19"/>
        <item x="18"/>
        <item x="11"/>
        <item x="17"/>
        <item x="5"/>
        <item x="0"/>
        <item x="2"/>
        <item x="9"/>
        <item x="16"/>
        <item x="8"/>
        <item x="1"/>
        <item x="13"/>
        <item x="3"/>
        <item t="default"/>
      </items>
    </pivotField>
    <pivotField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compact="0" outline="0" showAll="0"/>
    <pivotField compact="0" numFmtId="15" outline="0" showAll="0"/>
    <pivotField compact="0" numFmtId="15" outline="0" showAll="0"/>
    <pivotField compact="0" outline="0" showAll="0">
      <items count="5">
        <item x="0"/>
        <item x="2"/>
        <item x="1"/>
        <item x="3"/>
        <item t="default"/>
      </items>
    </pivotField>
    <pivotField compact="0" outline="0" showAll="0">
      <items count="6">
        <item h="1" x="0"/>
        <item x="3"/>
        <item h="1" x="4"/>
        <item h="1" x="2"/>
        <item h="1" x="1"/>
        <item t="default"/>
      </items>
    </pivotField>
    <pivotField compact="0" outline="0" showAll="0"/>
    <pivotField compact="0" outline="0" showAll="0"/>
    <pivotField compact="0" outline="0" showAll="0"/>
    <pivotField axis="axisRow" compact="0" outline="0" showAll="0">
      <items count="16">
        <item x="7"/>
        <item x="3"/>
        <item x="1"/>
        <item x="2"/>
        <item x="5"/>
        <item x="0"/>
        <item x="4"/>
        <item x="6"/>
        <item x="9"/>
        <item x="8"/>
        <item x="14"/>
        <item x="11"/>
        <item x="13"/>
        <item x="10"/>
        <item x="12"/>
        <item t="default"/>
      </items>
    </pivotField>
    <pivotField compact="0" outline="0" showAll="0">
      <items count="14">
        <item x="0"/>
        <item x="1"/>
        <item x="2"/>
        <item x="3"/>
        <item x="4"/>
        <item x="5"/>
        <item x="6"/>
        <item x="7"/>
        <item x="8"/>
        <item x="9"/>
        <item x="10"/>
        <item x="11"/>
        <item x="12"/>
        <item t="default"/>
      </items>
    </pivotField>
    <pivotField compact="0" outline="0" showAll="0">
      <items count="5">
        <item h="1" x="2"/>
        <item h="1" x="1"/>
        <item h="1" x="3"/>
        <item x="0"/>
        <item t="default"/>
      </items>
    </pivotField>
    <pivotField compact="0" outline="0" showAll="0">
      <items count="10">
        <item x="0"/>
        <item x="1"/>
        <item x="2"/>
        <item x="4"/>
        <item x="3"/>
        <item x="5"/>
        <item x="6"/>
        <item x="7"/>
        <item x="8"/>
        <item t="default"/>
      </items>
    </pivotField>
  </pivotFields>
  <rowFields count="1">
    <field x="12"/>
  </rowFields>
  <rowItems count="5">
    <i>
      <x/>
    </i>
    <i>
      <x v="1"/>
    </i>
    <i>
      <x v="2"/>
    </i>
    <i>
      <x v="4"/>
    </i>
    <i t="grand">
      <x/>
    </i>
  </rowItems>
  <colItems count="1">
    <i/>
  </colItems>
  <dataFields count="1">
    <dataField name="Count of TX ID" fld="0" subtotal="count" baseField="0" baseItem="0"/>
  </dataFields>
  <chartFormats count="2">
    <chartFormat chart="21"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BBFB9EC-0B56-4249-8144-6CBDDC27183F}" name="PT Maps"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1">
  <location ref="A104:D162" firstHeaderRow="0" firstDataRow="1" firstDataCol="2"/>
  <pivotFields count="16">
    <pivotField compact="0" outline="0" showAll="0" defaultSubtotal="0">
      <items count="2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s>
      <extLst>
        <ext xmlns:x14="http://schemas.microsoft.com/office/spreadsheetml/2009/9/main" uri="{2946ED86-A175-432a-8AC1-64E0C546D7DE}">
          <x14:pivotField fillDownLabels="1"/>
        </ext>
      </extLst>
    </pivotField>
    <pivotField compact="0" outline="0" showAll="0" sortType="ascending" defaultSubtotal="0">
      <items count="20">
        <item x="14"/>
        <item x="10"/>
        <item x="12"/>
        <item x="15"/>
        <item x="4"/>
        <item x="7"/>
        <item x="6"/>
        <item x="19"/>
        <item x="18"/>
        <item x="11"/>
        <item x="17"/>
        <item x="5"/>
        <item x="0"/>
        <item x="2"/>
        <item x="9"/>
        <item x="16"/>
        <item x="8"/>
        <item x="1"/>
        <item x="13"/>
        <item x="3"/>
      </items>
      <extLst>
        <ext xmlns:x14="http://schemas.microsoft.com/office/spreadsheetml/2009/9/main" uri="{2946ED86-A175-432a-8AC1-64E0C546D7DE}">
          <x14:pivotField fillDownLabels="1"/>
        </ext>
      </extLst>
    </pivotField>
    <pivotField dataField="1" compact="0" outline="0" showAll="0" defaultSubtotal="0">
      <items count="48">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numFmtId="15" outline="0" showAll="0" defaultSubtotal="0">
      <extLst>
        <ext xmlns:x14="http://schemas.microsoft.com/office/spreadsheetml/2009/9/main" uri="{2946ED86-A175-432a-8AC1-64E0C546D7DE}">
          <x14:pivotField fillDownLabels="1"/>
        </ext>
      </extLst>
    </pivotField>
    <pivotField compact="0" outline="0" showAll="0" defaultSubtotal="0">
      <items count="4">
        <item x="0"/>
        <item x="2"/>
        <item x="1"/>
        <item x="3"/>
      </items>
      <extLst>
        <ext xmlns:x14="http://schemas.microsoft.com/office/spreadsheetml/2009/9/main" uri="{2946ED86-A175-432a-8AC1-64E0C546D7DE}">
          <x14:pivotField fillDownLabels="1"/>
        </ext>
      </extLst>
    </pivotField>
    <pivotField compact="0" outline="0" showAll="0" defaultSubtotal="0">
      <items count="5">
        <item x="0"/>
        <item x="3"/>
        <item x="4"/>
        <item x="2"/>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58">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compact="0" outline="0" showAll="0" defaultSubtotal="0">
      <items count="4">
        <item x="2"/>
        <item x="1"/>
        <item x="3"/>
        <item x="0"/>
      </items>
      <extLst>
        <ext xmlns:x14="http://schemas.microsoft.com/office/spreadsheetml/2009/9/main" uri="{2946ED86-A175-432a-8AC1-64E0C546D7DE}">
          <x14:pivotField fillDownLabels="1"/>
        </ext>
      </extLst>
    </pivotField>
    <pivotField compact="0" outline="0" showAll="0" defaultSubtotal="0">
      <items count="9">
        <item x="0"/>
        <item x="1"/>
        <item x="2"/>
        <item x="4"/>
        <item x="3"/>
        <item x="5"/>
        <item x="6"/>
        <item x="7"/>
        <item x="8"/>
      </items>
      <extLst>
        <ext xmlns:x14="http://schemas.microsoft.com/office/spreadsheetml/2009/9/main" uri="{2946ED86-A175-432a-8AC1-64E0C546D7DE}">
          <x14:pivotField fillDownLabels="1"/>
        </ext>
      </extLst>
    </pivotField>
  </pivotFields>
  <rowFields count="2">
    <field x="10"/>
    <field x="11"/>
  </rowFields>
  <rowItems count="58">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1EE3C6-20E3-044D-98C7-BAD71B2F96FB}" name="PT Popular Products"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1">
  <location ref="A70:C82" firstHeaderRow="1" firstDataRow="2" firstDataCol="1"/>
  <pivotFields count="16">
    <pivotField compact="0" outline="0"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axis="axisRow" compact="0" outline="0" showAll="0" sortType="ascending">
      <items count="21">
        <item x="14"/>
        <item x="10"/>
        <item x="12"/>
        <item x="15"/>
        <item x="4"/>
        <item x="7"/>
        <item x="6"/>
        <item x="19"/>
        <item x="18"/>
        <item x="11"/>
        <item x="17"/>
        <item x="5"/>
        <item x="0"/>
        <item x="2"/>
        <item x="9"/>
        <item x="16"/>
        <item x="8"/>
        <item x="1"/>
        <item x="13"/>
        <item x="3"/>
        <item t="default"/>
      </items>
    </pivotField>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compact="0" outline="0" showAll="0"/>
    <pivotField compact="0" numFmtId="15" outline="0" showAll="0"/>
    <pivotField compact="0" numFmtId="15" outline="0" showAll="0"/>
    <pivotField compact="0" outline="0" showAll="0">
      <items count="5">
        <item x="0"/>
        <item x="2"/>
        <item x="1"/>
        <item x="3"/>
        <item t="default"/>
      </items>
    </pivotField>
    <pivotField compact="0" outline="0" showAll="0">
      <items count="6">
        <item h="1" x="0"/>
        <item x="3"/>
        <item h="1" x="4"/>
        <item h="1" x="2"/>
        <item h="1" x="1"/>
        <item t="default"/>
      </items>
    </pivotField>
    <pivotField compact="0" outline="0" showAll="0"/>
    <pivotField compact="0" outline="0" showAll="0"/>
    <pivotField compact="0" outline="0" showAll="0"/>
    <pivotField compact="0" outline="0" showAll="0"/>
    <pivotField compact="0" outline="0" showAll="0">
      <items count="14">
        <item x="0"/>
        <item x="1"/>
        <item x="2"/>
        <item x="3"/>
        <item x="4"/>
        <item x="5"/>
        <item x="6"/>
        <item x="7"/>
        <item x="8"/>
        <item x="9"/>
        <item x="10"/>
        <item x="11"/>
        <item x="12"/>
        <item t="default"/>
      </items>
    </pivotField>
    <pivotField axis="axisCol" compact="0" outline="0" showAll="0">
      <items count="5">
        <item h="1" x="2"/>
        <item h="1" x="1"/>
        <item h="1" x="3"/>
        <item x="0"/>
        <item t="default"/>
      </items>
    </pivotField>
    <pivotField compact="0" outline="0" showAll="0">
      <items count="10">
        <item x="0"/>
        <item x="1"/>
        <item x="2"/>
        <item x="4"/>
        <item x="3"/>
        <item x="5"/>
        <item x="6"/>
        <item x="7"/>
        <item x="8"/>
        <item t="default"/>
      </items>
    </pivotField>
  </pivotFields>
  <rowFields count="1">
    <field x="1"/>
  </rowFields>
  <rowItems count="11">
    <i>
      <x v="3"/>
    </i>
    <i>
      <x v="4"/>
    </i>
    <i>
      <x v="6"/>
    </i>
    <i>
      <x v="8"/>
    </i>
    <i>
      <x v="11"/>
    </i>
    <i>
      <x v="12"/>
    </i>
    <i>
      <x v="13"/>
    </i>
    <i>
      <x v="14"/>
    </i>
    <i>
      <x v="15"/>
    </i>
    <i>
      <x v="16"/>
    </i>
    <i t="grand">
      <x/>
    </i>
  </rowItems>
  <colFields count="1">
    <field x="14"/>
  </colFields>
  <colItems count="2">
    <i>
      <x v="3"/>
    </i>
    <i t="grand">
      <x/>
    </i>
  </colItems>
  <dataFields count="1">
    <dataField name="Sum of Quantity" fld="2" baseField="0" baseItem="0"/>
  </dataFields>
  <chartFormats count="8">
    <chartFormat chart="13" format="0" series="1">
      <pivotArea type="data" outline="0" fieldPosition="0">
        <references count="2">
          <reference field="4294967294" count="1" selected="0">
            <x v="0"/>
          </reference>
          <reference field="14" count="1" selected="0">
            <x v="0"/>
          </reference>
        </references>
      </pivotArea>
    </chartFormat>
    <chartFormat chart="13" format="1" series="1">
      <pivotArea type="data" outline="0" fieldPosition="0">
        <references count="2">
          <reference field="4294967294" count="1" selected="0">
            <x v="0"/>
          </reference>
          <reference field="14" count="1" selected="0">
            <x v="1"/>
          </reference>
        </references>
      </pivotArea>
    </chartFormat>
    <chartFormat chart="13" format="2" series="1">
      <pivotArea type="data" outline="0" fieldPosition="0">
        <references count="2">
          <reference field="4294967294" count="1" selected="0">
            <x v="0"/>
          </reference>
          <reference field="14" count="1" selected="0">
            <x v="2"/>
          </reference>
        </references>
      </pivotArea>
    </chartFormat>
    <chartFormat chart="13" format="3" series="1">
      <pivotArea type="data" outline="0" fieldPosition="0">
        <references count="2">
          <reference field="4294967294" count="1" selected="0">
            <x v="0"/>
          </reference>
          <reference field="14" count="1" selected="0">
            <x v="3"/>
          </reference>
        </references>
      </pivotArea>
    </chartFormat>
    <chartFormat chart="20" format="8" series="1">
      <pivotArea type="data" outline="0" fieldPosition="0">
        <references count="2">
          <reference field="4294967294" count="1" selected="0">
            <x v="0"/>
          </reference>
          <reference field="14" count="1" selected="0">
            <x v="0"/>
          </reference>
        </references>
      </pivotArea>
    </chartFormat>
    <chartFormat chart="20" format="9" series="1">
      <pivotArea type="data" outline="0" fieldPosition="0">
        <references count="2">
          <reference field="4294967294" count="1" selected="0">
            <x v="0"/>
          </reference>
          <reference field="14" count="1" selected="0">
            <x v="1"/>
          </reference>
        </references>
      </pivotArea>
    </chartFormat>
    <chartFormat chart="20" format="10" series="1">
      <pivotArea type="data" outline="0" fieldPosition="0">
        <references count="2">
          <reference field="4294967294" count="1" selected="0">
            <x v="0"/>
          </reference>
          <reference field="14" count="1" selected="0">
            <x v="2"/>
          </reference>
        </references>
      </pivotArea>
    </chartFormat>
    <chartFormat chart="20" format="11" series="1">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88A92D-BB2F-6246-A767-2FAE203BDA74}" name="PT Quantity"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0">
  <location ref="A45:C53" firstHeaderRow="1" firstDataRow="1" firstDataCol="2"/>
  <pivotFields count="16">
    <pivotField dataField="1" compact="0" outline="0"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compact="0" outline="0" showAll="0"/>
    <pivotField axis="axisRow"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compact="0" outline="0" showAll="0"/>
    <pivotField compact="0" numFmtId="15" outline="0" showAll="0"/>
    <pivotField compact="0" numFmtId="15" outline="0" showAll="0"/>
    <pivotField compact="0" outline="0" showAll="0">
      <items count="5">
        <item x="0"/>
        <item x="2"/>
        <item x="1"/>
        <item x="3"/>
        <item t="default"/>
      </items>
    </pivotField>
    <pivotField compact="0" outline="0" showAll="0">
      <items count="6">
        <item h="1" x="0"/>
        <item x="3"/>
        <item h="1" x="4"/>
        <item h="1" x="2"/>
        <item h="1" x="1"/>
        <item t="default"/>
      </items>
    </pivotField>
    <pivotField compact="0" outline="0" showAll="0"/>
    <pivotField compact="0" outline="0" showAll="0"/>
    <pivotField compact="0" outline="0" showAll="0"/>
    <pivotField compact="0" outline="0" showAll="0"/>
    <pivotField compact="0" outline="0" showAll="0">
      <items count="14">
        <item x="0"/>
        <item x="1"/>
        <item x="2"/>
        <item x="3"/>
        <item x="4"/>
        <item x="5"/>
        <item x="6"/>
        <item x="7"/>
        <item x="8"/>
        <item x="9"/>
        <item x="10"/>
        <item x="11"/>
        <item x="12"/>
        <item t="default"/>
      </items>
    </pivotField>
    <pivotField compact="0" outline="0" showAll="0">
      <items count="5">
        <item h="1" x="2"/>
        <item h="1" x="1"/>
        <item h="1" x="3"/>
        <item x="0"/>
        <item t="default"/>
      </items>
    </pivotField>
    <pivotField axis="axisRow" compact="0" outline="0" showAll="0">
      <items count="10">
        <item sd="0" x="0"/>
        <item sd="0" x="1"/>
        <item sd="0" x="2"/>
        <item sd="0" x="4"/>
        <item sd="0" x="3"/>
        <item n="6 to 10" sd="0" x="5"/>
        <item n="11 to 15" sd="0" x="6"/>
        <item n="16 to 20" sd="0" x="7"/>
        <item n="morethan 20" sd="0" x="8"/>
        <item t="default"/>
      </items>
    </pivotField>
  </pivotFields>
  <rowFields count="2">
    <field x="15"/>
    <field x="2"/>
  </rowFields>
  <rowItems count="8">
    <i>
      <x v="1"/>
    </i>
    <i>
      <x v="2"/>
    </i>
    <i>
      <x v="3"/>
    </i>
    <i>
      <x v="4"/>
    </i>
    <i>
      <x v="5"/>
    </i>
    <i>
      <x v="6"/>
    </i>
    <i>
      <x v="8"/>
    </i>
    <i t="grand">
      <x/>
    </i>
  </rowItems>
  <colItems count="1">
    <i/>
  </colItems>
  <dataFields count="1">
    <dataField name="Count of TX ID" fld="0" subtotal="count" baseField="0" baseItem="0"/>
  </dataFields>
  <chartFormats count="2">
    <chartFormat chart="13"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E89565-3340-EC4B-86BD-E81054CC61E6}" name="PT Popular Buyers"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31:C34" firstHeaderRow="1" firstDataRow="2" firstDataCol="1"/>
  <pivotFields count="16">
    <pivotField compact="0" outline="0"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compact="0" outline="0" showAll="0"/>
    <pivotField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dataField="1" compact="0" outline="0" showAll="0"/>
    <pivotField compact="0" numFmtId="15" outline="0" showAll="0"/>
    <pivotField compact="0" numFmtId="15" outline="0" showAll="0"/>
    <pivotField compact="0" outline="0" showAll="0">
      <items count="5">
        <item x="0"/>
        <item x="2"/>
        <item x="1"/>
        <item x="3"/>
        <item t="default"/>
      </items>
    </pivotField>
    <pivotField axis="axisRow" compact="0" outline="0" showAll="0">
      <items count="6">
        <item h="1" x="0"/>
        <item x="3"/>
        <item h="1" x="4"/>
        <item h="1" x="2"/>
        <item h="1" x="1"/>
        <item t="default"/>
      </items>
    </pivotField>
    <pivotField compact="0" outline="0" showAll="0"/>
    <pivotField compact="0" outline="0" showAll="0"/>
    <pivotField compact="0" outline="0" showAll="0"/>
    <pivotField compact="0" outline="0" showAll="0"/>
    <pivotField compact="0" outline="0" showAll="0">
      <items count="14">
        <item x="0"/>
        <item x="1"/>
        <item x="2"/>
        <item x="3"/>
        <item x="4"/>
        <item x="5"/>
        <item x="6"/>
        <item x="7"/>
        <item x="8"/>
        <item x="9"/>
        <item x="10"/>
        <item x="11"/>
        <item x="12"/>
        <item t="default"/>
      </items>
    </pivotField>
    <pivotField axis="axisCol" compact="0" outline="0" showAll="0">
      <items count="5">
        <item h="1" x="2"/>
        <item h="1" x="1"/>
        <item h="1" x="3"/>
        <item x="0"/>
        <item t="default"/>
      </items>
    </pivotField>
    <pivotField compact="0" outline="0" showAll="0">
      <items count="10">
        <item x="0"/>
        <item x="1"/>
        <item x="2"/>
        <item x="4"/>
        <item x="3"/>
        <item x="5"/>
        <item x="6"/>
        <item x="7"/>
        <item x="8"/>
        <item t="default"/>
      </items>
    </pivotField>
  </pivotFields>
  <rowFields count="1">
    <field x="8"/>
  </rowFields>
  <rowItems count="2">
    <i>
      <x v="1"/>
    </i>
    <i t="grand">
      <x/>
    </i>
  </rowItems>
  <colFields count="1">
    <field x="14"/>
  </colFields>
  <colItems count="2">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0F440B-882A-DD40-922A-3B18E9A8444E}" name="PT Summary" cacheId="1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F5" firstHeaderRow="1" firstDataRow="2" firstDataCol="1"/>
  <pivotFields count="16">
    <pivotField dataField="1" compact="0" outline="0"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compact="0" outline="0" showAll="0"/>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dataField="1" compact="0" outline="0" showAll="0"/>
    <pivotField compact="0" numFmtId="15" outline="0" showAll="0"/>
    <pivotField compact="0" numFmtId="15" outline="0" showAll="0"/>
    <pivotField compact="0" outline="0" showAll="0"/>
    <pivotField compact="0" outline="0" showAll="0"/>
    <pivotField dataField="1" compact="0" outline="0" showAll="0"/>
    <pivotField compact="0" outline="0" showAll="0"/>
    <pivotField compact="0" outline="0" showAll="0"/>
    <pivotField dataField="1" compact="0" outline="0" showAll="0"/>
    <pivotField compact="0" outline="0" showAll="0"/>
    <pivotField compact="0" outline="0" showAll="0"/>
    <pivotField compact="0" outline="0" showAll="0">
      <items count="10">
        <item x="0"/>
        <item x="1"/>
        <item x="2"/>
        <item x="4"/>
        <item x="3"/>
        <item x="5"/>
        <item x="6"/>
        <item x="7"/>
        <item x="8"/>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B4DC2E-ECA2-5F4E-B57E-8499DD6002CB}" name="PT Trend"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A9:C21" firstHeaderRow="0" firstDataRow="1" firstDataCol="1"/>
  <pivotFields count="16">
    <pivotField compact="0" outline="0"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compact="0" outline="0" showAll="0"/>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compact="0" outline="0" showAll="0"/>
    <pivotField dataField="1" compact="0" outline="0" showAll="0"/>
    <pivotField compact="0" numFmtId="15" outline="0" showAll="0"/>
    <pivotField compact="0" numFmtId="15" outline="0" showAll="0"/>
    <pivotField compact="0" outline="0" showAll="0"/>
    <pivotField compact="0" outline="0" showAll="0">
      <items count="6">
        <item h="1" x="0"/>
        <item x="3"/>
        <item h="1" x="4"/>
        <item h="1" x="2"/>
        <item h="1" x="1"/>
        <item t="default"/>
      </items>
    </pivotField>
    <pivotField compact="0" outline="0" showAll="0"/>
    <pivotField compact="0" outline="0" showAll="0"/>
    <pivotField compact="0" outline="0" showAll="0"/>
    <pivotField compact="0" outline="0" showAll="0"/>
    <pivotField axis="axisRow" compact="0" outline="0" showAll="0">
      <items count="14">
        <item x="0"/>
        <item x="1"/>
        <item x="2"/>
        <item x="3"/>
        <item x="4"/>
        <item x="5"/>
        <item x="6"/>
        <item x="7"/>
        <item x="8"/>
        <item x="9"/>
        <item x="10"/>
        <item x="11"/>
        <item x="12"/>
        <item t="default"/>
      </items>
    </pivotField>
    <pivotField compact="0" outline="0" showAll="0">
      <items count="5">
        <item h="1" x="2"/>
        <item h="1" x="1"/>
        <item h="1" x="3"/>
        <item x="0"/>
        <item t="default"/>
      </items>
    </pivotField>
    <pivotField compact="0" outline="0" showAll="0">
      <items count="10">
        <item x="0"/>
        <item x="1"/>
        <item x="2"/>
        <item x="4"/>
        <item x="3"/>
        <item x="5"/>
        <item x="6"/>
        <item x="7"/>
        <item x="8"/>
        <item t="default"/>
      </items>
    </pivotField>
  </pivotFields>
  <rowFields count="1">
    <field x="13"/>
  </rowFields>
  <rowItems count="12">
    <i>
      <x/>
    </i>
    <i>
      <x v="1"/>
    </i>
    <i>
      <x v="3"/>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6"/>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A895EAAC-AFB3-6841-A559-9129A092F448}" sourceName="Order Mode">
  <pivotTables>
    <pivotTable tabId="10" name="PT Days of Deliver"/>
    <pivotTable tabId="10" name="PT Popular Buyers"/>
    <pivotTable tabId="10" name="PT Popular Products"/>
    <pivotTable tabId="10" name="PT Quantity"/>
    <pivotTable tabId="10" name="PT Trend"/>
  </pivotTables>
  <data>
    <tabular pivotCacheId="610079246">
      <items count="5">
        <i x="0"/>
        <i x="3" s="1"/>
        <i x="4"/>
        <i x="2"/>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89D593E7-FDC7-6A4F-8095-2BA1D1F4D510}" sourceName="Gender Value">
  <pivotTables>
    <pivotTable tabId="10" name="PT Days of Deliver"/>
    <pivotTable tabId="10" name="PT Popular Buyers"/>
    <pivotTable tabId="10" name="PT Popular Products"/>
    <pivotTable tabId="10" name="PT Quantity"/>
    <pivotTable tabId="10" name="PT Trend"/>
  </pivotTables>
  <data>
    <tabular pivotCacheId="610079246">
      <items count="4">
        <i x="2"/>
        <i x="1"/>
        <i x="3"/>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EBC7C038-825D-B541-94AD-DEB7AF0CD505}" cache="Slicer_Order_Mode" caption="Order Mode" rowHeight="230716"/>
  <slicer name="Gender Value" xr10:uid="{1E996069-92A0-9144-8369-C7CFD42D4C29}" cache="Slicer_Gender_Value" caption="Gender Value"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6F73BD3C-49F3-AC48-9DDC-BE7A15247CD1}" cache="Slicer_Order_Mode" caption="Order Mode" rowHeight="230716"/>
  <slicer name="Gender Value 1" xr10:uid="{C333B239-07FF-D442-AD99-E80DE04E9565}" cache="Slicer_Gender_Value" caption="Gender Valu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F5E78-9A4B-384C-B406-EB6F3F29E7B6}">
  <dimension ref="A3:M181"/>
  <sheetViews>
    <sheetView showGridLines="0" topLeftCell="A172" workbookViewId="0">
      <selection activeCell="A179" sqref="A179"/>
    </sheetView>
  </sheetViews>
  <sheetFormatPr baseColWidth="10" defaultColWidth="19.1640625" defaultRowHeight="15" x14ac:dyDescent="0.2"/>
  <cols>
    <col min="1" max="1" width="11.5" bestFit="1" customWidth="1"/>
    <col min="2" max="2" width="13.5" bestFit="1" customWidth="1"/>
    <col min="3" max="3" width="13" bestFit="1" customWidth="1"/>
    <col min="4" max="5" width="14.1640625" bestFit="1" customWidth="1"/>
    <col min="6" max="7" width="10" bestFit="1" customWidth="1"/>
    <col min="8" max="8" width="10.33203125" bestFit="1" customWidth="1"/>
    <col min="9" max="9" width="7" bestFit="1" customWidth="1"/>
    <col min="10" max="10" width="17.5" bestFit="1" customWidth="1"/>
    <col min="11" max="11" width="19" bestFit="1" customWidth="1"/>
    <col min="12" max="12" width="9.1640625" bestFit="1" customWidth="1"/>
  </cols>
  <sheetData>
    <row r="3" spans="1:6" x14ac:dyDescent="0.2">
      <c r="B3" s="13" t="s">
        <v>2558</v>
      </c>
    </row>
    <row r="4" spans="1:6" x14ac:dyDescent="0.2">
      <c r="B4" t="s">
        <v>2549</v>
      </c>
      <c r="C4" t="s">
        <v>2550</v>
      </c>
      <c r="D4" t="s">
        <v>2551</v>
      </c>
      <c r="E4" t="s">
        <v>2552</v>
      </c>
      <c r="F4" t="s">
        <v>2560</v>
      </c>
    </row>
    <row r="5" spans="1:6" x14ac:dyDescent="0.2">
      <c r="A5" t="s">
        <v>2559</v>
      </c>
      <c r="B5" s="18">
        <v>2400</v>
      </c>
      <c r="C5" s="18">
        <v>11997</v>
      </c>
      <c r="D5" s="18">
        <v>649019.80000000144</v>
      </c>
      <c r="E5" s="18">
        <v>3.9620833333333332</v>
      </c>
      <c r="F5" s="18">
        <v>2.3424999999999998</v>
      </c>
    </row>
    <row r="9" spans="1:6" x14ac:dyDescent="0.2">
      <c r="A9" s="13" t="s">
        <v>13</v>
      </c>
      <c r="B9" t="s">
        <v>2550</v>
      </c>
      <c r="C9" t="s">
        <v>2551</v>
      </c>
    </row>
    <row r="10" spans="1:6" x14ac:dyDescent="0.2">
      <c r="A10">
        <v>1</v>
      </c>
      <c r="B10" s="18">
        <v>13</v>
      </c>
      <c r="C10" s="17">
        <v>799.5</v>
      </c>
    </row>
    <row r="11" spans="1:6" x14ac:dyDescent="0.2">
      <c r="A11">
        <v>2</v>
      </c>
      <c r="B11" s="18">
        <v>5</v>
      </c>
      <c r="C11" s="17">
        <v>262.5</v>
      </c>
    </row>
    <row r="12" spans="1:6" x14ac:dyDescent="0.2">
      <c r="A12">
        <v>4</v>
      </c>
      <c r="B12" s="18">
        <v>28</v>
      </c>
      <c r="C12" s="17">
        <v>758.80000000000007</v>
      </c>
    </row>
    <row r="13" spans="1:6" x14ac:dyDescent="0.2">
      <c r="A13">
        <v>6</v>
      </c>
      <c r="B13" s="18">
        <v>4</v>
      </c>
      <c r="C13" s="17">
        <v>266</v>
      </c>
    </row>
    <row r="14" spans="1:6" x14ac:dyDescent="0.2">
      <c r="A14">
        <v>7</v>
      </c>
      <c r="B14" s="18">
        <v>2</v>
      </c>
      <c r="C14" s="17">
        <v>218.6</v>
      </c>
    </row>
    <row r="15" spans="1:6" x14ac:dyDescent="0.2">
      <c r="A15">
        <v>8</v>
      </c>
      <c r="B15" s="18">
        <v>12</v>
      </c>
      <c r="C15" s="17">
        <v>435.79999999999995</v>
      </c>
    </row>
    <row r="16" spans="1:6" x14ac:dyDescent="0.2">
      <c r="A16">
        <v>9</v>
      </c>
      <c r="B16" s="18">
        <v>15</v>
      </c>
      <c r="C16" s="17">
        <v>660</v>
      </c>
    </row>
    <row r="17" spans="1:12" x14ac:dyDescent="0.2">
      <c r="A17">
        <v>10</v>
      </c>
      <c r="B17" s="18">
        <v>94</v>
      </c>
      <c r="C17" s="17">
        <v>7590.7</v>
      </c>
    </row>
    <row r="18" spans="1:12" x14ac:dyDescent="0.2">
      <c r="A18">
        <v>11</v>
      </c>
      <c r="B18" s="18">
        <v>2</v>
      </c>
      <c r="C18" s="17">
        <v>42.2</v>
      </c>
    </row>
    <row r="19" spans="1:12" x14ac:dyDescent="0.2">
      <c r="A19">
        <v>12</v>
      </c>
      <c r="B19" s="18">
        <v>3</v>
      </c>
      <c r="C19" s="17">
        <v>252</v>
      </c>
    </row>
    <row r="20" spans="1:12" x14ac:dyDescent="0.2">
      <c r="A20">
        <v>13</v>
      </c>
      <c r="B20" s="18">
        <v>8</v>
      </c>
      <c r="C20" s="17">
        <v>263.2</v>
      </c>
    </row>
    <row r="21" spans="1:12" x14ac:dyDescent="0.2">
      <c r="A21" t="s">
        <v>2548</v>
      </c>
      <c r="B21" s="18">
        <v>186</v>
      </c>
      <c r="C21" s="17">
        <v>11549.300000000001</v>
      </c>
    </row>
    <row r="31" spans="1:12" x14ac:dyDescent="0.2">
      <c r="A31" s="13" t="s">
        <v>2551</v>
      </c>
      <c r="B31" s="13" t="s">
        <v>14</v>
      </c>
    </row>
    <row r="32" spans="1:12" x14ac:dyDescent="0.2">
      <c r="A32" s="13" t="s">
        <v>8</v>
      </c>
      <c r="B32" t="s">
        <v>2564</v>
      </c>
      <c r="C32" t="s">
        <v>2548</v>
      </c>
      <c r="H32" s="24"/>
      <c r="I32" s="25" t="s">
        <v>2561</v>
      </c>
      <c r="J32" s="25" t="s">
        <v>2562</v>
      </c>
      <c r="K32" s="25" t="s">
        <v>2563</v>
      </c>
      <c r="L32" s="25" t="s">
        <v>2564</v>
      </c>
    </row>
    <row r="33" spans="1:13" x14ac:dyDescent="0.2">
      <c r="A33" t="s">
        <v>51</v>
      </c>
      <c r="B33" s="21">
        <v>1</v>
      </c>
      <c r="C33" s="21">
        <v>1</v>
      </c>
      <c r="H33" s="25" t="s">
        <v>18</v>
      </c>
      <c r="I33" s="23">
        <v>0.18961825201634841</v>
      </c>
      <c r="J33" s="23">
        <v>0.12262322351336576</v>
      </c>
      <c r="K33" s="23">
        <v>1.060537752469185E-2</v>
      </c>
      <c r="L33" s="23">
        <v>3.0599220547662797E-2</v>
      </c>
      <c r="M33" s="22"/>
    </row>
    <row r="34" spans="1:13" x14ac:dyDescent="0.2">
      <c r="A34" t="s">
        <v>2548</v>
      </c>
      <c r="B34" s="21">
        <v>1</v>
      </c>
      <c r="C34" s="21">
        <v>1</v>
      </c>
      <c r="H34" s="25" t="s">
        <v>51</v>
      </c>
      <c r="I34" s="23">
        <v>5.0283982091147303E-2</v>
      </c>
      <c r="J34" s="23">
        <v>4.3060781812819873E-2</v>
      </c>
      <c r="K34" s="23">
        <v>1.5320025675641944E-3</v>
      </c>
      <c r="L34" s="23">
        <v>1.7794988689097006E-2</v>
      </c>
      <c r="M34" s="22"/>
    </row>
    <row r="35" spans="1:13" x14ac:dyDescent="0.2">
      <c r="H35" s="25" t="s">
        <v>70</v>
      </c>
      <c r="I35" s="23">
        <v>6.3496059750411282E-2</v>
      </c>
      <c r="J35" s="23">
        <v>4.6071629863988765E-2</v>
      </c>
      <c r="K35" s="23">
        <v>2.306247051322625E-3</v>
      </c>
      <c r="L35" s="23">
        <v>3.8927934093844286E-3</v>
      </c>
      <c r="M35" s="22"/>
    </row>
    <row r="36" spans="1:13" x14ac:dyDescent="0.2">
      <c r="H36" s="25" t="s">
        <v>40</v>
      </c>
      <c r="I36" s="23">
        <v>9.6337892927149532E-2</v>
      </c>
      <c r="J36" s="23">
        <v>6.7920115842382611E-2</v>
      </c>
      <c r="K36" s="23">
        <v>5.4979832664581261E-3</v>
      </c>
      <c r="L36" s="23">
        <v>1.2933041488102518E-2</v>
      </c>
      <c r="M36" s="22"/>
    </row>
    <row r="37" spans="1:13" x14ac:dyDescent="0.2">
      <c r="H37" s="25" t="s">
        <v>35</v>
      </c>
      <c r="I37" s="23">
        <v>0.12522098709469262</v>
      </c>
      <c r="J37" s="23">
        <v>9.1492740283116228E-2</v>
      </c>
      <c r="K37" s="23">
        <v>6.3042760790965081E-3</v>
      </c>
      <c r="L37" s="23">
        <v>1.2408404181197551E-2</v>
      </c>
      <c r="M37" s="22"/>
    </row>
    <row r="45" spans="1:13" x14ac:dyDescent="0.2">
      <c r="A45" s="13" t="s">
        <v>2565</v>
      </c>
      <c r="B45" s="13" t="s">
        <v>2</v>
      </c>
      <c r="C45" t="s">
        <v>2549</v>
      </c>
    </row>
    <row r="46" spans="1:13" x14ac:dyDescent="0.2">
      <c r="A46">
        <v>2</v>
      </c>
      <c r="C46" s="18">
        <v>5</v>
      </c>
    </row>
    <row r="47" spans="1:13" x14ac:dyDescent="0.2">
      <c r="A47">
        <v>3</v>
      </c>
      <c r="C47" s="18">
        <v>1</v>
      </c>
    </row>
    <row r="48" spans="1:13" x14ac:dyDescent="0.2">
      <c r="A48">
        <v>4</v>
      </c>
      <c r="C48" s="18">
        <v>1</v>
      </c>
    </row>
    <row r="49" spans="1:3" x14ac:dyDescent="0.2">
      <c r="A49">
        <v>5</v>
      </c>
      <c r="C49" s="18">
        <v>1</v>
      </c>
    </row>
    <row r="50" spans="1:3" x14ac:dyDescent="0.2">
      <c r="A50" t="s">
        <v>2566</v>
      </c>
      <c r="C50" s="18">
        <v>5</v>
      </c>
    </row>
    <row r="51" spans="1:3" x14ac:dyDescent="0.2">
      <c r="A51" t="s">
        <v>2567</v>
      </c>
      <c r="C51" s="18">
        <v>1</v>
      </c>
    </row>
    <row r="52" spans="1:3" x14ac:dyDescent="0.2">
      <c r="A52" t="s">
        <v>2568</v>
      </c>
      <c r="C52" s="18">
        <v>2</v>
      </c>
    </row>
    <row r="53" spans="1:3" x14ac:dyDescent="0.2">
      <c r="A53" t="s">
        <v>2548</v>
      </c>
      <c r="C53" s="18">
        <v>16</v>
      </c>
    </row>
    <row r="70" spans="1:3" x14ac:dyDescent="0.2">
      <c r="A70" s="13" t="s">
        <v>2550</v>
      </c>
      <c r="B70" s="13" t="s">
        <v>14</v>
      </c>
    </row>
    <row r="71" spans="1:3" x14ac:dyDescent="0.2">
      <c r="A71" s="13" t="s">
        <v>1</v>
      </c>
      <c r="B71" t="s">
        <v>2564</v>
      </c>
      <c r="C71" t="s">
        <v>2548</v>
      </c>
    </row>
    <row r="72" spans="1:3" x14ac:dyDescent="0.2">
      <c r="A72" t="s">
        <v>123</v>
      </c>
      <c r="B72" s="18">
        <v>4</v>
      </c>
      <c r="C72" s="18">
        <v>4</v>
      </c>
    </row>
    <row r="73" spans="1:3" x14ac:dyDescent="0.2">
      <c r="A73" t="s">
        <v>32</v>
      </c>
      <c r="B73" s="18">
        <v>6</v>
      </c>
      <c r="C73" s="18">
        <v>6</v>
      </c>
    </row>
    <row r="74" spans="1:3" x14ac:dyDescent="0.2">
      <c r="A74" t="s">
        <v>39</v>
      </c>
      <c r="B74" s="18">
        <v>105</v>
      </c>
      <c r="C74" s="18">
        <v>105</v>
      </c>
    </row>
    <row r="75" spans="1:3" x14ac:dyDescent="0.2">
      <c r="A75" t="s">
        <v>146</v>
      </c>
      <c r="B75" s="18">
        <v>3</v>
      </c>
      <c r="C75" s="18">
        <v>3</v>
      </c>
    </row>
    <row r="76" spans="1:3" x14ac:dyDescent="0.2">
      <c r="A76" t="s">
        <v>37</v>
      </c>
      <c r="B76" s="18">
        <v>10</v>
      </c>
      <c r="C76" s="18">
        <v>10</v>
      </c>
    </row>
    <row r="77" spans="1:3" x14ac:dyDescent="0.2">
      <c r="A77" t="s">
        <v>16</v>
      </c>
      <c r="B77" s="18">
        <v>2</v>
      </c>
      <c r="C77" s="18">
        <v>2</v>
      </c>
    </row>
    <row r="78" spans="1:3" x14ac:dyDescent="0.2">
      <c r="A78" t="s">
        <v>26</v>
      </c>
      <c r="B78" s="18">
        <v>2</v>
      </c>
      <c r="C78" s="18">
        <v>2</v>
      </c>
    </row>
    <row r="79" spans="1:3" x14ac:dyDescent="0.2">
      <c r="A79" t="s">
        <v>46</v>
      </c>
      <c r="B79" s="18">
        <v>10</v>
      </c>
      <c r="C79" s="18">
        <v>10</v>
      </c>
    </row>
    <row r="80" spans="1:3" x14ac:dyDescent="0.2">
      <c r="A80" t="s">
        <v>128</v>
      </c>
      <c r="B80" s="18">
        <v>9</v>
      </c>
      <c r="C80" s="18">
        <v>9</v>
      </c>
    </row>
    <row r="81" spans="1:3" x14ac:dyDescent="0.2">
      <c r="A81" t="s">
        <v>44</v>
      </c>
      <c r="B81" s="18">
        <v>35</v>
      </c>
      <c r="C81" s="18">
        <v>35</v>
      </c>
    </row>
    <row r="82" spans="1:3" x14ac:dyDescent="0.2">
      <c r="A82" t="s">
        <v>2548</v>
      </c>
      <c r="B82" s="18">
        <v>186</v>
      </c>
      <c r="C82" s="18">
        <v>186</v>
      </c>
    </row>
    <row r="102" spans="1:12" x14ac:dyDescent="0.2">
      <c r="F102" t="s">
        <v>2569</v>
      </c>
      <c r="J102" t="s">
        <v>2570</v>
      </c>
    </row>
    <row r="104" spans="1:12" x14ac:dyDescent="0.2">
      <c r="A104" s="13" t="s">
        <v>10</v>
      </c>
      <c r="B104" s="13" t="s">
        <v>11</v>
      </c>
      <c r="C104" t="s">
        <v>2550</v>
      </c>
      <c r="D104" t="s">
        <v>2551</v>
      </c>
      <c r="F104" t="s">
        <v>10</v>
      </c>
      <c r="G104" t="s">
        <v>11</v>
      </c>
      <c r="H104" t="s">
        <v>2</v>
      </c>
      <c r="J104" t="s">
        <v>10</v>
      </c>
      <c r="K104" t="s">
        <v>11</v>
      </c>
      <c r="L104" t="s">
        <v>4</v>
      </c>
    </row>
    <row r="105" spans="1:12" x14ac:dyDescent="0.2">
      <c r="A105" t="s">
        <v>19</v>
      </c>
      <c r="B105" t="s">
        <v>115</v>
      </c>
      <c r="C105" s="18">
        <v>579</v>
      </c>
      <c r="D105" s="18">
        <v>31884.999999999996</v>
      </c>
      <c r="F105" s="19" t="s">
        <v>19</v>
      </c>
      <c r="G105" t="s">
        <v>115</v>
      </c>
      <c r="H105" s="18">
        <v>579</v>
      </c>
      <c r="J105" s="19" t="s">
        <v>19</v>
      </c>
      <c r="K105" t="s">
        <v>115</v>
      </c>
      <c r="L105" s="18">
        <v>31884.999999999996</v>
      </c>
    </row>
    <row r="106" spans="1:12" x14ac:dyDescent="0.2">
      <c r="A106" t="s">
        <v>19</v>
      </c>
      <c r="B106" t="s">
        <v>20</v>
      </c>
      <c r="C106" s="18">
        <v>1</v>
      </c>
      <c r="D106" s="18">
        <v>10.9</v>
      </c>
      <c r="F106" s="19" t="s">
        <v>19</v>
      </c>
      <c r="G106" t="s">
        <v>20</v>
      </c>
      <c r="H106" s="18">
        <v>1</v>
      </c>
      <c r="J106" s="19" t="s">
        <v>19</v>
      </c>
      <c r="K106" t="s">
        <v>20</v>
      </c>
      <c r="L106" s="18">
        <v>10.9</v>
      </c>
    </row>
    <row r="107" spans="1:12" x14ac:dyDescent="0.2">
      <c r="A107" t="s">
        <v>19</v>
      </c>
      <c r="B107" t="s">
        <v>641</v>
      </c>
      <c r="C107" s="18">
        <v>9</v>
      </c>
      <c r="D107" s="18">
        <v>800.3</v>
      </c>
      <c r="F107" s="19" t="s">
        <v>19</v>
      </c>
      <c r="G107" t="s">
        <v>641</v>
      </c>
      <c r="H107" s="18">
        <v>9</v>
      </c>
      <c r="J107" s="19" t="s">
        <v>19</v>
      </c>
      <c r="K107" t="s">
        <v>641</v>
      </c>
      <c r="L107" s="18">
        <v>800.3</v>
      </c>
    </row>
    <row r="108" spans="1:12" x14ac:dyDescent="0.2">
      <c r="A108" t="s">
        <v>19</v>
      </c>
      <c r="B108" t="s">
        <v>967</v>
      </c>
      <c r="C108" s="18">
        <v>35</v>
      </c>
      <c r="D108" s="18">
        <v>1062.5999999999999</v>
      </c>
      <c r="F108" s="19" t="s">
        <v>19</v>
      </c>
      <c r="G108" t="s">
        <v>967</v>
      </c>
      <c r="H108" s="18">
        <v>35</v>
      </c>
      <c r="J108" s="19" t="s">
        <v>19</v>
      </c>
      <c r="K108" t="s">
        <v>967</v>
      </c>
      <c r="L108" s="18">
        <v>1062.5999999999999</v>
      </c>
    </row>
    <row r="109" spans="1:12" x14ac:dyDescent="0.2">
      <c r="A109" t="s">
        <v>19</v>
      </c>
      <c r="B109" t="s">
        <v>84</v>
      </c>
      <c r="C109" s="18">
        <v>12</v>
      </c>
      <c r="D109" s="18">
        <v>326.20000000000005</v>
      </c>
      <c r="F109" s="19" t="s">
        <v>19</v>
      </c>
      <c r="G109" t="s">
        <v>84</v>
      </c>
      <c r="H109" s="18">
        <v>12</v>
      </c>
      <c r="J109" s="19" t="s">
        <v>19</v>
      </c>
      <c r="K109" t="s">
        <v>84</v>
      </c>
      <c r="L109" s="18">
        <v>326.20000000000005</v>
      </c>
    </row>
    <row r="110" spans="1:12" x14ac:dyDescent="0.2">
      <c r="A110" t="s">
        <v>19</v>
      </c>
      <c r="B110" t="s">
        <v>1383</v>
      </c>
      <c r="C110" s="18">
        <v>4</v>
      </c>
      <c r="D110" s="18">
        <v>167.5</v>
      </c>
      <c r="F110" s="19" t="s">
        <v>19</v>
      </c>
      <c r="G110" t="s">
        <v>1383</v>
      </c>
      <c r="H110" s="18">
        <v>4</v>
      </c>
      <c r="J110" s="19" t="s">
        <v>19</v>
      </c>
      <c r="K110" t="s">
        <v>1383</v>
      </c>
      <c r="L110" s="18">
        <v>167.5</v>
      </c>
    </row>
    <row r="111" spans="1:12" x14ac:dyDescent="0.2">
      <c r="A111" t="s">
        <v>19</v>
      </c>
      <c r="B111" t="s">
        <v>24</v>
      </c>
      <c r="C111" s="18">
        <v>341</v>
      </c>
      <c r="D111" s="18">
        <v>16168.7</v>
      </c>
      <c r="F111" s="19" t="s">
        <v>19</v>
      </c>
      <c r="G111" t="s">
        <v>24</v>
      </c>
      <c r="H111" s="18">
        <v>341</v>
      </c>
      <c r="J111" s="19" t="s">
        <v>19</v>
      </c>
      <c r="K111" t="s">
        <v>24</v>
      </c>
      <c r="L111" s="18">
        <v>16168.7</v>
      </c>
    </row>
    <row r="112" spans="1:12" x14ac:dyDescent="0.2">
      <c r="A112" t="s">
        <v>19</v>
      </c>
      <c r="B112" t="s">
        <v>2204</v>
      </c>
      <c r="C112" s="18">
        <v>13</v>
      </c>
      <c r="D112" s="18">
        <v>322.40000000000003</v>
      </c>
      <c r="F112" s="19" t="s">
        <v>19</v>
      </c>
      <c r="G112" t="s">
        <v>2204</v>
      </c>
      <c r="H112" s="18">
        <v>13</v>
      </c>
      <c r="J112" s="19" t="s">
        <v>19</v>
      </c>
      <c r="K112" t="s">
        <v>2204</v>
      </c>
      <c r="L112" s="18">
        <v>322.40000000000003</v>
      </c>
    </row>
    <row r="113" spans="1:12" x14ac:dyDescent="0.2">
      <c r="A113" t="s">
        <v>19</v>
      </c>
      <c r="B113" t="s">
        <v>437</v>
      </c>
      <c r="C113" s="18">
        <v>31</v>
      </c>
      <c r="D113" s="18">
        <v>2092.8000000000002</v>
      </c>
      <c r="F113" s="19" t="s">
        <v>19</v>
      </c>
      <c r="G113" t="s">
        <v>437</v>
      </c>
      <c r="H113" s="18">
        <v>31</v>
      </c>
      <c r="J113" s="19" t="s">
        <v>19</v>
      </c>
      <c r="K113" t="s">
        <v>437</v>
      </c>
      <c r="L113" s="18">
        <v>2092.8000000000002</v>
      </c>
    </row>
    <row r="114" spans="1:12" x14ac:dyDescent="0.2">
      <c r="A114" t="s">
        <v>19</v>
      </c>
      <c r="B114" t="s">
        <v>28</v>
      </c>
      <c r="C114" s="18">
        <v>279</v>
      </c>
      <c r="D114" s="18">
        <v>12662.500000000002</v>
      </c>
      <c r="F114" s="19" t="s">
        <v>19</v>
      </c>
      <c r="G114" t="s">
        <v>28</v>
      </c>
      <c r="H114" s="18">
        <v>279</v>
      </c>
      <c r="J114" s="19" t="s">
        <v>19</v>
      </c>
      <c r="K114" t="s">
        <v>28</v>
      </c>
      <c r="L114" s="18">
        <v>12662.500000000002</v>
      </c>
    </row>
    <row r="115" spans="1:12" x14ac:dyDescent="0.2">
      <c r="A115" t="s">
        <v>19</v>
      </c>
      <c r="B115" t="s">
        <v>208</v>
      </c>
      <c r="C115" s="18">
        <v>9</v>
      </c>
      <c r="D115" s="18">
        <v>343.2</v>
      </c>
      <c r="F115" s="19" t="s">
        <v>19</v>
      </c>
      <c r="G115" t="s">
        <v>208</v>
      </c>
      <c r="H115" s="18">
        <v>9</v>
      </c>
      <c r="J115" s="19" t="s">
        <v>19</v>
      </c>
      <c r="K115" t="s">
        <v>208</v>
      </c>
      <c r="L115" s="18">
        <v>343.2</v>
      </c>
    </row>
    <row r="116" spans="1:12" x14ac:dyDescent="0.2">
      <c r="A116" t="s">
        <v>19</v>
      </c>
      <c r="B116" t="s">
        <v>587</v>
      </c>
      <c r="C116" s="18">
        <v>49</v>
      </c>
      <c r="D116" s="18">
        <v>2188.2999999999997</v>
      </c>
      <c r="F116" s="19" t="s">
        <v>19</v>
      </c>
      <c r="G116" t="s">
        <v>587</v>
      </c>
      <c r="H116" s="18">
        <v>49</v>
      </c>
      <c r="J116" s="19" t="s">
        <v>19</v>
      </c>
      <c r="K116" t="s">
        <v>587</v>
      </c>
      <c r="L116" s="18">
        <v>2188.2999999999997</v>
      </c>
    </row>
    <row r="117" spans="1:12" x14ac:dyDescent="0.2">
      <c r="A117" t="s">
        <v>19</v>
      </c>
      <c r="B117" t="s">
        <v>331</v>
      </c>
      <c r="C117" s="18">
        <v>59</v>
      </c>
      <c r="D117" s="18">
        <v>2661.5999999999995</v>
      </c>
      <c r="F117" s="19" t="s">
        <v>19</v>
      </c>
      <c r="G117" t="s">
        <v>331</v>
      </c>
      <c r="H117" s="18">
        <v>59</v>
      </c>
      <c r="J117" s="19" t="s">
        <v>19</v>
      </c>
      <c r="K117" t="s">
        <v>331</v>
      </c>
      <c r="L117" s="18">
        <v>2661.5999999999995</v>
      </c>
    </row>
    <row r="118" spans="1:12" x14ac:dyDescent="0.2">
      <c r="A118" t="s">
        <v>19</v>
      </c>
      <c r="B118" t="s">
        <v>86</v>
      </c>
      <c r="C118" s="18">
        <v>8</v>
      </c>
      <c r="D118" s="18">
        <v>887.5</v>
      </c>
      <c r="F118" s="19" t="s">
        <v>19</v>
      </c>
      <c r="G118" t="s">
        <v>86</v>
      </c>
      <c r="H118" s="18">
        <v>8</v>
      </c>
      <c r="J118" s="19" t="s">
        <v>19</v>
      </c>
      <c r="K118" t="s">
        <v>86</v>
      </c>
      <c r="L118" s="18">
        <v>887.5</v>
      </c>
    </row>
    <row r="119" spans="1:12" x14ac:dyDescent="0.2">
      <c r="A119" t="s">
        <v>19</v>
      </c>
      <c r="B119" t="s">
        <v>147</v>
      </c>
      <c r="C119" s="18">
        <v>222</v>
      </c>
      <c r="D119" s="18">
        <v>11354.199999999993</v>
      </c>
      <c r="F119" s="19" t="s">
        <v>19</v>
      </c>
      <c r="G119" t="s">
        <v>147</v>
      </c>
      <c r="H119" s="18">
        <v>222</v>
      </c>
      <c r="J119" s="19" t="s">
        <v>19</v>
      </c>
      <c r="K119" t="s">
        <v>147</v>
      </c>
      <c r="L119" s="18">
        <v>11354.199999999993</v>
      </c>
    </row>
    <row r="120" spans="1:12" x14ac:dyDescent="0.2">
      <c r="A120" t="s">
        <v>19</v>
      </c>
      <c r="B120" t="s">
        <v>334</v>
      </c>
      <c r="C120" s="18">
        <v>36</v>
      </c>
      <c r="D120" s="18">
        <v>1558.4</v>
      </c>
      <c r="F120" s="19" t="s">
        <v>19</v>
      </c>
      <c r="G120" t="s">
        <v>334</v>
      </c>
      <c r="H120" s="18">
        <v>36</v>
      </c>
      <c r="J120" s="19" t="s">
        <v>19</v>
      </c>
      <c r="K120" t="s">
        <v>334</v>
      </c>
      <c r="L120" s="18">
        <v>1558.4</v>
      </c>
    </row>
    <row r="121" spans="1:12" x14ac:dyDescent="0.2">
      <c r="A121" t="s">
        <v>19</v>
      </c>
      <c r="B121" t="s">
        <v>949</v>
      </c>
      <c r="C121" s="18">
        <v>30</v>
      </c>
      <c r="D121" s="18">
        <v>2223.9</v>
      </c>
      <c r="F121" s="19" t="s">
        <v>19</v>
      </c>
      <c r="G121" t="s">
        <v>949</v>
      </c>
      <c r="H121" s="18">
        <v>30</v>
      </c>
      <c r="J121" s="19" t="s">
        <v>19</v>
      </c>
      <c r="K121" t="s">
        <v>949</v>
      </c>
      <c r="L121" s="18">
        <v>2223.9</v>
      </c>
    </row>
    <row r="122" spans="1:12" x14ac:dyDescent="0.2">
      <c r="A122" t="s">
        <v>19</v>
      </c>
      <c r="B122" t="s">
        <v>1426</v>
      </c>
      <c r="C122" s="18">
        <v>1</v>
      </c>
      <c r="D122" s="18">
        <v>26.2</v>
      </c>
      <c r="F122" s="19" t="s">
        <v>19</v>
      </c>
      <c r="G122" t="s">
        <v>1426</v>
      </c>
      <c r="H122" s="18">
        <v>1</v>
      </c>
      <c r="J122" s="19" t="s">
        <v>19</v>
      </c>
      <c r="K122" t="s">
        <v>1426</v>
      </c>
      <c r="L122" s="18">
        <v>26.2</v>
      </c>
    </row>
    <row r="123" spans="1:12" x14ac:dyDescent="0.2">
      <c r="A123" t="s">
        <v>19</v>
      </c>
      <c r="B123" t="s">
        <v>33</v>
      </c>
      <c r="C123" s="18">
        <v>3991</v>
      </c>
      <c r="D123" s="18">
        <v>215551.19999999981</v>
      </c>
      <c r="F123" s="19" t="s">
        <v>19</v>
      </c>
      <c r="G123" t="s">
        <v>33</v>
      </c>
      <c r="H123" s="18">
        <v>3991</v>
      </c>
      <c r="J123" s="19" t="s">
        <v>19</v>
      </c>
      <c r="K123" t="s">
        <v>33</v>
      </c>
      <c r="L123" s="18">
        <v>215551.19999999981</v>
      </c>
    </row>
    <row r="124" spans="1:12" x14ac:dyDescent="0.2">
      <c r="A124" t="s">
        <v>19</v>
      </c>
      <c r="B124" t="s">
        <v>364</v>
      </c>
      <c r="C124" s="18">
        <v>45</v>
      </c>
      <c r="D124" s="18">
        <v>2687.3999999999996</v>
      </c>
      <c r="F124" s="19" t="s">
        <v>19</v>
      </c>
      <c r="G124" t="s">
        <v>364</v>
      </c>
      <c r="H124" s="18">
        <v>45</v>
      </c>
      <c r="J124" s="19" t="s">
        <v>19</v>
      </c>
      <c r="K124" t="s">
        <v>364</v>
      </c>
      <c r="L124" s="18">
        <v>2687.3999999999996</v>
      </c>
    </row>
    <row r="125" spans="1:12" x14ac:dyDescent="0.2">
      <c r="A125" t="s">
        <v>19</v>
      </c>
      <c r="B125" t="s">
        <v>545</v>
      </c>
      <c r="C125" s="18">
        <v>39</v>
      </c>
      <c r="D125" s="18">
        <v>1463.3000000000002</v>
      </c>
      <c r="F125" s="19" t="s">
        <v>19</v>
      </c>
      <c r="G125" t="s">
        <v>545</v>
      </c>
      <c r="H125" s="18">
        <v>39</v>
      </c>
      <c r="J125" s="19" t="s">
        <v>19</v>
      </c>
      <c r="K125" t="s">
        <v>545</v>
      </c>
      <c r="L125" s="18">
        <v>1463.3000000000002</v>
      </c>
    </row>
    <row r="126" spans="1:12" x14ac:dyDescent="0.2">
      <c r="A126" t="s">
        <v>19</v>
      </c>
      <c r="B126" t="s">
        <v>416</v>
      </c>
      <c r="C126" s="18">
        <v>6</v>
      </c>
      <c r="D126" s="18">
        <v>445.79999999999995</v>
      </c>
      <c r="F126" s="19" t="s">
        <v>19</v>
      </c>
      <c r="G126" t="s">
        <v>416</v>
      </c>
      <c r="H126" s="18">
        <v>6</v>
      </c>
      <c r="J126" s="19" t="s">
        <v>19</v>
      </c>
      <c r="K126" t="s">
        <v>416</v>
      </c>
      <c r="L126" s="18">
        <v>445.79999999999995</v>
      </c>
    </row>
    <row r="127" spans="1:12" x14ac:dyDescent="0.2">
      <c r="A127" t="s">
        <v>19</v>
      </c>
      <c r="B127" t="s">
        <v>258</v>
      </c>
      <c r="C127" s="18">
        <v>9</v>
      </c>
      <c r="D127" s="18">
        <v>273.59999999999997</v>
      </c>
      <c r="F127" s="19" t="s">
        <v>19</v>
      </c>
      <c r="G127" t="s">
        <v>258</v>
      </c>
      <c r="H127" s="18">
        <v>9</v>
      </c>
      <c r="J127" s="19" t="s">
        <v>19</v>
      </c>
      <c r="K127" t="s">
        <v>258</v>
      </c>
      <c r="L127" s="18">
        <v>273.59999999999997</v>
      </c>
    </row>
    <row r="128" spans="1:12" x14ac:dyDescent="0.2">
      <c r="A128" t="s">
        <v>19</v>
      </c>
      <c r="B128" t="s">
        <v>186</v>
      </c>
      <c r="C128" s="18">
        <v>60</v>
      </c>
      <c r="D128" s="18">
        <v>2690.4</v>
      </c>
      <c r="F128" s="19" t="s">
        <v>19</v>
      </c>
      <c r="G128" t="s">
        <v>186</v>
      </c>
      <c r="H128" s="18">
        <v>60</v>
      </c>
      <c r="J128" s="19" t="s">
        <v>19</v>
      </c>
      <c r="K128" t="s">
        <v>186</v>
      </c>
      <c r="L128" s="18">
        <v>2690.4</v>
      </c>
    </row>
    <row r="129" spans="1:12" x14ac:dyDescent="0.2">
      <c r="A129" t="s">
        <v>19</v>
      </c>
      <c r="B129" t="s">
        <v>392</v>
      </c>
      <c r="C129" s="18">
        <v>2</v>
      </c>
      <c r="D129" s="18">
        <v>28.4</v>
      </c>
      <c r="F129" s="19" t="s">
        <v>19</v>
      </c>
      <c r="G129" t="s">
        <v>392</v>
      </c>
      <c r="H129" s="18">
        <v>2</v>
      </c>
      <c r="J129" s="19" t="s">
        <v>19</v>
      </c>
      <c r="K129" t="s">
        <v>392</v>
      </c>
      <c r="L129" s="18">
        <v>28.4</v>
      </c>
    </row>
    <row r="130" spans="1:12" x14ac:dyDescent="0.2">
      <c r="A130" t="s">
        <v>19</v>
      </c>
      <c r="B130" t="s">
        <v>670</v>
      </c>
      <c r="C130" s="18">
        <v>4</v>
      </c>
      <c r="D130" s="18">
        <v>204.8</v>
      </c>
      <c r="F130" s="19" t="s">
        <v>19</v>
      </c>
      <c r="G130" t="s">
        <v>670</v>
      </c>
      <c r="H130" s="18">
        <v>4</v>
      </c>
      <c r="J130" s="19" t="s">
        <v>19</v>
      </c>
      <c r="K130" t="s">
        <v>670</v>
      </c>
      <c r="L130" s="18">
        <v>204.8</v>
      </c>
    </row>
    <row r="131" spans="1:12" x14ac:dyDescent="0.2">
      <c r="A131" t="s">
        <v>19</v>
      </c>
      <c r="B131" t="s">
        <v>802</v>
      </c>
      <c r="C131" s="18">
        <v>31</v>
      </c>
      <c r="D131" s="18">
        <v>1607.8999999999999</v>
      </c>
      <c r="F131" s="19" t="s">
        <v>19</v>
      </c>
      <c r="G131" t="s">
        <v>802</v>
      </c>
      <c r="H131" s="18">
        <v>31</v>
      </c>
      <c r="J131" s="19" t="s">
        <v>19</v>
      </c>
      <c r="K131" t="s">
        <v>802</v>
      </c>
      <c r="L131" s="18">
        <v>1607.8999999999999</v>
      </c>
    </row>
    <row r="132" spans="1:12" x14ac:dyDescent="0.2">
      <c r="A132" t="s">
        <v>19</v>
      </c>
      <c r="B132" t="s">
        <v>98</v>
      </c>
      <c r="C132" s="18">
        <v>88</v>
      </c>
      <c r="D132" s="18">
        <v>6444.9</v>
      </c>
      <c r="F132" s="19" t="s">
        <v>19</v>
      </c>
      <c r="G132" t="s">
        <v>98</v>
      </c>
      <c r="H132" s="18">
        <v>88</v>
      </c>
      <c r="J132" s="19" t="s">
        <v>19</v>
      </c>
      <c r="K132" t="s">
        <v>98</v>
      </c>
      <c r="L132" s="18">
        <v>6444.9</v>
      </c>
    </row>
    <row r="133" spans="1:12" x14ac:dyDescent="0.2">
      <c r="A133" t="s">
        <v>19</v>
      </c>
      <c r="B133" t="s">
        <v>49</v>
      </c>
      <c r="C133" s="18">
        <v>25</v>
      </c>
      <c r="D133" s="18">
        <v>1809.3</v>
      </c>
      <c r="F133" s="19" t="s">
        <v>19</v>
      </c>
      <c r="G133" t="s">
        <v>49</v>
      </c>
      <c r="H133" s="18">
        <v>25</v>
      </c>
      <c r="J133" s="19" t="s">
        <v>19</v>
      </c>
      <c r="K133" t="s">
        <v>49</v>
      </c>
      <c r="L133" s="18">
        <v>1809.3</v>
      </c>
    </row>
    <row r="134" spans="1:12" x14ac:dyDescent="0.2">
      <c r="A134" t="s">
        <v>19</v>
      </c>
      <c r="B134" t="s">
        <v>188</v>
      </c>
      <c r="C134" s="18">
        <v>178</v>
      </c>
      <c r="D134" s="18">
        <v>9680.399999999996</v>
      </c>
      <c r="F134" s="19" t="s">
        <v>19</v>
      </c>
      <c r="G134" t="s">
        <v>188</v>
      </c>
      <c r="H134" s="18">
        <v>178</v>
      </c>
      <c r="J134" s="19" t="s">
        <v>19</v>
      </c>
      <c r="K134" t="s">
        <v>188</v>
      </c>
      <c r="L134" s="18">
        <v>9680.399999999996</v>
      </c>
    </row>
    <row r="135" spans="1:12" x14ac:dyDescent="0.2">
      <c r="A135" t="s">
        <v>19</v>
      </c>
      <c r="B135" t="s">
        <v>52</v>
      </c>
      <c r="C135" s="18">
        <v>141</v>
      </c>
      <c r="D135" s="18">
        <v>9414.7999999999993</v>
      </c>
      <c r="F135" s="19" t="s">
        <v>19</v>
      </c>
      <c r="G135" t="s">
        <v>52</v>
      </c>
      <c r="H135" s="18">
        <v>141</v>
      </c>
      <c r="J135" s="19" t="s">
        <v>19</v>
      </c>
      <c r="K135" t="s">
        <v>52</v>
      </c>
      <c r="L135" s="18">
        <v>9414.7999999999993</v>
      </c>
    </row>
    <row r="136" spans="1:12" x14ac:dyDescent="0.2">
      <c r="A136" t="s">
        <v>19</v>
      </c>
      <c r="B136" t="s">
        <v>338</v>
      </c>
      <c r="C136" s="18">
        <v>6</v>
      </c>
      <c r="D136" s="18">
        <v>206.1</v>
      </c>
      <c r="F136" s="19" t="s">
        <v>19</v>
      </c>
      <c r="G136" t="s">
        <v>338</v>
      </c>
      <c r="H136" s="18">
        <v>6</v>
      </c>
      <c r="J136" s="19" t="s">
        <v>19</v>
      </c>
      <c r="K136" t="s">
        <v>338</v>
      </c>
      <c r="L136" s="18">
        <v>206.1</v>
      </c>
    </row>
    <row r="137" spans="1:12" x14ac:dyDescent="0.2">
      <c r="A137" t="s">
        <v>19</v>
      </c>
      <c r="B137" t="s">
        <v>158</v>
      </c>
      <c r="C137" s="18">
        <v>178</v>
      </c>
      <c r="D137" s="18">
        <v>7691.3</v>
      </c>
      <c r="F137" s="19" t="s">
        <v>19</v>
      </c>
      <c r="G137" t="s">
        <v>158</v>
      </c>
      <c r="H137" s="18">
        <v>178</v>
      </c>
      <c r="J137" s="19" t="s">
        <v>19</v>
      </c>
      <c r="K137" t="s">
        <v>158</v>
      </c>
      <c r="L137" s="18">
        <v>7691.3</v>
      </c>
    </row>
    <row r="138" spans="1:12" x14ac:dyDescent="0.2">
      <c r="A138" t="s">
        <v>19</v>
      </c>
      <c r="B138" t="s">
        <v>55</v>
      </c>
      <c r="C138" s="18">
        <v>699</v>
      </c>
      <c r="D138" s="18">
        <v>37784.900000000016</v>
      </c>
      <c r="F138" s="19" t="s">
        <v>19</v>
      </c>
      <c r="G138" t="s">
        <v>55</v>
      </c>
      <c r="H138" s="18">
        <v>699</v>
      </c>
      <c r="J138" s="19" t="s">
        <v>19</v>
      </c>
      <c r="K138" t="s">
        <v>55</v>
      </c>
      <c r="L138" s="18">
        <v>37784.900000000016</v>
      </c>
    </row>
    <row r="139" spans="1:12" x14ac:dyDescent="0.2">
      <c r="A139" t="s">
        <v>19</v>
      </c>
      <c r="B139" t="s">
        <v>342</v>
      </c>
      <c r="C139" s="18">
        <v>23</v>
      </c>
      <c r="D139" s="18">
        <v>1129.7</v>
      </c>
      <c r="F139" s="19" t="s">
        <v>19</v>
      </c>
      <c r="G139" t="s">
        <v>342</v>
      </c>
      <c r="H139" s="18">
        <v>23</v>
      </c>
      <c r="J139" s="19" t="s">
        <v>19</v>
      </c>
      <c r="K139" t="s">
        <v>342</v>
      </c>
      <c r="L139" s="18">
        <v>1129.7</v>
      </c>
    </row>
    <row r="140" spans="1:12" x14ac:dyDescent="0.2">
      <c r="A140" t="s">
        <v>19</v>
      </c>
      <c r="B140" t="s">
        <v>59</v>
      </c>
      <c r="C140" s="18">
        <v>356</v>
      </c>
      <c r="D140" s="18">
        <v>20988.9</v>
      </c>
      <c r="F140" s="19" t="s">
        <v>19</v>
      </c>
      <c r="G140" t="s">
        <v>59</v>
      </c>
      <c r="H140" s="18">
        <v>356</v>
      </c>
      <c r="J140" s="19" t="s">
        <v>19</v>
      </c>
      <c r="K140" t="s">
        <v>59</v>
      </c>
      <c r="L140" s="18">
        <v>20988.9</v>
      </c>
    </row>
    <row r="141" spans="1:12" x14ac:dyDescent="0.2">
      <c r="A141" t="s">
        <v>19</v>
      </c>
      <c r="B141" t="s">
        <v>62</v>
      </c>
      <c r="C141" s="18">
        <v>1768</v>
      </c>
      <c r="D141" s="18">
        <v>98367.099999999977</v>
      </c>
      <c r="F141" s="19" t="s">
        <v>19</v>
      </c>
      <c r="G141" t="s">
        <v>62</v>
      </c>
      <c r="H141" s="18">
        <v>1768</v>
      </c>
      <c r="J141" s="19" t="s">
        <v>19</v>
      </c>
      <c r="K141" t="s">
        <v>62</v>
      </c>
      <c r="L141" s="18">
        <v>98367.099999999977</v>
      </c>
    </row>
    <row r="142" spans="1:12" x14ac:dyDescent="0.2">
      <c r="A142" t="s">
        <v>19</v>
      </c>
      <c r="B142" t="s">
        <v>103</v>
      </c>
      <c r="C142" s="18">
        <v>307</v>
      </c>
      <c r="D142" s="18">
        <v>21911.9</v>
      </c>
      <c r="F142" s="19" t="s">
        <v>19</v>
      </c>
      <c r="G142" t="s">
        <v>103</v>
      </c>
      <c r="H142" s="18">
        <v>307</v>
      </c>
      <c r="J142" s="19" t="s">
        <v>19</v>
      </c>
      <c r="K142" t="s">
        <v>103</v>
      </c>
      <c r="L142" s="18">
        <v>21911.9</v>
      </c>
    </row>
    <row r="143" spans="1:12" x14ac:dyDescent="0.2">
      <c r="A143" t="s">
        <v>19</v>
      </c>
      <c r="B143" t="s">
        <v>201</v>
      </c>
      <c r="C143" s="18">
        <v>117</v>
      </c>
      <c r="D143" s="18">
        <v>5441.2</v>
      </c>
      <c r="F143" s="19" t="s">
        <v>19</v>
      </c>
      <c r="G143" t="s">
        <v>201</v>
      </c>
      <c r="H143" s="18">
        <v>117</v>
      </c>
      <c r="J143" s="19" t="s">
        <v>19</v>
      </c>
      <c r="K143" t="s">
        <v>201</v>
      </c>
      <c r="L143" s="18">
        <v>5441.2</v>
      </c>
    </row>
    <row r="144" spans="1:12" x14ac:dyDescent="0.2">
      <c r="A144" t="s">
        <v>19</v>
      </c>
      <c r="B144" t="s">
        <v>429</v>
      </c>
      <c r="C144" s="18">
        <v>13</v>
      </c>
      <c r="D144" s="18">
        <v>392.8</v>
      </c>
      <c r="F144" s="19" t="s">
        <v>19</v>
      </c>
      <c r="G144" t="s">
        <v>429</v>
      </c>
      <c r="H144" s="18">
        <v>13</v>
      </c>
      <c r="J144" s="19" t="s">
        <v>19</v>
      </c>
      <c r="K144" t="s">
        <v>429</v>
      </c>
      <c r="L144" s="18">
        <v>392.8</v>
      </c>
    </row>
    <row r="145" spans="1:12" x14ac:dyDescent="0.2">
      <c r="A145" t="s">
        <v>19</v>
      </c>
      <c r="B145" t="s">
        <v>72</v>
      </c>
      <c r="C145" s="18">
        <v>364</v>
      </c>
      <c r="D145" s="18">
        <v>16172.000000000005</v>
      </c>
      <c r="F145" s="19" t="s">
        <v>19</v>
      </c>
      <c r="G145" t="s">
        <v>72</v>
      </c>
      <c r="H145" s="18">
        <v>364</v>
      </c>
      <c r="J145" s="19" t="s">
        <v>19</v>
      </c>
      <c r="K145" t="s">
        <v>72</v>
      </c>
      <c r="L145" s="18">
        <v>16172.000000000005</v>
      </c>
    </row>
    <row r="146" spans="1:12" x14ac:dyDescent="0.2">
      <c r="A146" t="s">
        <v>19</v>
      </c>
      <c r="B146" t="s">
        <v>74</v>
      </c>
      <c r="C146" s="18">
        <v>95</v>
      </c>
      <c r="D146" s="18">
        <v>4334.9999999999991</v>
      </c>
      <c r="F146" s="19" t="s">
        <v>19</v>
      </c>
      <c r="G146" t="s">
        <v>74</v>
      </c>
      <c r="H146" s="18">
        <v>95</v>
      </c>
      <c r="J146" s="19" t="s">
        <v>19</v>
      </c>
      <c r="K146" t="s">
        <v>74</v>
      </c>
      <c r="L146" s="18">
        <v>4334.9999999999991</v>
      </c>
    </row>
    <row r="147" spans="1:12" x14ac:dyDescent="0.2">
      <c r="A147" t="s">
        <v>19</v>
      </c>
      <c r="B147" t="s">
        <v>77</v>
      </c>
      <c r="C147" s="18">
        <v>737</v>
      </c>
      <c r="D147" s="18">
        <v>37449.000000000007</v>
      </c>
      <c r="F147" s="19" t="s">
        <v>19</v>
      </c>
      <c r="G147" t="s">
        <v>77</v>
      </c>
      <c r="H147" s="18">
        <v>737</v>
      </c>
      <c r="J147" s="19" t="s">
        <v>19</v>
      </c>
      <c r="K147" t="s">
        <v>77</v>
      </c>
      <c r="L147" s="18">
        <v>37449.000000000007</v>
      </c>
    </row>
    <row r="148" spans="1:12" x14ac:dyDescent="0.2">
      <c r="A148" t="s">
        <v>19</v>
      </c>
      <c r="B148" t="s">
        <v>309</v>
      </c>
      <c r="C148" s="18">
        <v>39</v>
      </c>
      <c r="D148" s="18">
        <v>2447.5</v>
      </c>
      <c r="F148" s="19" t="s">
        <v>19</v>
      </c>
      <c r="G148" t="s">
        <v>309</v>
      </c>
      <c r="H148" s="18">
        <v>39</v>
      </c>
      <c r="J148" s="19" t="s">
        <v>19</v>
      </c>
      <c r="K148" t="s">
        <v>309</v>
      </c>
      <c r="L148" s="18">
        <v>2447.5</v>
      </c>
    </row>
    <row r="149" spans="1:12" x14ac:dyDescent="0.2">
      <c r="A149" t="s">
        <v>19</v>
      </c>
      <c r="B149" t="s">
        <v>1116</v>
      </c>
      <c r="C149" s="18">
        <v>56</v>
      </c>
      <c r="D149" s="18">
        <v>3391.1</v>
      </c>
      <c r="F149" s="19" t="s">
        <v>19</v>
      </c>
      <c r="G149" t="s">
        <v>1116</v>
      </c>
      <c r="H149" s="18">
        <v>56</v>
      </c>
      <c r="J149" s="19" t="s">
        <v>19</v>
      </c>
      <c r="K149" t="s">
        <v>1116</v>
      </c>
      <c r="L149" s="18">
        <v>3391.1</v>
      </c>
    </row>
    <row r="150" spans="1:12" x14ac:dyDescent="0.2">
      <c r="A150" t="s">
        <v>19</v>
      </c>
      <c r="B150" t="s">
        <v>700</v>
      </c>
      <c r="C150" s="18">
        <v>2</v>
      </c>
      <c r="D150" s="18">
        <v>30.8</v>
      </c>
      <c r="F150" s="19" t="s">
        <v>19</v>
      </c>
      <c r="G150" t="s">
        <v>700</v>
      </c>
      <c r="H150" s="18">
        <v>2</v>
      </c>
      <c r="J150" s="19" t="s">
        <v>19</v>
      </c>
      <c r="K150" t="s">
        <v>700</v>
      </c>
      <c r="L150" s="18">
        <v>30.8</v>
      </c>
    </row>
    <row r="151" spans="1:12" x14ac:dyDescent="0.2">
      <c r="A151" t="s">
        <v>19</v>
      </c>
      <c r="B151" t="s">
        <v>268</v>
      </c>
      <c r="C151" s="18">
        <v>8</v>
      </c>
      <c r="D151" s="18">
        <v>332.3</v>
      </c>
      <c r="F151" s="19" t="s">
        <v>19</v>
      </c>
      <c r="G151" t="s">
        <v>268</v>
      </c>
      <c r="H151" s="18">
        <v>8</v>
      </c>
      <c r="J151" s="19" t="s">
        <v>19</v>
      </c>
      <c r="K151" t="s">
        <v>268</v>
      </c>
      <c r="L151" s="18">
        <v>332.3</v>
      </c>
    </row>
    <row r="152" spans="1:12" x14ac:dyDescent="0.2">
      <c r="A152" t="s">
        <v>19</v>
      </c>
      <c r="B152" t="s">
        <v>377</v>
      </c>
      <c r="C152" s="18">
        <v>52</v>
      </c>
      <c r="D152" s="18">
        <v>3175.9999999999995</v>
      </c>
      <c r="F152" s="19" t="s">
        <v>19</v>
      </c>
      <c r="G152" t="s">
        <v>377</v>
      </c>
      <c r="H152" s="18">
        <v>52</v>
      </c>
      <c r="J152" s="19" t="s">
        <v>19</v>
      </c>
      <c r="K152" t="s">
        <v>377</v>
      </c>
      <c r="L152" s="18">
        <v>3175.9999999999995</v>
      </c>
    </row>
    <row r="153" spans="1:12" x14ac:dyDescent="0.2">
      <c r="A153" t="s">
        <v>19</v>
      </c>
      <c r="B153" t="s">
        <v>108</v>
      </c>
      <c r="C153" s="18">
        <v>295</v>
      </c>
      <c r="D153" s="18">
        <v>20939.600000000002</v>
      </c>
      <c r="F153" s="19" t="s">
        <v>19</v>
      </c>
      <c r="G153" t="s">
        <v>108</v>
      </c>
      <c r="H153" s="18">
        <v>295</v>
      </c>
      <c r="J153" s="19" t="s">
        <v>19</v>
      </c>
      <c r="K153" t="s">
        <v>108</v>
      </c>
      <c r="L153" s="18">
        <v>20939.600000000002</v>
      </c>
    </row>
    <row r="154" spans="1:12" x14ac:dyDescent="0.2">
      <c r="A154" t="s">
        <v>19</v>
      </c>
      <c r="B154" t="s">
        <v>110</v>
      </c>
      <c r="C154" s="18">
        <v>195</v>
      </c>
      <c r="D154" s="18">
        <v>10185.899999999996</v>
      </c>
      <c r="F154" s="19" t="s">
        <v>19</v>
      </c>
      <c r="G154" t="s">
        <v>110</v>
      </c>
      <c r="H154" s="18">
        <v>195</v>
      </c>
      <c r="J154" s="19" t="s">
        <v>19</v>
      </c>
      <c r="K154" t="s">
        <v>110</v>
      </c>
      <c r="L154" s="18">
        <v>10185.899999999996</v>
      </c>
    </row>
    <row r="155" spans="1:12" x14ac:dyDescent="0.2">
      <c r="A155" t="s">
        <v>19</v>
      </c>
      <c r="B155" t="s">
        <v>292</v>
      </c>
      <c r="C155" s="18">
        <v>20</v>
      </c>
      <c r="D155" s="18">
        <v>958.7</v>
      </c>
      <c r="F155" s="19" t="s">
        <v>19</v>
      </c>
      <c r="G155" t="s">
        <v>292</v>
      </c>
      <c r="H155" s="18">
        <v>20</v>
      </c>
      <c r="J155" s="19" t="s">
        <v>19</v>
      </c>
      <c r="K155" t="s">
        <v>292</v>
      </c>
      <c r="L155" s="18">
        <v>958.7</v>
      </c>
    </row>
    <row r="156" spans="1:12" x14ac:dyDescent="0.2">
      <c r="A156" t="s">
        <v>19</v>
      </c>
      <c r="B156" t="s">
        <v>79</v>
      </c>
      <c r="C156" s="18">
        <v>6</v>
      </c>
      <c r="D156" s="18">
        <v>323</v>
      </c>
      <c r="F156" s="19" t="s">
        <v>19</v>
      </c>
      <c r="G156" t="s">
        <v>79</v>
      </c>
      <c r="H156" s="18">
        <v>6</v>
      </c>
      <c r="J156" s="19" t="s">
        <v>19</v>
      </c>
      <c r="K156" t="s">
        <v>79</v>
      </c>
      <c r="L156" s="18">
        <v>323</v>
      </c>
    </row>
    <row r="157" spans="1:12" x14ac:dyDescent="0.2">
      <c r="A157" t="s">
        <v>19</v>
      </c>
      <c r="B157" t="s">
        <v>608</v>
      </c>
      <c r="C157" s="18">
        <v>5</v>
      </c>
      <c r="D157" s="18">
        <v>167.70000000000002</v>
      </c>
      <c r="F157" s="19" t="s">
        <v>19</v>
      </c>
      <c r="G157" t="s">
        <v>608</v>
      </c>
      <c r="H157" s="18">
        <v>5</v>
      </c>
      <c r="J157" s="19" t="s">
        <v>19</v>
      </c>
      <c r="K157" t="s">
        <v>608</v>
      </c>
      <c r="L157" s="18">
        <v>167.70000000000002</v>
      </c>
    </row>
    <row r="158" spans="1:12" x14ac:dyDescent="0.2">
      <c r="A158" t="s">
        <v>19</v>
      </c>
      <c r="B158" t="s">
        <v>113</v>
      </c>
      <c r="C158" s="18">
        <v>94</v>
      </c>
      <c r="D158" s="18">
        <v>3978.5</v>
      </c>
      <c r="F158" s="19" t="s">
        <v>19</v>
      </c>
      <c r="G158" t="s">
        <v>113</v>
      </c>
      <c r="H158" s="18">
        <v>94</v>
      </c>
      <c r="J158" s="19" t="s">
        <v>19</v>
      </c>
      <c r="K158" t="s">
        <v>113</v>
      </c>
      <c r="L158" s="18">
        <v>3978.5</v>
      </c>
    </row>
    <row r="159" spans="1:12" x14ac:dyDescent="0.2">
      <c r="A159" t="s">
        <v>19</v>
      </c>
      <c r="B159" t="s">
        <v>997</v>
      </c>
      <c r="C159" s="18">
        <v>28</v>
      </c>
      <c r="D159" s="18">
        <v>1405</v>
      </c>
      <c r="F159" s="19" t="s">
        <v>19</v>
      </c>
      <c r="G159" t="s">
        <v>997</v>
      </c>
      <c r="H159" s="18">
        <v>28</v>
      </c>
      <c r="J159" s="19" t="s">
        <v>19</v>
      </c>
      <c r="K159" t="s">
        <v>997</v>
      </c>
      <c r="L159" s="18">
        <v>1405</v>
      </c>
    </row>
    <row r="160" spans="1:12" x14ac:dyDescent="0.2">
      <c r="A160" t="s">
        <v>19</v>
      </c>
      <c r="B160" t="s">
        <v>82</v>
      </c>
      <c r="C160" s="18">
        <v>179</v>
      </c>
      <c r="D160" s="18">
        <v>9869.0999999999985</v>
      </c>
      <c r="F160" s="19" t="s">
        <v>19</v>
      </c>
      <c r="G160" t="s">
        <v>82</v>
      </c>
      <c r="H160" s="18">
        <v>179</v>
      </c>
      <c r="J160" s="19" t="s">
        <v>19</v>
      </c>
      <c r="K160" t="s">
        <v>82</v>
      </c>
      <c r="L160" s="18">
        <v>9869.0999999999985</v>
      </c>
    </row>
    <row r="161" spans="1:12" x14ac:dyDescent="0.2">
      <c r="A161" t="s">
        <v>19</v>
      </c>
      <c r="B161" t="s">
        <v>243</v>
      </c>
      <c r="C161" s="18">
        <v>15</v>
      </c>
      <c r="D161" s="18">
        <v>615.29999999999995</v>
      </c>
      <c r="F161" s="19" t="s">
        <v>19</v>
      </c>
      <c r="G161" t="s">
        <v>243</v>
      </c>
      <c r="H161" s="18">
        <v>15</v>
      </c>
      <c r="J161" s="19" t="s">
        <v>19</v>
      </c>
      <c r="K161" t="s">
        <v>243</v>
      </c>
      <c r="L161" s="18">
        <v>615.29999999999995</v>
      </c>
    </row>
    <row r="162" spans="1:12" x14ac:dyDescent="0.2">
      <c r="A162" t="s">
        <v>19</v>
      </c>
      <c r="B162" t="s">
        <v>1911</v>
      </c>
      <c r="C162" s="18">
        <v>3</v>
      </c>
      <c r="D162" s="18">
        <v>285</v>
      </c>
      <c r="F162" s="20" t="s">
        <v>19</v>
      </c>
      <c r="G162" t="s">
        <v>1911</v>
      </c>
      <c r="H162" s="18">
        <v>3</v>
      </c>
      <c r="J162" s="20" t="s">
        <v>19</v>
      </c>
      <c r="K162" t="s">
        <v>1911</v>
      </c>
      <c r="L162" s="18">
        <v>285</v>
      </c>
    </row>
    <row r="175" spans="1:12" x14ac:dyDescent="0.2">
      <c r="A175" s="13" t="s">
        <v>2549</v>
      </c>
    </row>
    <row r="176" spans="1:12" x14ac:dyDescent="0.2">
      <c r="A176" s="13" t="s">
        <v>12</v>
      </c>
      <c r="B176" t="s">
        <v>2559</v>
      </c>
    </row>
    <row r="177" spans="1:2" x14ac:dyDescent="0.2">
      <c r="A177">
        <v>0</v>
      </c>
      <c r="B177" s="18">
        <v>2</v>
      </c>
    </row>
    <row r="178" spans="1:2" x14ac:dyDescent="0.2">
      <c r="A178">
        <v>1</v>
      </c>
      <c r="B178" s="18">
        <v>7</v>
      </c>
    </row>
    <row r="179" spans="1:2" x14ac:dyDescent="0.2">
      <c r="A179">
        <v>2</v>
      </c>
      <c r="B179" s="18">
        <v>6</v>
      </c>
    </row>
    <row r="180" spans="1:2" x14ac:dyDescent="0.2">
      <c r="A180">
        <v>4</v>
      </c>
      <c r="B180" s="18">
        <v>1</v>
      </c>
    </row>
    <row r="181" spans="1:2" x14ac:dyDescent="0.2">
      <c r="A181" t="s">
        <v>2548</v>
      </c>
      <c r="B181" s="18">
        <v>16</v>
      </c>
    </row>
  </sheetData>
  <conditionalFormatting sqref="I33:L37">
    <cfRule type="colorScale" priority="1">
      <colorScale>
        <cfvo type="min"/>
        <cfvo type="percentile" val="50"/>
        <cfvo type="max"/>
        <color rgb="FFF8696B"/>
        <color rgb="FFFCFCFF"/>
        <color rgb="FF5A8AC6"/>
      </colorScale>
    </cfRule>
  </conditionalFormatting>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S2401"/>
  <sheetViews>
    <sheetView workbookViewId="0">
      <selection activeCell="R8" sqref="R8"/>
    </sheetView>
  </sheetViews>
  <sheetFormatPr baseColWidth="10" defaultColWidth="8.83203125" defaultRowHeight="15" x14ac:dyDescent="0.2"/>
  <cols>
    <col min="2" max="2" width="19.1640625" bestFit="1" customWidth="1"/>
    <col min="3" max="3" width="8.1640625" bestFit="1" customWidth="1"/>
    <col min="4" max="4" width="9.1640625" bestFit="1" customWidth="1"/>
    <col min="5" max="5" width="7.5" bestFit="1" customWidth="1"/>
    <col min="6" max="6" width="10" bestFit="1" customWidth="1"/>
    <col min="7" max="7" width="9.5" bestFit="1" customWidth="1"/>
    <col min="8" max="8" width="15.6640625" bestFit="1" customWidth="1"/>
    <col min="9" max="9" width="10.6640625" bestFit="1" customWidth="1"/>
    <col min="10" max="10" width="7.83203125" bestFit="1" customWidth="1"/>
    <col min="11" max="11" width="8.83203125" bestFit="1" customWidth="1"/>
    <col min="12" max="12" width="19.6640625" bestFit="1" customWidth="1"/>
    <col min="13" max="13" width="13.33203125" bestFit="1" customWidth="1"/>
    <col min="14" max="14" width="9.33203125" bestFit="1" customWidth="1"/>
    <col min="15" max="15" width="12.1640625" bestFit="1" customWidth="1"/>
    <col min="18" max="18" width="14.6640625" bestFit="1" customWidth="1"/>
    <col min="19" max="19" width="12.1640625" bestFit="1" customWidth="1"/>
  </cols>
  <sheetData>
    <row r="1" spans="1:19" x14ac:dyDescent="0.2">
      <c r="A1" t="s">
        <v>0</v>
      </c>
      <c r="B1" t="s">
        <v>1</v>
      </c>
      <c r="C1" t="s">
        <v>2</v>
      </c>
      <c r="D1" t="s">
        <v>3</v>
      </c>
      <c r="E1" t="s">
        <v>4</v>
      </c>
      <c r="F1" t="s">
        <v>5</v>
      </c>
      <c r="G1" t="s">
        <v>6</v>
      </c>
      <c r="H1" t="s">
        <v>7</v>
      </c>
      <c r="I1" t="s">
        <v>8</v>
      </c>
      <c r="J1" t="s">
        <v>9</v>
      </c>
      <c r="K1" t="s">
        <v>10</v>
      </c>
      <c r="L1" t="s">
        <v>11</v>
      </c>
      <c r="M1" s="2" t="s">
        <v>12</v>
      </c>
      <c r="N1" s="2" t="s">
        <v>13</v>
      </c>
      <c r="O1" s="2" t="s">
        <v>14</v>
      </c>
    </row>
    <row r="2" spans="1:19" x14ac:dyDescent="0.2">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9" x14ac:dyDescent="0.2">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c r="R3" t="s">
        <v>2553</v>
      </c>
    </row>
    <row r="4" spans="1:19" x14ac:dyDescent="0.2">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c r="R4" t="s">
        <v>2554</v>
      </c>
      <c r="S4" s="15">
        <f>GETPIVOTDATA("Count of TX ID",Sheet1!$A$3)</f>
        <v>2400</v>
      </c>
    </row>
    <row r="5" spans="1:19" x14ac:dyDescent="0.2">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c r="R5" t="s">
        <v>2555</v>
      </c>
      <c r="S5" s="15">
        <f>GETPIVOTDATA("Sum of Quantity",Sheet1!$A$3)</f>
        <v>11997</v>
      </c>
    </row>
    <row r="6" spans="1:19" x14ac:dyDescent="0.2">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c r="R6" t="s">
        <v>2506</v>
      </c>
      <c r="S6" s="16">
        <f>GETPIVOTDATA("Sum of Amount",Sheet1!$A$3)</f>
        <v>649019.80000000144</v>
      </c>
    </row>
    <row r="7" spans="1:19" x14ac:dyDescent="0.2">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c r="R7" t="s">
        <v>2556</v>
      </c>
      <c r="S7" s="14">
        <f>GETPIVOTDATA("Average of Rating C",Sheet1!$A$3)</f>
        <v>3.9620833333333332</v>
      </c>
    </row>
    <row r="8" spans="1:19" x14ac:dyDescent="0.2">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c r="R8" t="s">
        <v>2557</v>
      </c>
      <c r="S8" s="14">
        <f>Sheet1!F5</f>
        <v>2.3424999999999998</v>
      </c>
    </row>
    <row r="9" spans="1:19" x14ac:dyDescent="0.2">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9" x14ac:dyDescent="0.2">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9" x14ac:dyDescent="0.2">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9" x14ac:dyDescent="0.2">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9" x14ac:dyDescent="0.2">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9" x14ac:dyDescent="0.2">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9" x14ac:dyDescent="0.2">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9" x14ac:dyDescent="0.2">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2">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2">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2">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2">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2">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2">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2">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2">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2">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2">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2">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2">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2">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2">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2">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2">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2">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2">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2">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2">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2">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2">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2">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2">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2">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2">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2">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2">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2">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2">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2">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2">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2">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2">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2">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2">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2">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2">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2">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2">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2">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2">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2">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2">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2">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2">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2">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2">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2">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2">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2">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2">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2">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2">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2">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2">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2">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2">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2">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2">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2">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2">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2">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2">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2">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2">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2">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2">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2">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2">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2">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2">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2">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2">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2">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2">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2">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2">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2">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2">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2">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2">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2">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2">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2">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2">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2">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2">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2">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2">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2">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2">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2">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2">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2">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2">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2">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2">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2">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2">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2">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2">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2">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2">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2">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2">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2">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2">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2">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2">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2">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2">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2">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2">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2">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2">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2">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2">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2">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2">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2">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2">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2">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2">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2">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2">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2">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2">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2">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2">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2">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2">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2">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2">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2">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2">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2">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2">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2">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2">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2">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2">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2">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2">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2">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2">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2">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2">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2">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2">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2">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2">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2">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2">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2">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2">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2">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2">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2">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2">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2">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2">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2">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2">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2">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2">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2">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2">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2">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2">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2">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2">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2">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2">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2">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2">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2">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2">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2">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2">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2">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2">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2">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2">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2">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2">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2">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2">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2">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2">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2">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2">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2">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2">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2">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2">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2">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2">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2">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2">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2">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2">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2">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2">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2">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2">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2">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2">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2">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2">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2">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2">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2">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2">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2">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2">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2">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2">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2">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2">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2">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2">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2">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2">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2">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2">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2">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2">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2">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2">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2">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2">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2">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2">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2">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2">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2">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2">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2">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2">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2">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2">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2">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2">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2">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2">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2">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2">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2">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2">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2">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2">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2">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2">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2">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2">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2">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2">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2">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2">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2">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2">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2">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2">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2">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2">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2">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2">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2">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2">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2">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2">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2">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2">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2">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2">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2">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2">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2">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2">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2">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2">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2">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2">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2">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2">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2">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2">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2">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2">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2">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2">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2">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2">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2">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2">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2">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2">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2">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2">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2">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2">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2">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2">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2">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2">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2">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2">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2">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2">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2">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2">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2">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2">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2">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2">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2">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2">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2">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2">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2">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2">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2">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2">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2">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2">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2">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2">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2">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2">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2">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2">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2">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2">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2">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2">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2">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2">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2">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2">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2">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2">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2">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2">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2">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2">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2">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2">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2">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2">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2">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2">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2">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2">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2">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2">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2">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2">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2">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2">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2">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2">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2">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2">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2">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2">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2">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2">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2">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2">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2">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2">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2">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2">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2">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2">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2">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2">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2">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2">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2">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2">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2">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2">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2">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2">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2">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2">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2">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2">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2">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2">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2">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2">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2">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2">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2">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2">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2">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2">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2">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2">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2">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2">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2">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2">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2">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2">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2">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2">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2">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2">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2">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2">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2">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2">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2">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2">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2">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2">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2">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2">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2">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2">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2">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2">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2">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2">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2">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2">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2">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2">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2">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2">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2">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2">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2">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2">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2">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2">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2">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2">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2">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2">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2">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2">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2">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2">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2">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2">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2">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2">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2">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2">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2">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2">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2">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2">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2">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2">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2">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2">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2">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2">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2">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2">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2">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2">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2">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2">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2">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2">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2">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2">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2">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2">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2">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2">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2">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2">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2">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2">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2">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2">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2">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2">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2">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2">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2">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2">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2">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2">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2">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2">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2">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2">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2">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2">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2">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2">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2">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2">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2">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2">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2">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2">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2">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2">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2">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2">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2">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2">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2">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2">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2">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2">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2">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2">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2">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2">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2">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2">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2">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2">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2">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2">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2">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2">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2">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2">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2">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2">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2">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2">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2">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2">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2">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2">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2">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2">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2">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2">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2">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2">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2">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2">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2">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2">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2">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2">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2">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2">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2">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2">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2">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2">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2">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2">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2">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2">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2">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2">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2">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2">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2">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2">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2">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2">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2">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2">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2">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2">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2">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2">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2">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2">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2">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2">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2">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2">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2">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2">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2">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2">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2">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2">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2">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2">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2">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2">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2">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2">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2">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2">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2">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2">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2">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2">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2">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2">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2">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2">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2">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2">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2">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2">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2">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2">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2">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2">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2">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2">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2">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2">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2">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2">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2">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2">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2">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2">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2">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2">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2">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2">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2">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2">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2">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2">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2">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2">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2">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2">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2">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2">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2">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2">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2">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2">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2">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2">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2">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2">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2">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2">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2">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2">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2">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2">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2">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2">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2">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2">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2">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2">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2">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2">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2">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2">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2">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2">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2">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2">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2">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2">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2">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2">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2">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2">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2">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2">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2">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2">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2">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2">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2">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2">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2">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2">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2">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2">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2">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2">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2">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2">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2">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2">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2">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2">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2">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2">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2">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2">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2">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2">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2">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2">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2">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2">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2">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2">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2">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2">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2">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2">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2">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2">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2">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2">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2">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2">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2">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2">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2">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2">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2">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2">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2">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2">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2">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2">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2">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2">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2">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2">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2">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2">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2">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2">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2">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2">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2">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2">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2">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2">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2">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2">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2">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2">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2">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2">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2">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2">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2">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2">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2">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2">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2">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2">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2">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2">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2">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2">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2">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2">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2">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2">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2">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2">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2">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2">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2">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2">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2">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2">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2">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2">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2">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2">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2">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2">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2">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2">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2">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2">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2">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2">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2">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2">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2">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2">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2">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2">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2">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2">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2">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2">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2">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2">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2">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2">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2">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2">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2">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2">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2">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2">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2">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2">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2">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2">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2">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2">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2">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2">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2">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2">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2">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2">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2">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2">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2">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2">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2">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2">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2">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2">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2">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2">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2">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2">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2">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2">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2">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2">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2">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2">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2">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2">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2">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2">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2">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2">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2">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2">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2">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2">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2">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2">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2">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2">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2">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2">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2">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2">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2">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2">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2">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2">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2">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2">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2">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2">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2">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2">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2">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2">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2">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2">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2">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2">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2">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2">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2">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2">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2">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2">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2">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2">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2">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2">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2">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2">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2">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2">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2">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2">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2">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2">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2">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2">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2">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2">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2">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2">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2">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2">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2">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2">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2">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2">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2">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2">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2">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2">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2">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2">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2">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2">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2">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2">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2">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2">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2">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2">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2">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2">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2">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2">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2">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2">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2">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2">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2">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2">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2">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2">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2">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2">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2">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2">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2">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2">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2">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2">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2">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2">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2">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2">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2">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2">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2">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2">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2">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2">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2">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2">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2">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2">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2">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2">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2">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2">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2">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2">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2">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2">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2">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2">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2">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2">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2">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2">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2">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2">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2">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2">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2">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2">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2">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2">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2">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2">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2">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2">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2">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2">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2">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2">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2">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2">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2">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2">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2">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2">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2">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2">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2">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2">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2">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2">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2">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2">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2">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2">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2">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2">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2">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2">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2">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2">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2">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2">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2">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2">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2">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2">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2">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2">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2">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2">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2">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2">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2">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2">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2">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2">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2">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2">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2">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2">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2">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2">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2">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2">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2">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2">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2">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2">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2">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2">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2">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2">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2">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2">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2">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2">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2">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2">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2">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2">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2">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2">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2">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2">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2">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2">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2">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2">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2">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2">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2">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2">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2">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2">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2">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2">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2">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2">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2">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2">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2">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2">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2">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2">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2">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2">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2">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2">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2">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2">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2">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2">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2">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2">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2">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2">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2">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2">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2">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2">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2">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2">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2">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2">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2">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2">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2">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2">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2">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2">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2">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2">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2">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2">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2">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2">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2">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2">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2">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2">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2">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2">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2">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2">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2">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2">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2">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2">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2">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2">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2">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2">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2">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2">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2">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2">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2">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2">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2">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2">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2">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2">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2">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2">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2">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2">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2">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2">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2">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2">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2">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2">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2">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2">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2">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2">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2">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2">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2">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2">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2">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2">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2">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2">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2">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2">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2">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2">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2">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2">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2">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2">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2">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2">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2">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2">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2">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2">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2">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2">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2">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2">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2">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2">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2">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2">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2">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2">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2">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2">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2">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2">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2">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2">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2">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2">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2">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2">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2">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2">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2">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2">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2">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2">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2">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2">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2">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2">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2">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2">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2">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2">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2">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2">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2">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2">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2">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2">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2">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2">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2">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2">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2">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2">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2">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2">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2">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2">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2">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2">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2">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2">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2">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2">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2">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2">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2">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2">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2">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2">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2">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2">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2">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2">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2">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2">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2">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2">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2">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2">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2">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2">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2">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2">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2">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2">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2">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2">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2">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2">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2">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2">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2">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2">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2">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2">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2">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2">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2">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2">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2">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2">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2">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2">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2">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2">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2">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2">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2">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2">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2">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2">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2">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2">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2">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2">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2">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2">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2">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2">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2">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2">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2">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2">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2">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2">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2">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2">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2">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2">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2">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2">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2">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2">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2">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2">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2">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2">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2">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2">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2">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2">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2">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2">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2">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2">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2">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2">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2">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2">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2">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2">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2">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2">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2">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2">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2">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2">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2">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2">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2">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2">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2">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2">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2">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2">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2">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2">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2">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2">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2">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2">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2">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2">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2">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2">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2">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2">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2">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2">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2">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2">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2">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2">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2">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2">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2">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2">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2">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2">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2">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2">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2">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2">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2">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2">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2">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2">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2">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2">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2">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2">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2">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2">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2">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2">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2">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2">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2">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2">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2">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2">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2">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2">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2">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2">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2">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2">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2">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2">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2">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2">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2">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2">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2">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2">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2">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2">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2">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2">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2">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2">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2">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2">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2">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2">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2">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2">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2">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2">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2">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2">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2">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2">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2">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2">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2">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2">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2">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2">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2">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2">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2">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2">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2">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2">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2">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2">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2">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2">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2">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2">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2">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2">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2">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2">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2">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2">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2">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2">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2">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2">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2">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2">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2">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2">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2">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2">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2">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2">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2">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2">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2">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2">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2">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2">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2">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2">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2">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2">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2">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2">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2">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2">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2">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2">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2">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2">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2">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2">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2">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2">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2">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2">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2">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2">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2">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2">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2">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2">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2">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2">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2">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2">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2">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2">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2">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2">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2">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2">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2">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2">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2">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2">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2">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2">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2">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2">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2">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2">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2">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2">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2">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2">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2">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2">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2">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2">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2">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2">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2">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2">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2">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2">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2">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2">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2">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2">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2">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2">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2">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2">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2">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2">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2">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2">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2">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2">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2">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2">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2">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2">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2">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2">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2">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2">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2">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2">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2">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2">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2">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2">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2">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2">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2">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2">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2">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2">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2">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2">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2">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2">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2">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2">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2">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2">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2">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2">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2">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2">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2">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2">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2">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2">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2">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2">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2">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2">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2">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2">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2">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2">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2">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2">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2">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2">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2">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2">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2">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2">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2">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2">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2">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2">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2">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2">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2">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2">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2">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2">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2">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2">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2">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2">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2">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2">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2">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2">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2">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2">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2">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2">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2">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2">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2">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2">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2">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2">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2">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2">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2">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2">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2">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2">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2">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2">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2">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2">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2">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2">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2">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2">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2">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2">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2">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2">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2">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2">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2">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2">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2">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2">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2">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2">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2">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2">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2">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2">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2">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2">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2">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2">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2">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2">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2">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2">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2">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2">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2">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2">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2">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2">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2">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2">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2">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2">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2">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2">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2">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2">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2">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2">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2">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2">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2">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2">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2">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2">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2">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2">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2">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2">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2">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2">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2">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2">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2">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2">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2">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2">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2">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2">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2">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2">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2">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2">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2">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2">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2">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2">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2">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2">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2">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2">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2">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2">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2">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2">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2">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2">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2">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2">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2">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2">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2">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2">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2">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2">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2">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2">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2">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2">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2">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2">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2">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2">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2">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2">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2">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2">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2">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2">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2">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2">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2">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2">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2">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2">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2">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2">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2">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2">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2">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2">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2">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2">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2">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2">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2">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2">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2">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2">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2">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2">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2">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2">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2">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2">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2">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2">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2">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2">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2">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2">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2">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2">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2">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2">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2">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2">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2">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2">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2">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2">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2">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2">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2">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2">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2">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2">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2">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2">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2">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2">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2">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2">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2">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2">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2">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2">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2">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2">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2">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2">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2">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2">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2">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2">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2">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2">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2">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2">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2">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2">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2">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2">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2">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2">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2">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2">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2">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2">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2">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2">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2">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2">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2">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2">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2">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2">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2">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2">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2">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2">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2">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2">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2">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2">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2">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2">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2">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2">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2">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2">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2">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2">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2">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2">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2">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2">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2">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2">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2">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2">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2">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2">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2">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2">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2">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2">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2">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2">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2">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2">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2">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2">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2">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2">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2">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2">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2">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2">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2">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2">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2">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2">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2">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2">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2">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2">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2">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2">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2">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2">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2">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2">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2">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2">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2">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2">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2">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2">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2">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2">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2">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2">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2">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2">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2">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2">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2">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2">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2">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2">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2">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2">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2">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2">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2">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2">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2">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2">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2">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2">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2">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2">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2">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2">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2">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2">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2">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2">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2">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2">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2">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2">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2">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2">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2">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2">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2">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2">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2">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2">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2">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2">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2">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2">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2">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2">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2">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2">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2">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2">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2">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2">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2">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2">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2">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2">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2">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2">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2">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2">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2">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2">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2">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2">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2">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2">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2">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2">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2">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2">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2">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2">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2">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2">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2">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2">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2">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2">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2">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2">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2">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2">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2">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2">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2">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2">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2">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2">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2">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2">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2">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2">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2">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2">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2">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2">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2">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2">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2">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2">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2">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2">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2">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2">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2">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2">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2">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2">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2">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2">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2">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2">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2">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2">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2">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2">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2">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2">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2">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2">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2">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2">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2">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2">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2">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2">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2">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2">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2">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2">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2">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2">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2">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2">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2">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2">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2">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2">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2">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2">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2">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2">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2">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2">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2">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2">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2">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2">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2">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2">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2">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2">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2">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2">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2">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2">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2">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2">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2">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2">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2">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2">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2">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2">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2">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2">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2">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2">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2">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2">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2">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2">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2">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2">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2">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2">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2">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2">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2">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2">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2">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2">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2">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2">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2">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2">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2">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2">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2">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2">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2">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2">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2">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2">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2">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2">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2">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2">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2">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2">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2">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2">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2">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2">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2">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2">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2">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2">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2">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2">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2">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2">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2">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2">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2">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2">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2">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2">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2">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2">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2">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2">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2">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2">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2">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2">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2">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2">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2">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2">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2">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2">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2">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2">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2">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2">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2">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2">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2">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2">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2">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2">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2">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2">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2">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2">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2">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2">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2">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2">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2">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2">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2">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2">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2">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2">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2">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2">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2">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2">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2">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2">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2">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2">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2">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2">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2">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2">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2">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2">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2">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2">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2">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2">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2">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2">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2">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2">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2">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2">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2">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2">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2">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2">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2">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2">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2">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2">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2">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2">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2">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2">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2">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2">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2">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2">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2">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2">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2">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2">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2">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2">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2">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2">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2">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2">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2">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2">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2">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2">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2">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2">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2">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2">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2">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2">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2">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2">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2">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2">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2">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2">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2">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2">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2">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2">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2">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2">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2">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2">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2">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2">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2">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2">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2">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2">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2">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2">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2">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2">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2">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2">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2">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2">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2">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2">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2">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2">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2">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2">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2">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2">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2">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2">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2">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2">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2">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2">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2">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2">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2">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2">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2">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2">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2">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2">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2">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2">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2">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2">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2">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2">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2">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2">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2">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2">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2">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2">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2">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2">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2">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2">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2">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2">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2">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2">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2">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2">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2">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2">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2">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2">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2">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2">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2">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2">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2">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2">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2">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2">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2">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2">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2">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2">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2">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2">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2">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2">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2">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2">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2">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2">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2">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2">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2">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2">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2">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2">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2">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2">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2">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2">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2">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2">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2">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2">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2">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2">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2">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2">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2">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2">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2">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2">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2">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2">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2">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2">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2">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2">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2">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2">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2">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2">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2">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2">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2">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2">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2">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2">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2">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2">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2">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2">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2">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2">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2">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2">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2">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2">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2">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2">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2">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2">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2">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2">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2">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2">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2">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2">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2">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2">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2">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2">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2">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2">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2">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2">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2">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2">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2">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2">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2">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2">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2">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2">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2">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2">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2">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2">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2">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2">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2">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2">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2">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2">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2">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2">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2">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2">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2">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2">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2">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2">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2">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2">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2">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2">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2">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2">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2">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2">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2">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2">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2">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2">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2">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2">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2">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2">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2">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2">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2">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2">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2">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2">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2">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2">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2">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2">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2">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2">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2">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2">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2">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2">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2">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2">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2">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2">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2">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5" sqref="B15"/>
    </sheetView>
  </sheetViews>
  <sheetFormatPr baseColWidth="10" defaultColWidth="8.83203125" defaultRowHeight="15" x14ac:dyDescent="0.2"/>
  <cols>
    <col min="1" max="1" width="3.6640625" customWidth="1"/>
    <col min="2" max="2" width="52.83203125" customWidth="1"/>
  </cols>
  <sheetData>
    <row r="2" spans="2:2" x14ac:dyDescent="0.2">
      <c r="B2" s="3" t="s">
        <v>2503</v>
      </c>
    </row>
    <row r="3" spans="2:2" x14ac:dyDescent="0.2">
      <c r="B3" s="4" t="s">
        <v>2504</v>
      </c>
    </row>
    <row r="4" spans="2:2" x14ac:dyDescent="0.2">
      <c r="B4" s="4" t="s">
        <v>2505</v>
      </c>
    </row>
    <row r="5" spans="2:2" x14ac:dyDescent="0.2">
      <c r="B5" s="4" t="s">
        <v>2506</v>
      </c>
    </row>
    <row r="6" spans="2:2" x14ac:dyDescent="0.2">
      <c r="B6" s="4" t="s">
        <v>2507</v>
      </c>
    </row>
    <row r="7" spans="2:2" x14ac:dyDescent="0.2">
      <c r="B7" s="4" t="s">
        <v>2508</v>
      </c>
    </row>
    <row r="10" spans="2:2" x14ac:dyDescent="0.2">
      <c r="B10" s="3" t="s">
        <v>2509</v>
      </c>
    </row>
    <row r="11" spans="2:2" x14ac:dyDescent="0.2">
      <c r="B11" t="s">
        <v>2510</v>
      </c>
    </row>
    <row r="12" spans="2:2" x14ac:dyDescent="0.2">
      <c r="B12" t="s">
        <v>2547</v>
      </c>
    </row>
    <row r="13" spans="2:2" x14ac:dyDescent="0.2">
      <c r="B13" t="s">
        <v>2511</v>
      </c>
    </row>
    <row r="14" spans="2:2" x14ac:dyDescent="0.2">
      <c r="B14" t="s">
        <v>2512</v>
      </c>
    </row>
    <row r="15" spans="2:2" x14ac:dyDescent="0.2">
      <c r="B15" s="12" t="s">
        <v>2513</v>
      </c>
    </row>
    <row r="16" spans="2:2" x14ac:dyDescent="0.2">
      <c r="B16" t="s">
        <v>2514</v>
      </c>
    </row>
    <row r="17" spans="2:2" x14ac:dyDescent="0.2">
      <c r="B17" t="s">
        <v>2515</v>
      </c>
    </row>
    <row r="18" spans="2:2" x14ac:dyDescent="0.2">
      <c r="B18" s="12" t="s">
        <v>2516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7A375-A16B-4A71-B7EB-209E1013A8A5}">
  <dimension ref="A1"/>
  <sheetViews>
    <sheetView showGridLines="0" tabSelected="1" zoomScale="70" zoomScaleNormal="70" zoomScalePageLayoutView="40" workbookViewId="0">
      <selection activeCell="AE47" sqref="AE47"/>
    </sheetView>
  </sheetViews>
  <sheetFormatPr baseColWidth="10" defaultColWidth="8.83203125" defaultRowHeight="15" x14ac:dyDescent="0.2"/>
  <sheetData/>
  <pageMargins left="0.7" right="0.7" top="0.75" bottom="0.75" header="0.3" footer="0.3"/>
  <pageSetup orientation="portrait" horizontalDpi="0" verticalDpi="0"/>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D30B-60E4-4685-B421-10EFD7769A97}">
  <dimension ref="B3:H24"/>
  <sheetViews>
    <sheetView workbookViewId="0">
      <selection activeCell="B23" sqref="B23"/>
    </sheetView>
  </sheetViews>
  <sheetFormatPr baseColWidth="10" defaultColWidth="8.83203125" defaultRowHeight="15" x14ac:dyDescent="0.2"/>
  <cols>
    <col min="1" max="1" width="3.33203125" customWidth="1"/>
    <col min="8" max="8" width="37.33203125" customWidth="1"/>
  </cols>
  <sheetData>
    <row r="3" spans="2:8" x14ac:dyDescent="0.2">
      <c r="B3" t="s">
        <v>2517</v>
      </c>
    </row>
    <row r="4" spans="2:8" x14ac:dyDescent="0.2">
      <c r="H4" s="11"/>
    </row>
    <row r="5" spans="2:8" x14ac:dyDescent="0.2">
      <c r="B5" t="s">
        <v>2518</v>
      </c>
      <c r="H5" s="11"/>
    </row>
    <row r="6" spans="2:8" x14ac:dyDescent="0.2">
      <c r="B6" s="5"/>
      <c r="C6" t="s">
        <v>2519</v>
      </c>
      <c r="D6" t="s">
        <v>2525</v>
      </c>
    </row>
    <row r="7" spans="2:8" x14ac:dyDescent="0.2">
      <c r="B7" s="6"/>
      <c r="C7" t="s">
        <v>2520</v>
      </c>
      <c r="D7" t="s">
        <v>2526</v>
      </c>
    </row>
    <row r="8" spans="2:8" x14ac:dyDescent="0.2">
      <c r="B8" s="7"/>
      <c r="C8" t="s">
        <v>2521</v>
      </c>
      <c r="D8" t="s">
        <v>2527</v>
      </c>
    </row>
    <row r="9" spans="2:8" x14ac:dyDescent="0.2">
      <c r="B9" s="8"/>
      <c r="C9" t="s">
        <v>2522</v>
      </c>
      <c r="D9" t="s">
        <v>2528</v>
      </c>
    </row>
    <row r="10" spans="2:8" x14ac:dyDescent="0.2">
      <c r="B10" s="9"/>
      <c r="C10" t="s">
        <v>2523</v>
      </c>
      <c r="D10" t="s">
        <v>2529</v>
      </c>
    </row>
    <row r="11" spans="2:8" x14ac:dyDescent="0.2">
      <c r="B11" s="2"/>
      <c r="C11" t="s">
        <v>2524</v>
      </c>
      <c r="D11" t="s">
        <v>2530</v>
      </c>
    </row>
    <row r="13" spans="2:8" x14ac:dyDescent="0.2">
      <c r="B13" t="s">
        <v>2531</v>
      </c>
    </row>
    <row r="14" spans="2:8" x14ac:dyDescent="0.2">
      <c r="B14" t="s">
        <v>2532</v>
      </c>
      <c r="C14" t="s">
        <v>2537</v>
      </c>
    </row>
    <row r="15" spans="2:8" x14ac:dyDescent="0.2">
      <c r="B15" t="s">
        <v>2533</v>
      </c>
      <c r="C15" t="s">
        <v>2</v>
      </c>
    </row>
    <row r="16" spans="2:8" x14ac:dyDescent="0.2">
      <c r="B16" t="s">
        <v>2534</v>
      </c>
      <c r="C16" t="s">
        <v>4</v>
      </c>
    </row>
    <row r="17" spans="2:3" x14ac:dyDescent="0.2">
      <c r="B17" t="s">
        <v>2535</v>
      </c>
      <c r="C17" t="s">
        <v>2538</v>
      </c>
    </row>
    <row r="18" spans="2:3" x14ac:dyDescent="0.2">
      <c r="B18" t="s">
        <v>2536</v>
      </c>
      <c r="C18" t="s">
        <v>2539</v>
      </c>
    </row>
    <row r="21" spans="2:3" x14ac:dyDescent="0.2">
      <c r="B21" t="s">
        <v>2540</v>
      </c>
    </row>
    <row r="22" spans="2:3" x14ac:dyDescent="0.2">
      <c r="B22" t="s">
        <v>2541</v>
      </c>
      <c r="C22" t="s">
        <v>2542</v>
      </c>
    </row>
    <row r="23" spans="2:3" x14ac:dyDescent="0.2">
      <c r="B23" t="s">
        <v>2543</v>
      </c>
      <c r="C23" t="s">
        <v>2544</v>
      </c>
    </row>
    <row r="24" spans="2:3" x14ac:dyDescent="0.2">
      <c r="B24" s="10" t="s">
        <v>2545</v>
      </c>
      <c r="C24" t="s">
        <v>2546</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Data</vt:lpstr>
      <vt:lpstr>Questions &amp; KPIs</vt:lpstr>
      <vt:lpstr>Dashboard</vt:lpstr>
      <vt:lpstr>Logo &amp; Colors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Jatin Mistry</cp:lastModifiedBy>
  <dcterms:created xsi:type="dcterms:W3CDTF">2025-06-13T02:42:26Z</dcterms:created>
  <dcterms:modified xsi:type="dcterms:W3CDTF">2026-10-23T00:10:23Z</dcterms:modified>
</cp:coreProperties>
</file>